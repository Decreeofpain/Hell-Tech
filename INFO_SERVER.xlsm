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C:\Users\94396\Documents\GitHub\Hell-Tech\"/>
    </mc:Choice>
  </mc:AlternateContent>
  <bookViews>
    <workbookView xWindow="0" yWindow="3150" windowWidth="20400" windowHeight="7680" tabRatio="893" activeTab="5"/>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ESP'!$A$38:$C$367</definedName>
    <definedName name="craftspar">'Crafteos ESP'!$A$38:$A$352</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26" i="36" l="1"/>
  <c r="AD25" i="36"/>
  <c r="AD24" i="36"/>
  <c r="AD23" i="36"/>
  <c r="AD22" i="36"/>
  <c r="AD21" i="36"/>
  <c r="AD20" i="36"/>
  <c r="AD19" i="36"/>
  <c r="AD18" i="36"/>
  <c r="AD17" i="36"/>
  <c r="AD16" i="36"/>
  <c r="AD15" i="36"/>
  <c r="AD14" i="36"/>
  <c r="AD13" i="36"/>
  <c r="AD12" i="36"/>
  <c r="W179" i="36"/>
  <c r="V179" i="36"/>
  <c r="S179" i="36"/>
  <c r="R179" i="36"/>
  <c r="O179" i="36"/>
  <c r="N179" i="36"/>
  <c r="K179" i="36"/>
  <c r="J179" i="36"/>
  <c r="G179" i="36"/>
  <c r="F179" i="36"/>
  <c r="W180" i="36"/>
  <c r="V180" i="36"/>
  <c r="S180" i="36"/>
  <c r="R180" i="36"/>
  <c r="O180" i="36"/>
  <c r="N180" i="36"/>
  <c r="K180" i="36"/>
  <c r="J180" i="36"/>
  <c r="G180" i="36"/>
  <c r="F180" i="36"/>
  <c r="W178" i="36"/>
  <c r="V178" i="36"/>
  <c r="S178" i="36"/>
  <c r="R178" i="36"/>
  <c r="O178" i="36"/>
  <c r="N178" i="36"/>
  <c r="K178" i="36"/>
  <c r="J178" i="36"/>
  <c r="G178" i="36"/>
  <c r="F178" i="36"/>
  <c r="W177" i="36"/>
  <c r="V177" i="36"/>
  <c r="S177" i="36"/>
  <c r="R177" i="36"/>
  <c r="O177" i="36"/>
  <c r="N177" i="36"/>
  <c r="K177" i="36"/>
  <c r="J177" i="36"/>
  <c r="G177" i="36"/>
  <c r="F177" i="36"/>
  <c r="W176" i="36"/>
  <c r="V176" i="36"/>
  <c r="S176" i="36"/>
  <c r="R176" i="36"/>
  <c r="O176" i="36"/>
  <c r="N176" i="36"/>
  <c r="K176" i="36"/>
  <c r="J176" i="36"/>
  <c r="G176" i="36"/>
  <c r="F176" i="36"/>
  <c r="C179" i="36" l="1"/>
  <c r="C176" i="36"/>
  <c r="AD7" i="36" s="1"/>
  <c r="C178" i="36"/>
  <c r="C180" i="36"/>
  <c r="C177" i="36"/>
  <c r="R146" i="36"/>
  <c r="O146" i="36"/>
  <c r="L146" i="36"/>
  <c r="I146" i="36"/>
  <c r="C140" i="36"/>
  <c r="F146" i="36" s="1"/>
  <c r="K27" i="32"/>
  <c r="C146" i="36" l="1"/>
  <c r="Q38" i="9"/>
  <c r="M38" i="9"/>
  <c r="I38" i="9"/>
  <c r="E38" i="9"/>
  <c r="A38" i="9"/>
  <c r="Q38" i="7"/>
  <c r="M38" i="7"/>
  <c r="I38" i="7"/>
  <c r="E38" i="7"/>
  <c r="A38" i="7"/>
  <c r="Q38" i="6"/>
  <c r="M38" i="6"/>
  <c r="I38" i="6"/>
  <c r="E38" i="6"/>
  <c r="A38" i="6"/>
  <c r="Q38" i="5"/>
  <c r="M38" i="5"/>
  <c r="I38" i="5"/>
  <c r="E38" i="5"/>
  <c r="A38" i="5"/>
  <c r="Q38" i="4"/>
  <c r="M38" i="4"/>
  <c r="I38" i="4"/>
  <c r="E38" i="4"/>
  <c r="A38" i="4"/>
  <c r="D26" i="1" l="1"/>
  <c r="E26" i="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W128" i="36"/>
  <c r="V128" i="36"/>
  <c r="S128" i="36"/>
  <c r="R128" i="36"/>
  <c r="O128" i="36"/>
  <c r="N128" i="36"/>
  <c r="K128" i="36"/>
  <c r="J128" i="36"/>
  <c r="F128" i="36"/>
  <c r="R46" i="36"/>
  <c r="O46" i="36"/>
  <c r="L46" i="36"/>
  <c r="W42" i="36"/>
  <c r="V42" i="36"/>
  <c r="S42" i="36"/>
  <c r="R42" i="36"/>
  <c r="N42" i="36"/>
  <c r="J42" i="36"/>
  <c r="F42" i="36"/>
  <c r="X12" i="36"/>
  <c r="B2" i="1"/>
  <c r="R45" i="36"/>
  <c r="O45" i="36"/>
  <c r="L45" i="36"/>
  <c r="W122" i="36"/>
  <c r="V122" i="36"/>
  <c r="S122" i="36"/>
  <c r="R122" i="36"/>
  <c r="O122" i="36"/>
  <c r="N122" i="36"/>
  <c r="K122" i="36"/>
  <c r="J122" i="36"/>
  <c r="F122" i="36"/>
  <c r="W121" i="36"/>
  <c r="V121" i="36"/>
  <c r="S121" i="36"/>
  <c r="R121" i="36"/>
  <c r="O121" i="36"/>
  <c r="N121" i="36"/>
  <c r="K121" i="36"/>
  <c r="J121" i="36"/>
  <c r="F121" i="36"/>
  <c r="W120" i="36"/>
  <c r="V120" i="36"/>
  <c r="S120" i="36"/>
  <c r="R120" i="36"/>
  <c r="O120" i="36"/>
  <c r="N120" i="36"/>
  <c r="K120" i="36"/>
  <c r="J120" i="36"/>
  <c r="F120" i="36"/>
  <c r="W119" i="36"/>
  <c r="V119" i="36"/>
  <c r="S119" i="36"/>
  <c r="R119" i="36"/>
  <c r="O119" i="36"/>
  <c r="N119" i="36"/>
  <c r="K119" i="36"/>
  <c r="J119" i="36"/>
  <c r="F119" i="36"/>
  <c r="W118" i="36"/>
  <c r="V118" i="36"/>
  <c r="S118" i="36"/>
  <c r="R118" i="36"/>
  <c r="O118" i="36"/>
  <c r="N118" i="36"/>
  <c r="K118" i="36"/>
  <c r="J118" i="36"/>
  <c r="F118" i="36"/>
  <c r="W249" i="36"/>
  <c r="V249" i="36"/>
  <c r="S249" i="36"/>
  <c r="R249" i="36"/>
  <c r="O249" i="36"/>
  <c r="N249" i="36"/>
  <c r="K249" i="36"/>
  <c r="J249" i="36"/>
  <c r="G249" i="36"/>
  <c r="F249" i="36"/>
  <c r="W239" i="36"/>
  <c r="V239" i="36"/>
  <c r="S239" i="36"/>
  <c r="R239" i="36"/>
  <c r="O239" i="36"/>
  <c r="N239" i="36"/>
  <c r="K239" i="36"/>
  <c r="J239" i="36"/>
  <c r="G239" i="36"/>
  <c r="F239" i="36"/>
  <c r="W230" i="36"/>
  <c r="V230" i="36"/>
  <c r="S230" i="36"/>
  <c r="R230" i="36"/>
  <c r="O230" i="36"/>
  <c r="N230" i="36"/>
  <c r="K230" i="36"/>
  <c r="J230" i="36"/>
  <c r="G230" i="36"/>
  <c r="F230" i="36"/>
  <c r="W222" i="36"/>
  <c r="V222" i="36"/>
  <c r="S222" i="36"/>
  <c r="R222" i="36"/>
  <c r="O222" i="36"/>
  <c r="N222" i="36"/>
  <c r="K222" i="36"/>
  <c r="J222" i="36"/>
  <c r="G222" i="36"/>
  <c r="F222" i="36"/>
  <c r="W214" i="36"/>
  <c r="V214" i="36"/>
  <c r="S214" i="36"/>
  <c r="R214" i="36"/>
  <c r="O214" i="36"/>
  <c r="N214" i="36"/>
  <c r="K214" i="36"/>
  <c r="J214" i="36"/>
  <c r="G214" i="36"/>
  <c r="F214" i="36"/>
  <c r="W207" i="36"/>
  <c r="V207" i="36"/>
  <c r="S207" i="36"/>
  <c r="R207" i="36"/>
  <c r="O207" i="36"/>
  <c r="N207" i="36"/>
  <c r="K207" i="36"/>
  <c r="J207" i="36"/>
  <c r="G207" i="36"/>
  <c r="F207" i="36"/>
  <c r="W192" i="36"/>
  <c r="V192" i="36"/>
  <c r="S192" i="36"/>
  <c r="R192" i="36"/>
  <c r="O192" i="36"/>
  <c r="N192" i="36"/>
  <c r="K192" i="36"/>
  <c r="J192" i="36"/>
  <c r="G192" i="36"/>
  <c r="F192" i="36"/>
  <c r="W199" i="36"/>
  <c r="V199" i="36"/>
  <c r="S199" i="36"/>
  <c r="R199" i="36"/>
  <c r="O199" i="36"/>
  <c r="N199" i="36"/>
  <c r="K199" i="36"/>
  <c r="J199" i="36"/>
  <c r="G199" i="36"/>
  <c r="F199" i="36"/>
  <c r="W185" i="36"/>
  <c r="V185" i="36"/>
  <c r="S185" i="36"/>
  <c r="R185" i="36"/>
  <c r="O185" i="36"/>
  <c r="N185" i="36"/>
  <c r="K185" i="36"/>
  <c r="J185" i="36"/>
  <c r="G185" i="36"/>
  <c r="F185" i="36"/>
  <c r="W175" i="36"/>
  <c r="V175" i="36"/>
  <c r="S175" i="36"/>
  <c r="R175" i="36"/>
  <c r="O175" i="36"/>
  <c r="N175" i="36"/>
  <c r="K175" i="36"/>
  <c r="J175" i="36"/>
  <c r="G175" i="36"/>
  <c r="F175" i="36"/>
  <c r="W169" i="36"/>
  <c r="V169" i="36"/>
  <c r="S169" i="36"/>
  <c r="R169" i="36"/>
  <c r="O169" i="36"/>
  <c r="N169" i="36"/>
  <c r="K169" i="36"/>
  <c r="J169" i="36"/>
  <c r="G169" i="36"/>
  <c r="F169" i="36"/>
  <c r="W158" i="36"/>
  <c r="V158" i="36"/>
  <c r="S158" i="36"/>
  <c r="R158" i="36"/>
  <c r="O158" i="36"/>
  <c r="N158" i="36"/>
  <c r="K158" i="36"/>
  <c r="J158" i="36"/>
  <c r="G158" i="36"/>
  <c r="F158" i="36"/>
  <c r="W153" i="36"/>
  <c r="V153" i="36"/>
  <c r="S153" i="36"/>
  <c r="R153" i="36"/>
  <c r="O153" i="36"/>
  <c r="N153" i="36"/>
  <c r="K153" i="36"/>
  <c r="J153" i="36"/>
  <c r="G153" i="36"/>
  <c r="F153" i="36"/>
  <c r="W127" i="36"/>
  <c r="V127" i="36"/>
  <c r="S127" i="36"/>
  <c r="R127" i="36"/>
  <c r="O127" i="36"/>
  <c r="N127" i="36"/>
  <c r="K127" i="36"/>
  <c r="J127" i="36"/>
  <c r="F127" i="36"/>
  <c r="W117" i="36"/>
  <c r="V117" i="36"/>
  <c r="S117" i="36"/>
  <c r="R117" i="36"/>
  <c r="O117" i="36"/>
  <c r="N117" i="36"/>
  <c r="K117" i="36"/>
  <c r="J117" i="36"/>
  <c r="F117" i="36"/>
  <c r="W105" i="36"/>
  <c r="V105" i="36"/>
  <c r="S105" i="36"/>
  <c r="R105" i="36"/>
  <c r="O105" i="36"/>
  <c r="N105" i="36"/>
  <c r="K105" i="36"/>
  <c r="J105" i="36"/>
  <c r="G105" i="36"/>
  <c r="F105" i="36"/>
  <c r="W92" i="36"/>
  <c r="V92" i="36"/>
  <c r="S92" i="36"/>
  <c r="R92" i="36"/>
  <c r="O92" i="36"/>
  <c r="N92" i="36"/>
  <c r="K92" i="36"/>
  <c r="J92" i="36"/>
  <c r="G92" i="36"/>
  <c r="F92" i="36"/>
  <c r="W80" i="36"/>
  <c r="V80" i="36"/>
  <c r="S80" i="36"/>
  <c r="R80" i="36"/>
  <c r="O80" i="36"/>
  <c r="N80" i="36"/>
  <c r="K80" i="36"/>
  <c r="J80" i="36"/>
  <c r="G80" i="36"/>
  <c r="F80" i="36"/>
  <c r="W66" i="36"/>
  <c r="V66" i="36"/>
  <c r="S66" i="36"/>
  <c r="R66" i="36"/>
  <c r="O66" i="36"/>
  <c r="N66" i="36"/>
  <c r="K66" i="36"/>
  <c r="J66" i="36"/>
  <c r="G66" i="36"/>
  <c r="F66" i="36"/>
  <c r="W61" i="36"/>
  <c r="V61" i="36"/>
  <c r="S61" i="36"/>
  <c r="R61" i="36"/>
  <c r="O61" i="36"/>
  <c r="N61" i="36"/>
  <c r="K61" i="36"/>
  <c r="J61" i="36"/>
  <c r="G61" i="36"/>
  <c r="F61" i="36"/>
  <c r="W55" i="36"/>
  <c r="V55" i="36"/>
  <c r="S55" i="36"/>
  <c r="R55" i="36"/>
  <c r="O55" i="36"/>
  <c r="N55" i="36"/>
  <c r="K55" i="36"/>
  <c r="J55" i="36"/>
  <c r="G55" i="36"/>
  <c r="F55" i="36"/>
  <c r="W52" i="36"/>
  <c r="V52" i="36"/>
  <c r="S52" i="36"/>
  <c r="R52" i="36"/>
  <c r="O52" i="36"/>
  <c r="N52" i="36"/>
  <c r="K52" i="36"/>
  <c r="J52" i="36"/>
  <c r="G52" i="36"/>
  <c r="F52" i="36"/>
  <c r="W49" i="36"/>
  <c r="V49" i="36"/>
  <c r="S49" i="36"/>
  <c r="R49" i="36"/>
  <c r="O49" i="36"/>
  <c r="N49" i="36"/>
  <c r="K49" i="36"/>
  <c r="J49" i="36"/>
  <c r="G49" i="36"/>
  <c r="F49" i="36"/>
  <c r="W41" i="36"/>
  <c r="V41" i="36"/>
  <c r="S41" i="36"/>
  <c r="R41" i="36"/>
  <c r="O41" i="36"/>
  <c r="N41" i="36"/>
  <c r="J41" i="36"/>
  <c r="F41" i="36"/>
  <c r="C249" i="36" l="1"/>
  <c r="C230" i="36"/>
  <c r="C239" i="36"/>
  <c r="C192" i="36"/>
  <c r="C207" i="36"/>
  <c r="C222" i="36"/>
  <c r="C214" i="36"/>
  <c r="C105" i="36"/>
  <c r="C52" i="36"/>
  <c r="C92" i="36"/>
  <c r="C153" i="36"/>
  <c r="C175" i="36"/>
  <c r="AD2" i="36" s="1"/>
  <c r="C158" i="36"/>
  <c r="C61" i="36"/>
  <c r="X7" i="36" s="1"/>
  <c r="C66" i="36"/>
  <c r="C80" i="36"/>
  <c r="C199" i="36"/>
  <c r="C49" i="36"/>
  <c r="C169" i="36"/>
  <c r="C55" i="36"/>
  <c r="C185"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2"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2" i="36" s="1"/>
  <c r="E58" i="33"/>
  <c r="E52" i="33"/>
  <c r="K41"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2" i="36" l="1"/>
  <c r="C42" i="36" s="1"/>
  <c r="F4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F4" i="36" s="1"/>
  <c r="E21" i="6"/>
  <c r="I21" i="6"/>
  <c r="M21" i="6"/>
  <c r="Q21" i="6"/>
  <c r="I21" i="4"/>
  <c r="O8" i="32"/>
  <c r="AF5" i="36" s="1"/>
  <c r="E21" i="7"/>
  <c r="I21" i="7"/>
  <c r="M21" i="7"/>
  <c r="Q21" i="7"/>
  <c r="E21" i="4"/>
  <c r="E21" i="9"/>
  <c r="I21" i="9"/>
  <c r="M21" i="9"/>
  <c r="Q21" i="9"/>
  <c r="R8" i="32"/>
  <c r="AI5" i="36" s="1"/>
  <c r="R7" i="32"/>
  <c r="AI4" i="36" s="1"/>
  <c r="R9" i="32"/>
  <c r="AI6" i="36" s="1"/>
  <c r="R5" i="32"/>
  <c r="AI2" i="36" s="1"/>
  <c r="Q7" i="32"/>
  <c r="AH4" i="36" s="1"/>
  <c r="Q9" i="32"/>
  <c r="AH6" i="36" s="1"/>
  <c r="Q5" i="32"/>
  <c r="AH2" i="36" s="1"/>
  <c r="Q8" i="32"/>
  <c r="AH5" i="36" s="1"/>
  <c r="P9" i="32"/>
  <c r="AG6" i="36" s="1"/>
  <c r="P5" i="32"/>
  <c r="AG2" i="36" s="1"/>
  <c r="P7" i="32"/>
  <c r="AG4" i="36" s="1"/>
  <c r="P8" i="32"/>
  <c r="AG5" i="36" s="1"/>
  <c r="O9" i="32"/>
  <c r="AF6" i="36" s="1"/>
  <c r="O5" i="32"/>
  <c r="AF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H9" i="36"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H11" i="36" s="1"/>
  <c r="P14" i="32"/>
  <c r="AG11" i="36" s="1"/>
  <c r="R14" i="32"/>
  <c r="AI11" i="36" s="1"/>
  <c r="M42" i="15"/>
  <c r="E42" i="15"/>
  <c r="N14" i="32"/>
  <c r="T11" i="36" s="1"/>
  <c r="O14" i="32"/>
  <c r="AF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I7" i="36" s="1"/>
  <c r="O10" i="32"/>
  <c r="AF7" i="36" s="1"/>
  <c r="Q13" i="32"/>
  <c r="AH10" i="36" s="1"/>
  <c r="R12" i="32"/>
  <c r="AI9" i="36" s="1"/>
  <c r="P12" i="32"/>
  <c r="AG9" i="36" s="1"/>
  <c r="N13" i="32"/>
  <c r="T10" i="36" s="1"/>
  <c r="N12" i="32"/>
  <c r="T9" i="36" s="1"/>
  <c r="Q10" i="32"/>
  <c r="AH7" i="36" s="1"/>
  <c r="I43" i="10"/>
  <c r="E42" i="13"/>
  <c r="Q43" i="10"/>
  <c r="A42" i="14"/>
  <c r="E43" i="10"/>
  <c r="R13" i="32"/>
  <c r="AI10" i="36" s="1"/>
  <c r="P13" i="32"/>
  <c r="AG10" i="36" s="1"/>
  <c r="P10" i="32"/>
  <c r="AG7" i="36" s="1"/>
  <c r="E66" i="31"/>
  <c r="E66" i="25"/>
  <c r="E66" i="20"/>
  <c r="E46" i="15"/>
  <c r="E25" i="9"/>
  <c r="I31" i="7"/>
  <c r="E74" i="24"/>
  <c r="E74" i="29"/>
  <c r="E74" i="19"/>
  <c r="E54" i="14"/>
  <c r="E33" i="7"/>
  <c r="E66" i="29"/>
  <c r="E66" i="19"/>
  <c r="E66" i="24"/>
  <c r="E25" i="7"/>
  <c r="E46" i="14"/>
  <c r="O13" i="32"/>
  <c r="AF10" i="36" s="1"/>
  <c r="E71" i="29"/>
  <c r="E71" i="19"/>
  <c r="E71" i="24"/>
  <c r="E51" i="14"/>
  <c r="E30" i="7"/>
  <c r="O12" i="32"/>
  <c r="AF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H16" i="36" s="1"/>
  <c r="M62" i="20"/>
  <c r="Q62" i="20"/>
  <c r="R19" i="32"/>
  <c r="AI16" i="36" s="1"/>
  <c r="N19" i="32"/>
  <c r="T16" i="36" s="1"/>
  <c r="A62" i="20"/>
  <c r="E62" i="20"/>
  <c r="I62" i="20"/>
  <c r="O19" i="32"/>
  <c r="AF16" i="36" s="1"/>
  <c r="P19" i="32"/>
  <c r="AG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I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G15" i="36" s="1"/>
  <c r="O18" i="32"/>
  <c r="AF15" i="36" s="1"/>
  <c r="R18" i="32"/>
  <c r="AI15" i="36" s="1"/>
  <c r="Q18" i="32"/>
  <c r="AH15" i="36" s="1"/>
  <c r="I74" i="29"/>
  <c r="I74" i="19"/>
  <c r="I74" i="24"/>
  <c r="I54" i="14"/>
  <c r="I33" i="7"/>
  <c r="P17" i="32"/>
  <c r="AG14" i="36" s="1"/>
  <c r="O17" i="32"/>
  <c r="AF14" i="36" s="1"/>
  <c r="R17" i="32"/>
  <c r="AI14" i="36" s="1"/>
  <c r="Q17" i="32"/>
  <c r="AH14" i="36" s="1"/>
  <c r="I74" i="23"/>
  <c r="I74" i="28"/>
  <c r="I74" i="18"/>
  <c r="I54" i="13"/>
  <c r="I33" i="6"/>
  <c r="M72" i="18"/>
  <c r="I71" i="23"/>
  <c r="I71" i="18"/>
  <c r="I71" i="28"/>
  <c r="I51" i="13"/>
  <c r="I30" i="6"/>
  <c r="I25" i="6"/>
  <c r="I66" i="28"/>
  <c r="I66" i="23"/>
  <c r="I66" i="18"/>
  <c r="I46" i="13"/>
  <c r="P15" i="32"/>
  <c r="AG12" i="36" s="1"/>
  <c r="O15" i="32"/>
  <c r="AF12" i="36" s="1"/>
  <c r="Q15" i="32"/>
  <c r="AH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I21" i="36" s="1"/>
  <c r="O24" i="32"/>
  <c r="AF21" i="36" s="1"/>
  <c r="N24" i="32"/>
  <c r="T21" i="36" s="1"/>
  <c r="P24" i="32"/>
  <c r="AG21" i="36" s="1"/>
  <c r="Q62" i="25"/>
  <c r="Q24" i="32"/>
  <c r="AH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I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G20" i="36" s="1"/>
  <c r="Q23" i="32"/>
  <c r="AH20" i="36" s="1"/>
  <c r="O23" i="32"/>
  <c r="AF20" i="36" s="1"/>
  <c r="R23" i="32"/>
  <c r="AI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I19" i="36" s="1"/>
  <c r="Q22" i="32"/>
  <c r="AH19" i="36" s="1"/>
  <c r="P22" i="32"/>
  <c r="AG19" i="36" s="1"/>
  <c r="O22" i="32"/>
  <c r="AF19" i="36" s="1"/>
  <c r="M71" i="16"/>
  <c r="M71" i="26"/>
  <c r="M71" i="21"/>
  <c r="M52" i="10"/>
  <c r="M66" i="16"/>
  <c r="M66" i="21"/>
  <c r="M47" i="10"/>
  <c r="M74" i="21"/>
  <c r="M74" i="16"/>
  <c r="M74" i="26"/>
  <c r="M55" i="10"/>
  <c r="M72" i="26"/>
  <c r="M72" i="16"/>
  <c r="M72" i="21"/>
  <c r="M53" i="10"/>
  <c r="O20" i="32"/>
  <c r="AF17" i="36" s="1"/>
  <c r="P20" i="32"/>
  <c r="AG17" i="36" s="1"/>
  <c r="Q20" i="32"/>
  <c r="AH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H26" i="36" s="1"/>
  <c r="A62" i="31"/>
  <c r="E62" i="31"/>
  <c r="P29" i="32"/>
  <c r="AG26" i="36" s="1"/>
  <c r="N29" i="32"/>
  <c r="T26" i="36" s="1"/>
  <c r="I62" i="31"/>
  <c r="M62" i="31"/>
  <c r="R29" i="32"/>
  <c r="AI26" i="36" s="1"/>
  <c r="O29" i="32"/>
  <c r="AF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I25" i="36" s="1"/>
  <c r="Q28" i="32"/>
  <c r="AH25" i="36" s="1"/>
  <c r="P28" i="32"/>
  <c r="AG25" i="36" s="1"/>
  <c r="O28" i="32"/>
  <c r="AF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F24" i="36" s="1"/>
  <c r="R27" i="32"/>
  <c r="AI24" i="36" s="1"/>
  <c r="Q27" i="32"/>
  <c r="AH24" i="36" s="1"/>
  <c r="P27" i="32"/>
  <c r="AG24" i="36" s="1"/>
  <c r="Q66" i="16"/>
  <c r="Q66" i="21"/>
  <c r="Q66" i="26"/>
  <c r="Q74" i="26"/>
  <c r="Q74" i="21"/>
  <c r="Q74" i="16"/>
  <c r="Q71" i="21"/>
  <c r="Q71" i="16"/>
  <c r="Q71" i="26"/>
  <c r="Q72" i="26"/>
  <c r="Q72" i="16"/>
  <c r="Q72" i="21"/>
  <c r="P25" i="32"/>
  <c r="AG22" i="36" s="1"/>
  <c r="R25" i="32"/>
  <c r="AI22" i="36" s="1"/>
  <c r="O25" i="32"/>
  <c r="AF22" i="36" s="1"/>
  <c r="Q25" i="32"/>
  <c r="AH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AH23" i="36"/>
  <c r="U9" i="32"/>
  <c r="AF23" i="36"/>
  <c r="V5" i="32"/>
  <c r="AG3" i="36"/>
  <c r="U6" i="32"/>
  <c r="AF8" i="36"/>
  <c r="V9" i="32"/>
  <c r="AG23" i="36"/>
  <c r="X6" i="32"/>
  <c r="AI8" i="36"/>
  <c r="U7" i="32"/>
  <c r="AF13" i="36"/>
  <c r="X9" i="32"/>
  <c r="AI23" i="36"/>
  <c r="V8" i="32"/>
  <c r="AG18" i="36"/>
  <c r="W7" i="32"/>
  <c r="AH13" i="36"/>
  <c r="U5" i="32"/>
  <c r="AF3" i="36"/>
  <c r="W5" i="32"/>
  <c r="AH3" i="36"/>
  <c r="V7" i="32"/>
  <c r="AG13" i="36"/>
  <c r="X7" i="32"/>
  <c r="AI13" i="36"/>
  <c r="X8" i="32"/>
  <c r="AI18" i="36"/>
  <c r="W6" i="32"/>
  <c r="AH8" i="36"/>
  <c r="X5" i="32"/>
  <c r="AI3" i="36"/>
  <c r="U8" i="32"/>
  <c r="AF18" i="36"/>
  <c r="W8" i="32"/>
  <c r="AH18" i="36"/>
  <c r="V6" i="32"/>
  <c r="AG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Q33" i="5"/>
  <c r="M74" i="22"/>
  <c r="M74" i="27"/>
  <c r="M54" i="12"/>
  <c r="M74" i="17"/>
  <c r="M31" i="5"/>
  <c r="M32" i="5"/>
  <c r="G55" i="1" l="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120" i="36" s="1"/>
  <c r="C120" i="36" s="1"/>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22" i="36" s="1"/>
  <c r="C122"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G117" i="36" s="1"/>
  <c r="C117" i="36" s="1"/>
  <c r="I44" i="32"/>
  <c r="K44" i="32" s="1"/>
  <c r="E21" i="33"/>
  <c r="G41" i="36" s="1"/>
  <c r="C41" i="36" s="1"/>
  <c r="E196"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AD6" i="36" l="1"/>
  <c r="AD5" i="36"/>
  <c r="AD3" i="36"/>
  <c r="AD4" i="36"/>
  <c r="M540" i="33"/>
  <c r="I47" i="32"/>
  <c r="K47" i="32" s="1"/>
  <c r="F45" i="36"/>
  <c r="X2" i="36"/>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45" i="36"/>
  <c r="I46" i="36"/>
  <c r="C46" i="36" s="1"/>
  <c r="AA12" i="36"/>
  <c r="U12" i="36" s="1"/>
  <c r="AA7" i="36"/>
  <c r="U7" i="36" s="1"/>
  <c r="M7" i="33"/>
  <c r="E7" i="33" s="1"/>
  <c r="M5" i="33" s="1"/>
  <c r="C484" i="34"/>
  <c r="J484" i="34" s="1"/>
  <c r="D95" i="34"/>
  <c r="I157" i="33"/>
  <c r="E157" i="33" s="1"/>
  <c r="F157" i="33" s="1"/>
  <c r="E122" i="33"/>
  <c r="F122" i="33" s="1"/>
  <c r="I5" i="33"/>
  <c r="Q154" i="33"/>
  <c r="M536" i="33"/>
  <c r="Q248" i="33"/>
  <c r="C95" i="34"/>
  <c r="J95" i="34" s="1"/>
  <c r="I99" i="33"/>
  <c r="E304" i="33"/>
  <c r="M265" i="33" s="1"/>
  <c r="E432" i="33"/>
  <c r="G119" i="36" s="1"/>
  <c r="C119" i="36" s="1"/>
  <c r="I371" i="33"/>
  <c r="E371" i="33" s="1"/>
  <c r="F371" i="33" s="1"/>
  <c r="I548" i="33"/>
  <c r="E548" i="33" s="1"/>
  <c r="F548" i="33" s="1"/>
  <c r="G121" i="36"/>
  <c r="C121"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AA10" i="36" l="1"/>
  <c r="AD10" i="36"/>
  <c r="AD9" i="36"/>
  <c r="AD8" i="36"/>
  <c r="AD11" i="36"/>
  <c r="C45" i="36"/>
  <c r="AA26" i="36" s="1"/>
  <c r="F386" i="33"/>
  <c r="E5" i="33"/>
  <c r="AA2" i="36"/>
  <c r="U2" i="36" s="1"/>
  <c r="D386" i="34"/>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27" i="36"/>
  <c r="C127" i="36" s="1"/>
  <c r="G128" i="36"/>
  <c r="C128"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18" i="36"/>
  <c r="C11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authors>
    <author>Eduardo Miranda</author>
  </authors>
  <commentList>
    <comment ref="C2" authorId="0" shapeId="0">
      <text>
        <r>
          <rPr>
            <b/>
            <sz val="9"/>
            <color indexed="81"/>
            <rFont val="Tahoma"/>
            <family val="2"/>
          </rPr>
          <t xml:space="preserve">Multiplo por el cual se valora el valor de la materia prima en base al tier,
</t>
        </r>
      </text>
    </comment>
    <comment ref="N3" authorId="0" shapeId="0">
      <text>
        <r>
          <rPr>
            <b/>
            <sz val="9"/>
            <color indexed="81"/>
            <rFont val="Tahoma"/>
            <charset val="1"/>
          </rPr>
          <t>Este valor define el multiplo de los tiers!
Valores que modifica:
- requisitos 
- stats
- valor de venta</t>
        </r>
      </text>
    </comment>
    <comment ref="C10" authorId="0" shapeId="0">
      <text>
        <r>
          <rPr>
            <b/>
            <sz val="9"/>
            <color indexed="81"/>
            <rFont val="Tahoma"/>
            <family val="2"/>
          </rPr>
          <t>Tiempo en el que se tarda en recolectar 1 stack</t>
        </r>
      </text>
    </comment>
    <comment ref="C11" authorId="0" shapeId="0">
      <text>
        <r>
          <rPr>
            <b/>
            <sz val="9"/>
            <color indexed="81"/>
            <rFont val="Tahoma"/>
            <family val="2"/>
          </rPr>
          <t>el 64 representa el Stack</t>
        </r>
      </text>
    </comment>
    <comment ref="D12" authorId="0" shapeId="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text>
        <r>
          <rPr>
            <b/>
            <sz val="9"/>
            <color indexed="81"/>
            <rFont val="Tahoma"/>
            <family val="2"/>
          </rPr>
          <t xml:space="preserve">Tomado del costo total
del set comun,
</t>
        </r>
      </text>
    </comment>
    <comment ref="D13" authorId="0" shapeId="0">
      <text>
        <r>
          <rPr>
            <b/>
            <sz val="9"/>
            <color indexed="81"/>
            <rFont val="Tahoma"/>
            <family val="2"/>
          </rPr>
          <t>COBBLESTONE</t>
        </r>
      </text>
    </comment>
    <comment ref="F13" authorId="0" shapeId="0">
      <text>
        <r>
          <rPr>
            <b/>
            <sz val="9"/>
            <color indexed="81"/>
            <rFont val="Tahoma"/>
            <family val="2"/>
          </rPr>
          <t>TRONCO OAK</t>
        </r>
      </text>
    </comment>
    <comment ref="H13" authorId="0" shapeId="0">
      <text>
        <r>
          <rPr>
            <sz val="9"/>
            <color indexed="81"/>
            <rFont val="Tahoma"/>
            <family val="2"/>
          </rPr>
          <t xml:space="preserve">POTATO
</t>
        </r>
      </text>
    </comment>
    <comment ref="J13" authorId="0" shapeId="0">
      <text>
        <r>
          <rPr>
            <b/>
            <sz val="9"/>
            <color indexed="81"/>
            <rFont val="Tahoma"/>
            <family val="2"/>
          </rPr>
          <t>CHICKEN</t>
        </r>
      </text>
    </comment>
    <comment ref="B14" authorId="0" shapeId="0">
      <text>
        <r>
          <rPr>
            <b/>
            <sz val="9"/>
            <color indexed="81"/>
            <rFont val="Tahoma"/>
            <family val="2"/>
          </rPr>
          <t>Tiempo estimado
en el que se pretende
recolectar ese dinero</t>
        </r>
      </text>
    </comment>
    <comment ref="B16" authorId="0" shapeId="0">
      <text>
        <r>
          <rPr>
            <b/>
            <sz val="9"/>
            <color indexed="81"/>
            <rFont val="Tahoma"/>
            <family val="2"/>
          </rPr>
          <t xml:space="preserve">ESTE ES EL VALOR INICIAL DE TODA LA ECONOMIA,
</t>
        </r>
      </text>
    </comment>
    <comment ref="C17" authorId="0" shapeId="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 ref="G1" authorId="0" shapeId="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<sst xmlns="http://schemas.openxmlformats.org/spreadsheetml/2006/main" count="9278" uniqueCount="1223">
  <si>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</si>
  <si>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</si>
  <si>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</si>
  <si>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</si>
  <si>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</si>
  <si>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</si>
  <si>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</si>
  <si>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</si>
  <si>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</si>
  <si>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</si>
  <si>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</si>
  <si>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</si>
  <si>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</si>
  <si>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</si>
  <si>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</si>
  <si>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</si>
  <si>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</si>
  <si>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</si>
  <si>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</si>
  <si>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</si>
  <si>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</si>
  <si>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</si>
  <si>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</si>
  <si>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</si>
  <si>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</si>
  <si>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</si>
  <si>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</si>
  <si>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</si>
  <si>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</si>
  <si>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</si>
  <si>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</si>
  <si>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</si>
  <si>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</si>
  <si>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</si>
  <si>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</si>
  <si>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</si>
  <si>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</si>
  <si>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</si>
  <si>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</si>
  <si>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</si>
  <si>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</si>
  <si>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</si>
  <si>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</si>
  <si>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</si>
  <si>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</si>
  <si>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</si>
  <si>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</si>
  <si>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</si>
  <si>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</si>
  <si>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</si>
  <si>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</si>
  <si>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</si>
  <si>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</si>
  <si>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</si>
  <si>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</si>
  <si>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</si>
  <si>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</si>
  <si>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</si>
  <si>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</si>
  <si>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</si>
  <si>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</si>
  <si>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</si>
  <si>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</si>
  <si>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</si>
  <si>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</si>
  <si>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</si>
  <si>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</si>
  <si>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</si>
  <si>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</si>
  <si>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</si>
  <si>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</si>
  <si>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</si>
  <si>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</si>
  <si>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</si>
  <si>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</si>
  <si>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</si>
  <si>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</si>
  <si>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</si>
  <si>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</si>
  <si>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</si>
  <si>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</si>
  <si>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</si>
  <si>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</si>
  <si>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</si>
  <si>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</si>
  <si>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</si>
  <si>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</si>
  <si>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</si>
  <si>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</si>
  <si>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</si>
  <si>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</si>
  <si>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</si>
  <si>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</si>
  <si>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</si>
  <si>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</si>
  <si>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</si>
  <si>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</si>
  <si>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</si>
  <si>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</si>
  <si>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</si>
  <si>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</si>
  <si>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</si>
  <si>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</si>
  <si>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</si>
  <si>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</si>
  <si>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</si>
  <si>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</si>
  <si>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</si>
  <si>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</si>
  <si>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</si>
  <si>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</si>
  <si>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</si>
  <si>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</si>
  <si>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</si>
  <si>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</si>
  <si>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</si>
  <si>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</si>
  <si>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</si>
  <si>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</si>
  <si>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</si>
  <si>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</si>
  <si>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</si>
  <si>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</si>
  <si>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</si>
  <si>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</si>
  <si>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</si>
  <si>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</si>
  <si>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</si>
  <si>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</si>
  <si>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</si>
  <si>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</si>
  <si>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</si>
  <si>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</si>
  <si>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</si>
  <si>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</si>
  <si>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</si>
  <si>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</si>
  <si>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</si>
  <si>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</si>
  <si>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</si>
  <si>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</si>
  <si>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</si>
  <si>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</si>
  <si>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</si>
  <si>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</si>
  <si>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</si>
  <si>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</si>
  <si>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</si>
  <si>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</si>
  <si>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</si>
  <si>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</si>
  <si>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</si>
  <si>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</si>
  <si>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</si>
  <si>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</si>
  <si>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</si>
  <si>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</si>
  <si>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</si>
  <si>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</si>
  <si>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</si>
  <si>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</si>
  <si>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</si>
  <si>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</si>
  <si>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</si>
  <si>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</si>
  <si>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</si>
  <si>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</si>
  <si>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</si>
  <si>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</si>
  <si>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</si>
  <si>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</si>
  <si>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</si>
  <si>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</si>
  <si>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</si>
  <si>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</si>
  <si>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</si>
  <si>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</si>
  <si>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</si>
  <si>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</si>
  <si>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</si>
  <si>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</si>
  <si>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</si>
  <si>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</si>
  <si>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</si>
  <si>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</si>
  <si>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</si>
  <si>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</si>
  <si>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</si>
  <si>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</si>
  <si>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</si>
  <si>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</si>
  <si>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</si>
  <si>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</si>
  <si>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</si>
  <si>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</si>
  <si>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</si>
  <si>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</si>
  <si>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</si>
  <si>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</si>
  <si>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</si>
  <si>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</si>
  <si>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</si>
  <si>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</si>
  <si>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</si>
  <si>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</si>
  <si>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</si>
  <si>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</si>
  <si>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</si>
  <si>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</si>
  <si>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</si>
  <si>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</si>
  <si>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</si>
  <si>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</si>
  <si>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</si>
  <si>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</si>
  <si>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</si>
  <si>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</si>
  <si>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</si>
  <si>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</si>
  <si>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</si>
  <si>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</si>
  <si>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</si>
  <si>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</si>
  <si>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</si>
  <si>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</si>
  <si>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</si>
  <si>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</si>
  <si>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</si>
  <si>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</si>
  <si>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</si>
  <si>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</si>
  <si>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</si>
  <si>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</si>
  <si>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</si>
  <si>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</si>
  <si>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</si>
  <si>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</si>
  <si>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</si>
  <si>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</si>
  <si>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</si>
  <si>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</si>
  <si>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</si>
  <si>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</si>
  <si>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</si>
  <si>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</si>
  <si>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</si>
  <si>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</si>
  <si>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</si>
  <si>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</si>
  <si>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</si>
  <si>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</si>
  <si>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</si>
  <si>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</si>
  <si>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</si>
  <si>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</si>
  <si>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</si>
  <si>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</si>
  <si>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</si>
  <si>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</si>
  <si>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</si>
  <si>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</si>
  <si>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</si>
  <si>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</si>
  <si>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</si>
  <si>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</si>
  <si>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</si>
  <si>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</si>
  <si>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</si>
  <si>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</si>
  <si>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</si>
  <si>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</si>
  <si>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</si>
  <si>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</si>
  <si>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</si>
  <si>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</si>
  <si>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</si>
  <si>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</si>
  <si>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</si>
  <si>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</si>
  <si>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</si>
  <si>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</si>
  <si>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</si>
  <si>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</si>
  <si>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</si>
  <si>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</si>
  <si>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</si>
  <si>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</si>
  <si>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</si>
  <si>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</si>
  <si>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</si>
  <si>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</si>
  <si>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</si>
  <si>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</si>
  <si>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</si>
  <si>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</si>
  <si>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</si>
  <si>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</si>
  <si>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</si>
  <si>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</si>
  <si>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</si>
  <si>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</si>
  <si>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</si>
  <si>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</si>
  <si>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</si>
  <si>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</si>
  <si>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</si>
  <si>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</si>
  <si>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</si>
  <si>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</si>
  <si>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</si>
  <si>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</si>
  <si>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</si>
  <si>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</si>
  <si>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</si>
  <si>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</si>
  <si>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</si>
  <si>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</si>
  <si>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</si>
  <si>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</si>
  <si>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</si>
  <si>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</si>
  <si>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</si>
  <si>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</si>
  <si>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</si>
  <si>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</si>
  <si>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</si>
  <si>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</si>
  <si>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</si>
  <si>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</si>
  <si>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</si>
  <si>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</si>
  <si>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</si>
  <si>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</si>
  <si>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</si>
  <si>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</si>
  <si>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</si>
  <si>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</si>
  <si>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</si>
  <si>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</si>
  <si>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</si>
  <si>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</si>
  <si>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</si>
  <si>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</si>
  <si>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</si>
  <si>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</si>
  <si>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</si>
  <si>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</si>
  <si>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</si>
  <si>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</si>
  <si>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</si>
  <si>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</si>
  <si>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</si>
  <si>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</si>
  <si>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</si>
  <si>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</si>
  <si>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</si>
  <si>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</si>
  <si>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</si>
  <si>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</si>
  <si>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</si>
  <si>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</si>
  <si>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</si>
  <si>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</si>
  <si>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</si>
  <si>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</si>
  <si>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</si>
  <si>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</si>
  <si>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</si>
  <si>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</si>
  <si>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</si>
  <si>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</si>
  <si>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</si>
  <si>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</si>
  <si>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</si>
  <si>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</si>
  <si>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</si>
  <si>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</si>
  <si>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</si>
  <si>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</si>
  <si>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</si>
  <si>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</si>
  <si>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</si>
  <si>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</si>
  <si>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</si>
  <si>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</si>
  <si>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</si>
  <si>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</si>
  <si>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</si>
  <si>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</si>
  <si>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</si>
  <si>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</si>
  <si>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</si>
  <si>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</si>
  <si>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</si>
  <si>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</si>
  <si>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</si>
  <si>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</si>
  <si>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</si>
  <si>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</si>
  <si>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</si>
  <si>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</si>
  <si>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</si>
  <si>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</si>
  <si>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</si>
  <si>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</si>
  <si>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</si>
  <si>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</si>
  <si>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</si>
  <si>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</si>
  <si>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</si>
  <si>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</si>
  <si>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</si>
  <si>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</si>
  <si>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</si>
  <si>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</si>
  <si>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</si>
  <si>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</si>
  <si>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</si>
  <si>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</si>
  <si>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</si>
  <si>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</si>
  <si>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</si>
  <si>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</si>
  <si>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</si>
  <si>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</si>
  <si>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</si>
  <si>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</si>
  <si>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</si>
  <si>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</si>
  <si>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</si>
  <si>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</si>
  <si>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</si>
  <si>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</si>
  <si>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</si>
  <si>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</si>
  <si>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</si>
  <si>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</si>
  <si>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</si>
  <si>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</si>
  <si>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</si>
  <si>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</si>
  <si>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</si>
  <si>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</si>
  <si>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</si>
  <si>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</si>
  <si>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</si>
  <si>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</si>
  <si>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</si>
  <si>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</si>
  <si>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</si>
  <si>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</si>
  <si>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</si>
  <si>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</si>
  <si>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</si>
  <si>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</si>
  <si>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</si>
  <si>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</si>
  <si>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</si>
  <si>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</si>
  <si>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</si>
  <si>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</si>
  <si>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</si>
  <si>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</si>
  <si>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</si>
  <si>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</si>
  <si>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</si>
  <si>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</si>
  <si>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</si>
  <si>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</si>
  <si>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</si>
  <si>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</si>
  <si>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</si>
  <si>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</si>
  <si>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</si>
  <si>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</si>
  <si>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</si>
  <si>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</si>
  <si>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</si>
  <si>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</si>
  <si>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</si>
  <si>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</si>
  <si>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</si>
  <si>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</si>
  <si>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</si>
  <si>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</si>
  <si>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</si>
  <si>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</si>
  <si>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</si>
  <si>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</si>
  <si>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</si>
  <si>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</si>
  <si>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</si>
  <si>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</si>
  <si>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</si>
  <si>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</si>
  <si>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</si>
  <si>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</si>
  <si>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</si>
  <si>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</si>
  <si>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</si>
  <si>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</si>
  <si>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</si>
  <si>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</si>
  <si>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</si>
  <si>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</si>
  <si>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</si>
  <si>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</si>
  <si>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</si>
  <si>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</si>
  <si>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</si>
  <si>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</si>
  <si>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</si>
  <si>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</si>
  <si>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</si>
  <si>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</si>
  <si>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</si>
  <si>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</si>
  <si>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</si>
  <si>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</si>
  <si>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</si>
  <si>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</si>
  <si>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</si>
  <si>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</si>
  <si>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</si>
  <si>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</si>
  <si>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</si>
  <si>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</si>
  <si>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</si>
  <si>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</si>
  <si>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</si>
  <si>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</si>
  <si>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</si>
  <si>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</si>
  <si>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</si>
  <si>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</si>
  <si>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</si>
  <si>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</si>
  <si>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</si>
  <si>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</si>
  <si>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</si>
  <si>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</si>
  <si>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</si>
  <si>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</si>
  <si>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</si>
  <si>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</si>
  <si>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</si>
  <si>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</si>
  <si>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</si>
  <si>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</si>
  <si>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</si>
  <si>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</si>
  <si>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</si>
  <si>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</si>
  <si>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</si>
  <si>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</si>
  <si>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</si>
  <si>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</si>
  <si>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</si>
  <si>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</si>
  <si>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</si>
  <si>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</si>
  <si>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</si>
  <si>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</si>
  <si>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</si>
  <si>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</si>
  <si>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</si>
  <si>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</si>
  <si>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</si>
  <si>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</si>
  <si>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</si>
  <si>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</si>
  <si>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</si>
  <si>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</si>
  <si>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</si>
  <si>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</si>
  <si>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</si>
  <si>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</si>
  <si>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</si>
  <si>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</si>
  <si>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</si>
  <si>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</si>
  <si>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</si>
  <si>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</si>
  <si>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</si>
  <si>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</si>
  <si>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</si>
  <si>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</si>
  <si>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</si>
  <si>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</si>
  <si>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</si>
  <si>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</si>
  <si>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</si>
  <si>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</si>
  <si>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</si>
  <si>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</si>
  <si>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</si>
  <si>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</si>
  <si>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</si>
  <si>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</si>
  <si>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</si>
  <si>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</si>
  <si>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</si>
  <si>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</si>
  <si>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</si>
  <si>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</si>
  <si>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</si>
  <si>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</si>
  <si>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</si>
  <si>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</si>
  <si>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</si>
  <si>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</si>
  <si>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</si>
  <si>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</si>
  <si>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</si>
  <si>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</si>
  <si>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</si>
  <si>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</si>
  <si>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</si>
  <si>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</si>
  <si>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</si>
  <si>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</si>
  <si>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</si>
  <si>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</si>
  <si>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</si>
  <si>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</si>
  <si>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</si>
  <si>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</si>
  <si>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</si>
  <si>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</si>
  <si>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</si>
  <si>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</si>
  <si>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</si>
  <si>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</si>
  <si>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</si>
  <si>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</si>
  <si>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</si>
  <si>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</si>
  <si>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</si>
  <si>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</si>
  <si>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</si>
  <si>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</si>
  <si>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</si>
  <si>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</si>
  <si>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</si>
  <si>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</si>
  <si>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</si>
  <si>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</si>
  <si>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</si>
  <si>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</si>
  <si>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</si>
  <si>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</si>
  <si>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</si>
  <si>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</si>
  <si>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</si>
  <si>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</si>
  <si>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</si>
  <si>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</si>
  <si>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</si>
  <si>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</si>
  <si>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</si>
  <si>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</si>
  <si>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</si>
  <si>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</si>
  <si>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</si>
  <si>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</si>
  <si>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</si>
  <si>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</si>
  <si>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</si>
  <si>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</si>
  <si>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</si>
  <si>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</si>
  <si>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</si>
  <si>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</si>
  <si>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</si>
  <si>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</si>
  <si>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</si>
  <si>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</si>
  <si>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</si>
  <si>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</si>
  <si>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</si>
  <si>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</si>
  <si>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</si>
  <si>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</si>
  <si>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</si>
  <si>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</si>
  <si>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</si>
  <si>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</si>
  <si>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</si>
  <si>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</si>
  <si>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</si>
  <si>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</si>
  <si>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</si>
  <si>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</si>
  <si>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</si>
  <si>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</si>
  <si>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</si>
  <si>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</si>
  <si>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</si>
  <si>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</si>
  <si>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</si>
  <si>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</si>
  <si>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</si>
  <si>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</si>
  <si>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</si>
  <si>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</si>
  <si>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</si>
  <si>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</si>
  <si>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</si>
  <si>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</si>
  <si>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</si>
  <si>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</si>
  <si>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</si>
  <si>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</si>
  <si>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</si>
  <si>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</si>
  <si>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</si>
  <si>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</si>
  <si>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</si>
  <si>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</si>
  <si>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</si>
  <si>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</si>
  <si>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</si>
  <si>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</si>
  <si>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</si>
  <si>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</si>
  <si>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</si>
  <si>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</si>
  <si>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</si>
  <si>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</si>
  <si>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</si>
  <si>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</si>
  <si>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</si>
  <si>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</si>
  <si>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</si>
  <si>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</si>
  <si>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</si>
  <si>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</si>
  <si>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</si>
  <si>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</si>
  <si>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</si>
  <si>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</si>
  <si>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</si>
  <si>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</si>
  <si>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</si>
  <si>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</si>
  <si>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</si>
  <si>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</si>
  <si>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</si>
  <si>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</si>
  <si>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</si>
  <si>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</si>
  <si>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</si>
  <si>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</si>
  <si>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</si>
  <si>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</si>
  <si>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</si>
  <si>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</si>
  <si>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</si>
  <si>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</si>
  <si>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</si>
  <si>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</si>
  <si>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</si>
  <si>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</si>
  <si>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</si>
  <si>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</si>
  <si>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</si>
  <si>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</si>
  <si>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</si>
  <si>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</si>
  <si>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</si>
  <si>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</si>
  <si>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</si>
  <si>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</si>
  <si>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</si>
  <si>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</si>
  <si>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</si>
  <si>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</si>
  <si>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</si>
  <si>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</si>
  <si>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</si>
  <si>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</si>
  <si>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</si>
  <si>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</si>
  <si>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</si>
  <si>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</si>
  <si>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</si>
  <si>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</si>
  <si>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</si>
  <si>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</si>
  <si>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</si>
  <si>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</si>
  <si>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</si>
  <si>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</si>
  <si>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</si>
  <si>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</si>
  <si>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</si>
  <si>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</si>
  <si>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</si>
  <si>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</si>
  <si>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</si>
  <si>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</si>
  <si>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</si>
  <si>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</si>
  <si>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</si>
  <si>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</si>
  <si>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</si>
  <si>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</si>
  <si>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</si>
  <si>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</si>
  <si>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</si>
  <si>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</si>
  <si>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</si>
  <si>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</si>
  <si>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</si>
  <si>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</si>
  <si>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</si>
  <si>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</si>
  <si>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</si>
  <si>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</si>
  <si>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</si>
  <si>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</si>
  <si>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</si>
  <si>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</si>
  <si>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</si>
  <si>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</si>
  <si>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</si>
  <si>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</si>
  <si>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</si>
  <si>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</si>
  <si>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</si>
  <si>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</si>
  <si>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</si>
  <si>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</si>
  <si>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</si>
  <si>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</si>
  <si>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</si>
  <si>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</si>
  <si>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</si>
  <si>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</si>
  <si>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</si>
  <si>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</si>
  <si>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</si>
  <si>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</si>
  <si>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</si>
  <si>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</si>
  <si>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</si>
  <si>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</si>
  <si>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</si>
  <si>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</si>
  <si>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</si>
  <si>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</si>
  <si>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</si>
  <si>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</si>
  <si>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</si>
  <si>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</si>
  <si>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</si>
  <si>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</si>
  <si>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</si>
  <si>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</si>
  <si>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</si>
  <si>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</si>
  <si>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</si>
  <si>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</si>
  <si>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</si>
  <si>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</si>
  <si>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</si>
  <si>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</si>
  <si>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</si>
  <si>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</si>
  <si>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</si>
  <si>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</si>
  <si>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</si>
  <si>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</si>
  <si>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</si>
  <si>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</si>
  <si>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</si>
  <si>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</si>
  <si>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</si>
  <si>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</si>
  <si>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</si>
  <si>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</si>
  <si>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</si>
  <si>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</si>
  <si>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</si>
  <si>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</si>
  <si>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</si>
  <si>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</si>
  <si>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</si>
  <si>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</si>
  <si>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</si>
  <si>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</si>
  <si>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</si>
  <si>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</si>
  <si>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</si>
  <si>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</si>
  <si>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</si>
  <si>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</si>
  <si>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</si>
  <si>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</si>
  <si>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</si>
  <si>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</si>
  <si>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</si>
  <si>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</si>
  <si>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</si>
  <si>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</si>
  <si>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</si>
  <si>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</si>
  <si>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</si>
  <si>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</si>
  <si>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</si>
  <si>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</si>
  <si>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</si>
  <si>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</si>
  <si>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</si>
  <si>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</si>
  <si>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</si>
  <si>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</si>
  <si>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</si>
  <si>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</si>
  <si>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</si>
  <si>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</si>
  <si>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</si>
  <si>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</si>
  <si>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</si>
  <si>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</si>
  <si>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</si>
  <si>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</si>
  <si>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</si>
  <si>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</si>
  <si>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</si>
  <si>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</si>
  <si>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</si>
  <si>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</si>
  <si>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</si>
  <si>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</si>
  <si>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</si>
  <si>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</si>
  <si>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</si>
  <si>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</si>
  <si>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</si>
  <si>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</si>
  <si>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</si>
  <si>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</si>
  <si>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</si>
  <si>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</si>
  <si>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</si>
  <si>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</si>
  <si>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</si>
  <si>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</si>
  <si>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</si>
  <si>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</si>
  <si>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</si>
  <si>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</si>
  <si>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</si>
  <si>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</si>
  <si>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</si>
  <si>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</si>
  <si>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</si>
  <si>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</si>
  <si>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</si>
  <si>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</si>
  <si>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</si>
  <si>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</si>
  <si>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</si>
  <si>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</si>
  <si>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</si>
  <si>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</si>
  <si>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</si>
  <si>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</si>
  <si>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</si>
  <si>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</si>
  <si>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</si>
  <si>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</si>
  <si>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</si>
  <si>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</si>
  <si>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</si>
  <si>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</si>
  <si>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</si>
  <si>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</si>
  <si>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</si>
  <si>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</si>
  <si>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</si>
  <si>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</si>
  <si>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</si>
  <si>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</si>
  <si>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</si>
  <si>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</si>
  <si>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</si>
  <si>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</si>
  <si>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</si>
  <si>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</si>
  <si>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</si>
  <si>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</si>
  <si>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</si>
  <si>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</si>
  <si>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</si>
  <si>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</si>
  <si>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</si>
  <si>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</si>
  <si>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</si>
  <si>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</si>
  <si>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</si>
  <si>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</si>
  <si>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</si>
  <si>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</si>
  <si>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</si>
  <si>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</si>
  <si>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</si>
  <si>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</si>
  <si>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</si>
  <si>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</si>
  <si>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</si>
  <si>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</si>
  <si>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</si>
  <si>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</si>
  <si>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</si>
  <si>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</si>
  <si>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</si>
  <si>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</si>
  <si>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</si>
  <si>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</si>
  <si>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</si>
  <si>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</si>
  <si>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</si>
  <si>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</si>
  <si>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</si>
  <si>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</si>
  <si>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</si>
  <si>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</si>
  <si>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</si>
  <si>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</si>
  <si>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</si>
  <si>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</si>
  <si>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</si>
  <si>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</si>
  <si>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</si>
  <si>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</si>
  <si>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</si>
  <si>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</si>
  <si>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</si>
  <si>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</si>
  <si>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</si>
  <si>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</si>
  <si>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</si>
  <si>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</si>
  <si>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</si>
  <si>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</si>
  <si>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</si>
  <si>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</si>
  <si>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</si>
  <si>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</si>
  <si>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</si>
  <si>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</si>
  <si>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</si>
  <si>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</si>
  <si>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</si>
  <si>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</si>
  <si>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</si>
  <si>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</si>
  <si>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</si>
  <si>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</si>
  <si>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</si>
  <si>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</si>
  <si>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</si>
  <si>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</si>
  <si>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</si>
  <si>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</si>
  <si>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</si>
  <si>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</si>
  <si>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</si>
  <si>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</si>
  <si>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</si>
  <si>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</si>
  <si>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</si>
  <si>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</si>
  <si>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</si>
  <si>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</si>
  <si>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</si>
  <si>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</si>
  <si>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</si>
  <si>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</si>
  <si>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</si>
  <si>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</si>
  <si>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</si>
  <si>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</si>
  <si>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</si>
  <si>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</si>
  <si>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</si>
  <si>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</si>
  <si>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</si>
  <si>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</si>
  <si>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</si>
  <si>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</si>
  <si>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</si>
  <si>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</si>
  <si>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</si>
  <si>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</si>
  <si>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</si>
  <si>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</si>
  <si>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</si>
  <si>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</si>
  <si>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</si>
  <si>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</si>
  <si>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</si>
  <si>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</si>
  <si>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</si>
  <si>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</si>
  <si>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</si>
  <si>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</si>
  <si>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</si>
  <si>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</si>
  <si>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</si>
  <si>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</si>
  <si>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</si>
  <si>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</si>
  <si>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</si>
  <si>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</si>
  <si>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</si>
  <si>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</si>
  <si>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</si>
  <si>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</si>
  <si>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</si>
  <si>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</si>
  <si>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</si>
  <si>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</si>
  <si>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</si>
  <si>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</si>
  <si>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</si>
  <si>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</si>
  <si>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ARMERIA</t>
  </si>
  <si>
    <t>ARMADURAS</t>
  </si>
  <si>
    <t>ESCRIBA</t>
  </si>
  <si>
    <t>ARTESANO</t>
  </si>
  <si>
    <t>CORTEZAS</t>
  </si>
  <si>
    <t>TINTAS</t>
  </si>
  <si>
    <t>PERGAMINOS</t>
  </si>
  <si>
    <t>TOMOS</t>
  </si>
  <si>
    <t>PIEDRAS</t>
  </si>
  <si>
    <t>GEMAS</t>
  </si>
  <si>
    <t>JOYAS</t>
  </si>
  <si>
    <t>PLANTAS</t>
  </si>
  <si>
    <t>INFUCIONES</t>
  </si>
  <si>
    <t>MADERAS</t>
  </si>
  <si>
    <t>POCIMAS</t>
  </si>
  <si>
    <t>POSIMAS</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</si>
  <si>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</si>
  <si>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</si>
  <si>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</si>
  <si>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</si>
  <si>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</si>
  <si>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</si>
  <si>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</si>
  <si>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</si>
  <si>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</si>
  <si>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</si>
  <si>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</si>
  <si>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</si>
  <si>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</si>
  <si>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</si>
  <si>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</si>
  <si>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</si>
  <si>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</si>
  <si>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</si>
  <si>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</si>
  <si>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</si>
  <si>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</si>
  <si>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</si>
  <si>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</si>
  <si>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</si>
  <si>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</si>
  <si>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</si>
  <si>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</si>
  <si>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</si>
  <si>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</si>
  <si>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</si>
  <si>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</si>
  <si>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</si>
  <si>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</si>
  <si>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</si>
  <si>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</si>
  <si>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</si>
  <si>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</si>
  <si>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</si>
  <si>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</si>
  <si>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</si>
  <si>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</si>
  <si>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</si>
  <si>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</si>
  <si>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</si>
  <si>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</si>
  <si>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</si>
  <si>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</si>
  <si>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</si>
  <si>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</si>
  <si>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</si>
  <si>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</si>
  <si>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Multiplo de atributo</t>
  </si>
  <si>
    <t>&amp;7Ataque:</t>
  </si>
  <si>
    <t>comun x2</t>
  </si>
  <si>
    <t>magico x3</t>
  </si>
  <si>
    <t>ancestral x9</t>
  </si>
  <si>
    <t>legendario x7</t>
  </si>
  <si>
    <t>raro x5</t>
  </si>
  <si>
    <t>EMPLASTOS x2</t>
  </si>
  <si>
    <t>ACEITES x3</t>
  </si>
  <si>
    <t>INFUCIONES x4</t>
  </si>
  <si>
    <t>POSIMAS x5</t>
  </si>
  <si>
    <t>ELIXIR x6</t>
  </si>
  <si>
    <t>Emplasto Maderoso</t>
  </si>
  <si>
    <t>Aceite Maderoso</t>
  </si>
  <si>
    <t>Emplasto Maderico</t>
  </si>
  <si>
    <t>Piel de pollo estropeada</t>
  </si>
  <si>
    <t>PIEZAS DE ANIMALES NATURAL</t>
  </si>
  <si>
    <t>Cuero de pollo</t>
  </si>
  <si>
    <t>Corteza de roble</t>
  </si>
  <si>
    <t>FRAGUA</t>
  </si>
  <si>
    <t>Corteza de abeto</t>
  </si>
  <si>
    <t>Corteza de abedul</t>
  </si>
  <si>
    <t>Corteza de jungla</t>
  </si>
  <si>
    <t>Corteza de acacia</t>
  </si>
  <si>
    <t>Corteza de roble oscuro</t>
  </si>
  <si>
    <t>Artilujio astillado</t>
  </si>
  <si>
    <t>ITEM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</si>
</sst>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64">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7" fillId="9" borderId="0" xfId="0" applyFont="1" applyFill="1" applyBorder="1" applyAlignment="1">
      <alignment horizontal="center" vertical="center"/>
    </xf>
    <xf numFmtId="0" fontId="0" fillId="0" borderId="0" xfId="0"/>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13" fillId="0" borderId="0" xfId="0" applyFont="1" applyAlignment="1">
      <alignment horizontal="left"/>
    </xf>
    <xf numFmtId="0" fontId="7" fillId="8" borderId="0" xfId="0" applyFont="1" applyFill="1" applyAlignment="1">
      <alignment horizontal="center"/>
    </xf>
    <xf numFmtId="0" fontId="0" fillId="0" borderId="0" xfId="0" applyFont="1" applyAlignment="1">
      <alignment horizontal="left"/>
    </xf>
    <xf numFmtId="0" fontId="7" fillId="2" borderId="0" xfId="0" applyFont="1" applyFill="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xf numFmtId="0" fontId="7" fillId="27" borderId="0" xfId="0" applyFont="1" applyFill="1" applyBorder="1" applyAlignment="1"/>
    <xf numFmtId="0" fontId="1" fillId="31" borderId="0" xfId="0" applyNumberFormat="1" applyFont="1" applyFill="1" applyBorder="1" applyAlignment="1">
      <alignment horizontal="center" vertical="center"/>
    </xf>
  </cellXfs>
  <cellStyles count="5">
    <cellStyle name="Cant Get" xfId="3"/>
    <cellStyle name="Data 1.8" xfId="2"/>
    <cellStyle name="Estilo 1" xfId="1"/>
    <cellStyle name="GM Only" xf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7" t="s">
        <v>1190</v>
      </c>
      <c r="B1" s="297"/>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8" t="s">
        <v>146</v>
      </c>
      <c r="E1" s="318"/>
      <c r="F1" s="318"/>
      <c r="G1" s="318"/>
      <c r="H1" s="318"/>
      <c r="I1" s="318"/>
      <c r="J1" s="318"/>
      <c r="K1" s="319"/>
      <c r="L1" s="305" t="s">
        <v>199</v>
      </c>
      <c r="M1" s="306"/>
      <c r="N1" s="304" t="s">
        <v>164</v>
      </c>
      <c r="O1" s="304"/>
      <c r="P1" s="304"/>
      <c r="Q1" s="304"/>
      <c r="R1" s="304"/>
      <c r="S1" s="25"/>
    </row>
    <row r="2" spans="1:24" x14ac:dyDescent="0.25">
      <c r="B2" s="50" t="s">
        <v>147</v>
      </c>
      <c r="C2" s="50" t="s">
        <v>62</v>
      </c>
      <c r="D2" s="302" t="s">
        <v>152</v>
      </c>
      <c r="E2" s="302"/>
      <c r="F2" s="302" t="s">
        <v>150</v>
      </c>
      <c r="G2" s="302"/>
      <c r="H2" s="302" t="s">
        <v>151</v>
      </c>
      <c r="I2" s="302"/>
      <c r="J2" s="302" t="s">
        <v>160</v>
      </c>
      <c r="K2" s="317"/>
      <c r="L2" s="307"/>
      <c r="M2" s="308"/>
      <c r="N2" s="29" t="s">
        <v>35</v>
      </c>
      <c r="O2" s="30" t="s">
        <v>51</v>
      </c>
      <c r="P2" s="29" t="s">
        <v>52</v>
      </c>
      <c r="Q2" s="30" t="s">
        <v>53</v>
      </c>
      <c r="R2" s="29" t="s">
        <v>54</v>
      </c>
    </row>
    <row r="3" spans="1:24" x14ac:dyDescent="0.25">
      <c r="B3" s="28">
        <v>1</v>
      </c>
      <c r="C3" s="53">
        <v>1</v>
      </c>
      <c r="D3" s="303" t="s">
        <v>122</v>
      </c>
      <c r="E3" s="303"/>
      <c r="F3" s="298" t="s">
        <v>128</v>
      </c>
      <c r="G3" s="298"/>
      <c r="H3" s="303" t="s">
        <v>134</v>
      </c>
      <c r="I3" s="303"/>
      <c r="J3" s="303" t="s">
        <v>135</v>
      </c>
      <c r="K3" s="327"/>
      <c r="L3" s="307"/>
      <c r="M3" s="308"/>
      <c r="N3" s="33">
        <v>1</v>
      </c>
      <c r="O3" s="33">
        <v>3</v>
      </c>
      <c r="P3" s="33">
        <v>5</v>
      </c>
      <c r="Q3" s="33">
        <v>7</v>
      </c>
      <c r="R3" s="33">
        <v>9</v>
      </c>
      <c r="S3" s="328" t="s">
        <v>165</v>
      </c>
      <c r="T3" s="329"/>
      <c r="U3" s="329"/>
      <c r="V3" s="329"/>
      <c r="W3" s="329"/>
      <c r="X3" s="329"/>
    </row>
    <row r="4" spans="1:24" s="24" customFormat="1" x14ac:dyDescent="0.25">
      <c r="B4" s="28">
        <v>2</v>
      </c>
      <c r="C4" s="54">
        <f>$C$3+2</f>
        <v>3</v>
      </c>
      <c r="D4" s="303" t="s">
        <v>123</v>
      </c>
      <c r="E4" s="303"/>
      <c r="F4" s="298" t="s">
        <v>129</v>
      </c>
      <c r="G4" s="298"/>
      <c r="H4" s="303" t="s">
        <v>136</v>
      </c>
      <c r="I4" s="303"/>
      <c r="J4" s="303" t="s">
        <v>137</v>
      </c>
      <c r="K4" s="327"/>
      <c r="L4" s="309"/>
      <c r="M4" s="310"/>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3" t="s">
        <v>124</v>
      </c>
      <c r="E5" s="303"/>
      <c r="F5" s="298" t="s">
        <v>130</v>
      </c>
      <c r="G5" s="298"/>
      <c r="H5" s="303" t="s">
        <v>139</v>
      </c>
      <c r="I5" s="303"/>
      <c r="J5" s="303" t="s">
        <v>138</v>
      </c>
      <c r="K5" s="327"/>
      <c r="L5" s="311"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3" t="s">
        <v>127</v>
      </c>
      <c r="E6" s="303"/>
      <c r="F6" s="298" t="s">
        <v>131</v>
      </c>
      <c r="G6" s="298"/>
      <c r="H6" s="303" t="s">
        <v>140</v>
      </c>
      <c r="I6" s="303"/>
      <c r="J6" s="303" t="s">
        <v>141</v>
      </c>
      <c r="K6" s="327"/>
      <c r="L6" s="312"/>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3" t="s">
        <v>126</v>
      </c>
      <c r="E7" s="303"/>
      <c r="F7" s="298" t="s">
        <v>132</v>
      </c>
      <c r="G7" s="298"/>
      <c r="H7" s="303" t="s">
        <v>142</v>
      </c>
      <c r="I7" s="303"/>
      <c r="J7" s="303" t="s">
        <v>143</v>
      </c>
      <c r="K7" s="327"/>
      <c r="L7" s="312"/>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3" t="s">
        <v>125</v>
      </c>
      <c r="E8" s="303"/>
      <c r="F8" s="298" t="s">
        <v>133</v>
      </c>
      <c r="G8" s="298"/>
      <c r="H8" s="303" t="s">
        <v>144</v>
      </c>
      <c r="I8" s="303"/>
      <c r="J8" s="303" t="s">
        <v>145</v>
      </c>
      <c r="K8" s="327"/>
      <c r="L8" s="312"/>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8" t="s">
        <v>163</v>
      </c>
      <c r="E9" s="318"/>
      <c r="F9" s="318"/>
      <c r="G9" s="318"/>
      <c r="H9" s="318"/>
      <c r="I9" s="318"/>
      <c r="J9" s="318"/>
      <c r="K9" s="319"/>
      <c r="L9" s="313"/>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298">
        <v>1.5</v>
      </c>
      <c r="E10" s="298"/>
      <c r="F10" s="298">
        <v>2.5</v>
      </c>
      <c r="G10" s="298"/>
      <c r="H10" s="298">
        <v>64</v>
      </c>
      <c r="I10" s="298"/>
      <c r="J10" s="298">
        <v>64</v>
      </c>
      <c r="K10" s="330"/>
      <c r="L10" s="314"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298">
        <v>64</v>
      </c>
      <c r="E11" s="298"/>
      <c r="F11" s="298">
        <v>64</v>
      </c>
      <c r="G11" s="298"/>
      <c r="H11" s="298">
        <v>64</v>
      </c>
      <c r="I11" s="298"/>
      <c r="J11" s="298">
        <v>64</v>
      </c>
      <c r="K11" s="330"/>
      <c r="L11" s="315"/>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8" t="s">
        <v>169</v>
      </c>
      <c r="B12" s="318"/>
      <c r="C12" s="27"/>
      <c r="D12" s="318" t="s">
        <v>167</v>
      </c>
      <c r="E12" s="318"/>
      <c r="F12" s="318"/>
      <c r="G12" s="318"/>
      <c r="H12" s="318"/>
      <c r="I12" s="318"/>
      <c r="J12" s="318"/>
      <c r="K12" s="319"/>
      <c r="L12" s="315"/>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2" t="s">
        <v>152</v>
      </c>
      <c r="E13" s="302"/>
      <c r="F13" s="302" t="s">
        <v>150</v>
      </c>
      <c r="G13" s="302"/>
      <c r="H13" s="302" t="s">
        <v>151</v>
      </c>
      <c r="I13" s="302"/>
      <c r="J13" s="302" t="s">
        <v>160</v>
      </c>
      <c r="K13" s="317"/>
      <c r="L13" s="315"/>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21">
        <f>ROUND((D10*$B$13)/$B$14,2)</f>
        <v>128.33000000000001</v>
      </c>
      <c r="E14" s="321"/>
      <c r="F14" s="321">
        <f>ROUND((F10*$B$13)/$B$14,2)</f>
        <v>213.89</v>
      </c>
      <c r="G14" s="321"/>
      <c r="H14" s="321">
        <f>ROUND((H10*$B$13)/$B$14,2)</f>
        <v>5475.56</v>
      </c>
      <c r="I14" s="321"/>
      <c r="J14" s="321">
        <f>ROUND((J10*$B$13)/$B$14,2)</f>
        <v>5475.56</v>
      </c>
      <c r="K14" s="321"/>
      <c r="L14" s="316"/>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8" t="s">
        <v>171</v>
      </c>
      <c r="B15" s="318"/>
      <c r="C15" s="51" t="s">
        <v>162</v>
      </c>
      <c r="D15" s="321">
        <f>ROUND($D$14/$D$11,2)</f>
        <v>2.0099999999999998</v>
      </c>
      <c r="E15" s="321"/>
      <c r="F15" s="321">
        <f>ROUND($F$14/$F$11,2)</f>
        <v>3.34</v>
      </c>
      <c r="G15" s="321"/>
      <c r="H15" s="321">
        <f>ROUND($H$14/$H$11,2)</f>
        <v>85.56</v>
      </c>
      <c r="I15" s="321"/>
      <c r="J15" s="321">
        <f>ROUND($J$14/$J$11,2)</f>
        <v>85.56</v>
      </c>
      <c r="K15" s="321"/>
      <c r="L15" s="320"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6"/>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6"/>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20"/>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20"/>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3"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4"/>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4"/>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5"/>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8" t="s">
        <v>198</v>
      </c>
      <c r="E24" s="318"/>
      <c r="F24" s="318"/>
      <c r="G24" s="318"/>
      <c r="H24" s="318"/>
      <c r="I24" s="318"/>
      <c r="J24" s="318"/>
      <c r="K24" s="319"/>
      <c r="L24" s="325"/>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2" t="s">
        <v>152</v>
      </c>
      <c r="E25" s="322"/>
      <c r="F25" s="322" t="s">
        <v>150</v>
      </c>
      <c r="G25" s="322"/>
      <c r="H25" s="322" t="s">
        <v>151</v>
      </c>
      <c r="I25" s="322"/>
      <c r="J25" s="322" t="s">
        <v>160</v>
      </c>
      <c r="K25" s="322"/>
      <c r="L25" s="320"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20"/>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20"/>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20"/>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20"/>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9" t="s">
        <v>985</v>
      </c>
      <c r="E41" s="299"/>
      <c r="F41" s="299"/>
      <c r="G41" s="299"/>
      <c r="H41" s="299" t="s">
        <v>1005</v>
      </c>
      <c r="I41" s="299"/>
      <c r="J41" s="299"/>
      <c r="K41" s="299"/>
    </row>
    <row r="42" spans="1:23" x14ac:dyDescent="0.25">
      <c r="B42" s="166"/>
      <c r="C42" s="165"/>
      <c r="D42" s="300" t="s">
        <v>986</v>
      </c>
      <c r="E42" s="301"/>
      <c r="F42" s="301"/>
      <c r="G42" s="301"/>
      <c r="H42" s="300" t="s">
        <v>988</v>
      </c>
      <c r="I42" s="301"/>
      <c r="J42" s="301"/>
      <c r="K42" s="301"/>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W587"/>
  <sheetViews>
    <sheetView workbookViewId="0">
      <pane ySplit="2" topLeftCell="A423" activePane="bottomLeft" state="frozen"/>
      <selection pane="bottomLeft" activeCell="F434" sqref="F434"/>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2" t="s">
        <v>925</v>
      </c>
      <c r="H1" s="333"/>
      <c r="I1" s="333"/>
      <c r="J1" s="333"/>
      <c r="K1" s="331" t="s">
        <v>927</v>
      </c>
      <c r="L1" s="331"/>
      <c r="M1" s="331"/>
      <c r="N1" s="331"/>
      <c r="O1" s="334" t="s">
        <v>928</v>
      </c>
      <c r="P1" s="334"/>
      <c r="Q1" s="334"/>
      <c r="R1" s="334"/>
      <c r="S1" s="331" t="s">
        <v>929</v>
      </c>
      <c r="T1" s="331"/>
      <c r="U1" s="331"/>
      <c r="V1" s="331"/>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dimension ref="A1:V521"/>
  <sheetViews>
    <sheetView workbookViewId="0">
      <pane ySplit="2" topLeftCell="A508"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formula1>PROFESIONES</formula1>
    </dataValidation>
    <dataValidation type="list" allowBlank="1" showInputMessage="1" showErrorMessage="1" sqref="F4:I521">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R187"/>
  <sheetViews>
    <sheetView workbookViewId="0">
      <selection activeCell="C12" sqref="C12"/>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9" t="s">
        <v>152</v>
      </c>
      <c r="B1" s="339"/>
      <c r="C1" s="339"/>
      <c r="D1" s="339"/>
      <c r="E1" s="339" t="s">
        <v>150</v>
      </c>
      <c r="F1" s="339"/>
      <c r="G1" s="339"/>
      <c r="H1" s="339"/>
      <c r="I1" s="339" t="s">
        <v>151</v>
      </c>
      <c r="J1" s="339"/>
      <c r="K1" s="339"/>
      <c r="L1" s="339"/>
      <c r="M1" s="339" t="s">
        <v>160</v>
      </c>
      <c r="N1" s="339"/>
      <c r="O1" s="339"/>
      <c r="P1" s="339"/>
      <c r="Q1" s="187"/>
      <c r="R1" s="187"/>
    </row>
    <row r="2" spans="1:18" x14ac:dyDescent="0.25">
      <c r="A2" s="340" t="s">
        <v>1010</v>
      </c>
      <c r="B2" s="341"/>
      <c r="C2" s="341"/>
      <c r="D2" s="341"/>
      <c r="E2" s="340" t="s">
        <v>1010</v>
      </c>
      <c r="F2" s="341"/>
      <c r="G2" s="341"/>
      <c r="H2" s="341"/>
      <c r="I2" s="340" t="s">
        <v>1010</v>
      </c>
      <c r="J2" s="341"/>
      <c r="K2" s="341"/>
      <c r="L2" s="341"/>
      <c r="M2" s="340" t="s">
        <v>1010</v>
      </c>
      <c r="N2" s="341"/>
      <c r="O2" s="341"/>
      <c r="P2" s="341"/>
    </row>
    <row r="3" spans="1:18" x14ac:dyDescent="0.25">
      <c r="A3" s="335" t="s">
        <v>1008</v>
      </c>
      <c r="B3" s="336"/>
      <c r="C3" s="337">
        <f>COUNTA(A8:A30)</f>
        <v>16</v>
      </c>
      <c r="D3" s="338"/>
      <c r="E3" s="335" t="s">
        <v>1008</v>
      </c>
      <c r="F3" s="336"/>
      <c r="G3" s="337">
        <f>COUNTA(E8:E30)</f>
        <v>16</v>
      </c>
      <c r="H3" s="338"/>
      <c r="I3" s="335" t="s">
        <v>1008</v>
      </c>
      <c r="J3" s="336"/>
      <c r="K3" s="337">
        <f>COUNTA(I8:I30)</f>
        <v>19</v>
      </c>
      <c r="L3" s="338"/>
      <c r="M3" s="335" t="s">
        <v>1008</v>
      </c>
      <c r="N3" s="336"/>
      <c r="O3" s="337">
        <f>COUNTA(M8:M30)</f>
        <v>2</v>
      </c>
      <c r="P3" s="338"/>
    </row>
    <row r="4" spans="1:18" s="181" customFormat="1" x14ac:dyDescent="0.25">
      <c r="A4" s="335" t="s">
        <v>1009</v>
      </c>
      <c r="B4" s="336"/>
      <c r="C4" s="337">
        <f>ROUNDDOWN((C5+C6)/C3,1)</f>
        <v>3.1</v>
      </c>
      <c r="D4" s="338"/>
      <c r="E4" s="335" t="s">
        <v>1009</v>
      </c>
      <c r="F4" s="336"/>
      <c r="G4" s="337">
        <f>ROUNDDOWN((G5+G6)/G3,1)</f>
        <v>3.1</v>
      </c>
      <c r="H4" s="338"/>
      <c r="I4" s="335" t="s">
        <v>1009</v>
      </c>
      <c r="J4" s="336"/>
      <c r="K4" s="337">
        <f>ROUNDDOWN((K5+K6)/K3,1)</f>
        <v>2.6</v>
      </c>
      <c r="L4" s="338"/>
      <c r="M4" s="335" t="s">
        <v>1009</v>
      </c>
      <c r="N4" s="336"/>
      <c r="O4" s="337">
        <f>ROUNDDOWN((O5+O6)/O3,1)</f>
        <v>25</v>
      </c>
      <c r="P4" s="338"/>
    </row>
    <row r="5" spans="1:18" x14ac:dyDescent="0.25">
      <c r="A5" s="335" t="s">
        <v>1007</v>
      </c>
      <c r="B5" s="336"/>
      <c r="C5" s="337">
        <v>0</v>
      </c>
      <c r="D5" s="338"/>
      <c r="E5" s="335" t="s">
        <v>1007</v>
      </c>
      <c r="F5" s="336"/>
      <c r="G5" s="337">
        <v>0</v>
      </c>
      <c r="H5" s="338"/>
      <c r="I5" s="335" t="s">
        <v>1007</v>
      </c>
      <c r="J5" s="336"/>
      <c r="K5" s="337">
        <v>0</v>
      </c>
      <c r="L5" s="338"/>
      <c r="M5" s="335" t="s">
        <v>1007</v>
      </c>
      <c r="N5" s="336"/>
      <c r="O5" s="337">
        <v>0</v>
      </c>
      <c r="P5" s="338"/>
    </row>
    <row r="6" spans="1:18" x14ac:dyDescent="0.25">
      <c r="A6" s="335" t="s">
        <v>1016</v>
      </c>
      <c r="B6" s="336"/>
      <c r="C6" s="344">
        <v>50</v>
      </c>
      <c r="D6" s="345"/>
      <c r="E6" s="335" t="s">
        <v>1016</v>
      </c>
      <c r="F6" s="336"/>
      <c r="G6" s="344">
        <v>50</v>
      </c>
      <c r="H6" s="345"/>
      <c r="I6" s="335" t="s">
        <v>1016</v>
      </c>
      <c r="J6" s="336"/>
      <c r="K6" s="344">
        <v>50</v>
      </c>
      <c r="L6" s="345"/>
      <c r="M6" s="335" t="s">
        <v>1016</v>
      </c>
      <c r="N6" s="336"/>
      <c r="O6" s="344">
        <v>50</v>
      </c>
      <c r="P6" s="345"/>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2" t="s">
        <v>1011</v>
      </c>
      <c r="C31" s="342"/>
      <c r="D31" s="343"/>
      <c r="E31" s="257"/>
      <c r="F31" s="342" t="s">
        <v>1011</v>
      </c>
      <c r="G31" s="342"/>
      <c r="H31" s="343"/>
      <c r="I31" s="257"/>
      <c r="J31" s="342" t="s">
        <v>1011</v>
      </c>
      <c r="K31" s="342"/>
      <c r="L31" s="343"/>
      <c r="M31" s="257"/>
      <c r="N31" s="342" t="s">
        <v>1011</v>
      </c>
      <c r="O31" s="342"/>
      <c r="P31" s="343"/>
    </row>
    <row r="32" spans="1:16" x14ac:dyDescent="0.25">
      <c r="A32" s="258"/>
      <c r="B32" s="258" t="s">
        <v>1008</v>
      </c>
      <c r="C32" s="337">
        <f>COUNTA(A37:A59)</f>
        <v>5</v>
      </c>
      <c r="D32" s="338"/>
      <c r="E32" s="258"/>
      <c r="F32" s="258" t="s">
        <v>1008</v>
      </c>
      <c r="G32" s="337">
        <f>COUNTA(E37:E59)</f>
        <v>10</v>
      </c>
      <c r="H32" s="338"/>
      <c r="I32" s="258"/>
      <c r="J32" s="258" t="s">
        <v>1008</v>
      </c>
      <c r="K32" s="337">
        <f>COUNTA(I37:I59)</f>
        <v>13</v>
      </c>
      <c r="L32" s="338"/>
      <c r="M32" s="258"/>
      <c r="N32" s="258" t="s">
        <v>1008</v>
      </c>
      <c r="O32" s="337">
        <f>COUNTA(M37:M59)</f>
        <v>3</v>
      </c>
      <c r="P32" s="338"/>
    </row>
    <row r="33" spans="1:16" x14ac:dyDescent="0.25">
      <c r="A33" s="258"/>
      <c r="B33" s="258" t="s">
        <v>1009</v>
      </c>
      <c r="C33" s="337">
        <f>ROUNDDOWN(C34/C32,1)</f>
        <v>10</v>
      </c>
      <c r="D33" s="338"/>
      <c r="E33" s="258"/>
      <c r="F33" s="258" t="s">
        <v>1009</v>
      </c>
      <c r="G33" s="337">
        <f>ROUNDDOWN(G34/G32,1)</f>
        <v>5</v>
      </c>
      <c r="H33" s="338"/>
      <c r="I33" s="258"/>
      <c r="J33" s="258" t="s">
        <v>1009</v>
      </c>
      <c r="K33" s="337">
        <f>ROUNDDOWN(K34/K32,1)</f>
        <v>3.8</v>
      </c>
      <c r="L33" s="338"/>
      <c r="M33" s="258"/>
      <c r="N33" s="258" t="s">
        <v>1009</v>
      </c>
      <c r="O33" s="337">
        <f>ROUNDDOWN(O34/O32,1)</f>
        <v>16.600000000000001</v>
      </c>
      <c r="P33" s="338"/>
    </row>
    <row r="34" spans="1:16" x14ac:dyDescent="0.25">
      <c r="A34" s="258"/>
      <c r="B34" s="258" t="s">
        <v>1007</v>
      </c>
      <c r="C34" s="337">
        <v>50</v>
      </c>
      <c r="D34" s="338"/>
      <c r="E34" s="258"/>
      <c r="F34" s="258" t="s">
        <v>1007</v>
      </c>
      <c r="G34" s="337">
        <v>50</v>
      </c>
      <c r="H34" s="338"/>
      <c r="I34" s="258"/>
      <c r="J34" s="258" t="s">
        <v>1007</v>
      </c>
      <c r="K34" s="337">
        <v>50</v>
      </c>
      <c r="L34" s="338"/>
      <c r="M34" s="258"/>
      <c r="N34" s="258" t="s">
        <v>1007</v>
      </c>
      <c r="O34" s="337">
        <v>50</v>
      </c>
      <c r="P34" s="338"/>
    </row>
    <row r="35" spans="1:16" x14ac:dyDescent="0.25">
      <c r="A35" s="258"/>
      <c r="B35" s="258" t="s">
        <v>1016</v>
      </c>
      <c r="C35" s="344">
        <v>50</v>
      </c>
      <c r="D35" s="345"/>
      <c r="E35" s="258"/>
      <c r="F35" s="258" t="s">
        <v>1016</v>
      </c>
      <c r="G35" s="344">
        <v>50</v>
      </c>
      <c r="H35" s="345"/>
      <c r="I35" s="258"/>
      <c r="J35" s="258" t="s">
        <v>1016</v>
      </c>
      <c r="K35" s="344">
        <v>50</v>
      </c>
      <c r="L35" s="345"/>
      <c r="M35" s="258"/>
      <c r="N35" s="258" t="s">
        <v>1016</v>
      </c>
      <c r="O35" s="344">
        <v>50</v>
      </c>
      <c r="P35" s="345"/>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2" t="s">
        <v>1012</v>
      </c>
      <c r="C60" s="342"/>
      <c r="D60" s="343"/>
      <c r="E60" s="259"/>
      <c r="F60" s="342" t="s">
        <v>1012</v>
      </c>
      <c r="G60" s="342"/>
      <c r="H60" s="343"/>
      <c r="I60" s="259"/>
      <c r="J60" s="342" t="s">
        <v>1012</v>
      </c>
      <c r="K60" s="342"/>
      <c r="L60" s="343"/>
      <c r="M60" s="259"/>
      <c r="N60" s="342" t="s">
        <v>1012</v>
      </c>
      <c r="O60" s="342"/>
      <c r="P60" s="343"/>
    </row>
    <row r="61" spans="1:16" x14ac:dyDescent="0.25">
      <c r="A61" s="258"/>
      <c r="B61" s="258" t="s">
        <v>1008</v>
      </c>
      <c r="C61" s="337">
        <f>COUNTA(A66:A88)</f>
        <v>18</v>
      </c>
      <c r="D61" s="317"/>
      <c r="E61" s="258"/>
      <c r="F61" s="258" t="s">
        <v>1008</v>
      </c>
      <c r="G61" s="337">
        <f>COUNTA(E66:E88)</f>
        <v>14</v>
      </c>
      <c r="H61" s="317"/>
      <c r="I61" s="258"/>
      <c r="J61" s="258" t="s">
        <v>1008</v>
      </c>
      <c r="K61" s="337">
        <f>COUNTA(I66:I88)</f>
        <v>12</v>
      </c>
      <c r="L61" s="317"/>
      <c r="M61" s="258"/>
      <c r="N61" s="258" t="s">
        <v>1008</v>
      </c>
      <c r="O61" s="337">
        <f>COUNTA(M66:M88)</f>
        <v>1</v>
      </c>
      <c r="P61" s="317"/>
    </row>
    <row r="62" spans="1:16" x14ac:dyDescent="0.25">
      <c r="A62" s="258"/>
      <c r="B62" s="258" t="s">
        <v>1009</v>
      </c>
      <c r="C62" s="337">
        <f>ROUNDDOWN(C64/C61,1)</f>
        <v>2.7</v>
      </c>
      <c r="D62" s="317"/>
      <c r="E62" s="258"/>
      <c r="F62" s="258" t="s">
        <v>1009</v>
      </c>
      <c r="G62" s="337">
        <f>ROUNDDOWN(G64/G61,1)</f>
        <v>3.5</v>
      </c>
      <c r="H62" s="317"/>
      <c r="I62" s="258"/>
      <c r="J62" s="258" t="s">
        <v>1009</v>
      </c>
      <c r="K62" s="337">
        <f>ROUNDDOWN(K64/K61,1)</f>
        <v>4.0999999999999996</v>
      </c>
      <c r="L62" s="317"/>
      <c r="M62" s="258"/>
      <c r="N62" s="258" t="s">
        <v>1009</v>
      </c>
      <c r="O62" s="337">
        <f>ROUNDDOWN(O64/O61,1)</f>
        <v>50</v>
      </c>
      <c r="P62" s="317"/>
    </row>
    <row r="63" spans="1:16" x14ac:dyDescent="0.25">
      <c r="A63" s="258"/>
      <c r="B63" s="258" t="s">
        <v>1007</v>
      </c>
      <c r="C63" s="337">
        <v>100</v>
      </c>
      <c r="D63" s="317"/>
      <c r="E63" s="258"/>
      <c r="F63" s="258" t="s">
        <v>1007</v>
      </c>
      <c r="G63" s="337">
        <v>100</v>
      </c>
      <c r="H63" s="317"/>
      <c r="I63" s="258"/>
      <c r="J63" s="258" t="s">
        <v>1007</v>
      </c>
      <c r="K63" s="337">
        <v>100</v>
      </c>
      <c r="L63" s="317"/>
      <c r="M63" s="258"/>
      <c r="N63" s="258" t="s">
        <v>1007</v>
      </c>
      <c r="O63" s="337">
        <v>100</v>
      </c>
      <c r="P63" s="317"/>
    </row>
    <row r="64" spans="1:16" x14ac:dyDescent="0.25">
      <c r="A64" s="258"/>
      <c r="B64" s="258" t="s">
        <v>1016</v>
      </c>
      <c r="C64" s="344">
        <v>50</v>
      </c>
      <c r="D64" s="347"/>
      <c r="E64" s="258"/>
      <c r="F64" s="258" t="s">
        <v>1016</v>
      </c>
      <c r="G64" s="344">
        <v>50</v>
      </c>
      <c r="H64" s="347"/>
      <c r="I64" s="258"/>
      <c r="J64" s="258" t="s">
        <v>1016</v>
      </c>
      <c r="K64" s="344">
        <v>50</v>
      </c>
      <c r="L64" s="347"/>
      <c r="M64" s="258"/>
      <c r="N64" s="258" t="s">
        <v>1016</v>
      </c>
      <c r="O64" s="344">
        <v>50</v>
      </c>
      <c r="P64" s="347"/>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2" t="s">
        <v>1013</v>
      </c>
      <c r="C89" s="342"/>
      <c r="D89" s="343"/>
      <c r="E89" s="259"/>
      <c r="F89" s="342" t="s">
        <v>1013</v>
      </c>
      <c r="G89" s="342"/>
      <c r="H89" s="343"/>
      <c r="I89" s="259"/>
      <c r="J89" s="342" t="s">
        <v>1013</v>
      </c>
      <c r="K89" s="342"/>
      <c r="L89" s="343"/>
      <c r="M89" s="259"/>
      <c r="N89" s="342" t="s">
        <v>1013</v>
      </c>
      <c r="O89" s="342"/>
      <c r="P89" s="343"/>
    </row>
    <row r="90" spans="1:16" x14ac:dyDescent="0.25">
      <c r="A90" s="258"/>
      <c r="B90" s="258" t="s">
        <v>1008</v>
      </c>
      <c r="C90" s="337">
        <f>COUNTA(A95:A129)</f>
        <v>35</v>
      </c>
      <c r="D90" s="317"/>
      <c r="E90" s="258"/>
      <c r="F90" s="258" t="s">
        <v>1008</v>
      </c>
      <c r="G90" s="337">
        <f>COUNTA(E95:E129)</f>
        <v>7</v>
      </c>
      <c r="H90" s="317"/>
      <c r="I90" s="258"/>
      <c r="J90" s="258" t="s">
        <v>1008</v>
      </c>
      <c r="K90" s="337">
        <f>COUNTA(I95:I129)</f>
        <v>17</v>
      </c>
      <c r="L90" s="317"/>
      <c r="M90" s="258"/>
      <c r="N90" s="258" t="s">
        <v>1008</v>
      </c>
      <c r="O90" s="337">
        <f>COUNTA(M95:M129)</f>
        <v>4</v>
      </c>
      <c r="P90" s="317"/>
    </row>
    <row r="91" spans="1:16" x14ac:dyDescent="0.25">
      <c r="A91" s="258"/>
      <c r="B91" s="258" t="s">
        <v>1009</v>
      </c>
      <c r="C91" s="337">
        <f>ROUNDDOWN(C93/C90,1)</f>
        <v>1.4</v>
      </c>
      <c r="D91" s="338"/>
      <c r="E91" s="258"/>
      <c r="F91" s="258" t="s">
        <v>1009</v>
      </c>
      <c r="G91" s="337">
        <f>ROUNDDOWN(G93/G90,1)</f>
        <v>7.1</v>
      </c>
      <c r="H91" s="338"/>
      <c r="I91" s="258"/>
      <c r="J91" s="258" t="s">
        <v>1009</v>
      </c>
      <c r="K91" s="337">
        <f>ROUNDDOWN(K93/K90,1)</f>
        <v>2.9</v>
      </c>
      <c r="L91" s="338"/>
      <c r="M91" s="258"/>
      <c r="N91" s="258" t="s">
        <v>1009</v>
      </c>
      <c r="O91" s="337">
        <f>ROUNDDOWN(O93/O90,1)</f>
        <v>12.5</v>
      </c>
      <c r="P91" s="338"/>
    </row>
    <row r="92" spans="1:16" x14ac:dyDescent="0.25">
      <c r="A92" s="258"/>
      <c r="B92" s="258" t="s">
        <v>1007</v>
      </c>
      <c r="C92" s="337">
        <v>150</v>
      </c>
      <c r="D92" s="338"/>
      <c r="E92" s="258"/>
      <c r="F92" s="258" t="s">
        <v>1007</v>
      </c>
      <c r="G92" s="337">
        <v>150</v>
      </c>
      <c r="H92" s="338"/>
      <c r="I92" s="258"/>
      <c r="J92" s="258" t="s">
        <v>1007</v>
      </c>
      <c r="K92" s="337">
        <v>150</v>
      </c>
      <c r="L92" s="338"/>
      <c r="M92" s="258"/>
      <c r="N92" s="258" t="s">
        <v>1007</v>
      </c>
      <c r="O92" s="337">
        <v>150</v>
      </c>
      <c r="P92" s="338"/>
    </row>
    <row r="93" spans="1:16" x14ac:dyDescent="0.25">
      <c r="A93" s="258"/>
      <c r="B93" s="258" t="s">
        <v>1016</v>
      </c>
      <c r="C93" s="344">
        <v>50</v>
      </c>
      <c r="D93" s="345"/>
      <c r="E93" s="258"/>
      <c r="F93" s="258" t="s">
        <v>1016</v>
      </c>
      <c r="G93" s="344">
        <v>50</v>
      </c>
      <c r="H93" s="345"/>
      <c r="I93" s="258"/>
      <c r="J93" s="258" t="s">
        <v>1016</v>
      </c>
      <c r="K93" s="344">
        <v>50</v>
      </c>
      <c r="L93" s="345"/>
      <c r="M93" s="258"/>
      <c r="N93" s="258" t="s">
        <v>1016</v>
      </c>
      <c r="O93" s="344">
        <v>50</v>
      </c>
      <c r="P93" s="345"/>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2" t="s">
        <v>1014</v>
      </c>
      <c r="C130" s="342"/>
      <c r="D130" s="343"/>
      <c r="E130" s="257"/>
      <c r="F130" s="342" t="s">
        <v>1014</v>
      </c>
      <c r="G130" s="342"/>
      <c r="H130" s="343"/>
      <c r="I130" s="257"/>
      <c r="J130" s="342" t="s">
        <v>1014</v>
      </c>
      <c r="K130" s="342"/>
      <c r="L130" s="343"/>
      <c r="M130" s="257"/>
      <c r="N130" s="342" t="s">
        <v>1014</v>
      </c>
      <c r="O130" s="342"/>
      <c r="P130" s="343"/>
    </row>
    <row r="131" spans="1:16" x14ac:dyDescent="0.25">
      <c r="A131" s="258"/>
      <c r="B131" s="258" t="s">
        <v>1008</v>
      </c>
      <c r="C131" s="337">
        <f>COUNTA(A136:A158)</f>
        <v>20</v>
      </c>
      <c r="D131" s="317"/>
      <c r="E131" s="258"/>
      <c r="F131" s="258" t="s">
        <v>1008</v>
      </c>
      <c r="G131" s="337">
        <f>COUNTA(E136:E158)</f>
        <v>7</v>
      </c>
      <c r="H131" s="317"/>
      <c r="I131" s="258"/>
      <c r="J131" s="258" t="s">
        <v>1008</v>
      </c>
      <c r="K131" s="337">
        <f>COUNTA(I136:I158)</f>
        <v>21</v>
      </c>
      <c r="L131" s="317"/>
      <c r="M131" s="258"/>
      <c r="N131" s="258" t="s">
        <v>1008</v>
      </c>
      <c r="O131" s="337">
        <f>COUNTA(M136:M158)</f>
        <v>2</v>
      </c>
      <c r="P131" s="317"/>
    </row>
    <row r="132" spans="1:16" x14ac:dyDescent="0.25">
      <c r="A132" s="258"/>
      <c r="B132" s="258" t="s">
        <v>1009</v>
      </c>
      <c r="C132" s="337">
        <f>ROUNDDOWN(C134/C131,1)</f>
        <v>2.5</v>
      </c>
      <c r="D132" s="317"/>
      <c r="E132" s="258"/>
      <c r="F132" s="258" t="s">
        <v>1009</v>
      </c>
      <c r="G132" s="337">
        <f>ROUNDDOWN(G134/G131,1)</f>
        <v>7.1</v>
      </c>
      <c r="H132" s="317"/>
      <c r="I132" s="258"/>
      <c r="J132" s="258" t="s">
        <v>1009</v>
      </c>
      <c r="K132" s="337">
        <f>ROUNDDOWN(K134/K131,1)</f>
        <v>2.2999999999999998</v>
      </c>
      <c r="L132" s="317"/>
      <c r="M132" s="258"/>
      <c r="N132" s="258" t="s">
        <v>1009</v>
      </c>
      <c r="O132" s="337">
        <f>ROUNDDOWN(O134/O131,1)</f>
        <v>25</v>
      </c>
      <c r="P132" s="317"/>
    </row>
    <row r="133" spans="1:16" x14ac:dyDescent="0.25">
      <c r="A133" s="258"/>
      <c r="B133" s="258" t="s">
        <v>1007</v>
      </c>
      <c r="C133" s="337">
        <v>200</v>
      </c>
      <c r="D133" s="317"/>
      <c r="E133" s="258"/>
      <c r="F133" s="258" t="s">
        <v>1007</v>
      </c>
      <c r="G133" s="337">
        <v>200</v>
      </c>
      <c r="H133" s="317"/>
      <c r="I133" s="258"/>
      <c r="J133" s="258" t="s">
        <v>1007</v>
      </c>
      <c r="K133" s="337">
        <v>200</v>
      </c>
      <c r="L133" s="317"/>
      <c r="M133" s="258"/>
      <c r="N133" s="258" t="s">
        <v>1007</v>
      </c>
      <c r="O133" s="337">
        <v>200</v>
      </c>
      <c r="P133" s="317"/>
    </row>
    <row r="134" spans="1:16" x14ac:dyDescent="0.25">
      <c r="A134" s="258"/>
      <c r="B134" s="258" t="s">
        <v>1016</v>
      </c>
      <c r="C134" s="344">
        <v>50</v>
      </c>
      <c r="D134" s="347"/>
      <c r="E134" s="258"/>
      <c r="F134" s="258" t="s">
        <v>1016</v>
      </c>
      <c r="G134" s="344">
        <v>50</v>
      </c>
      <c r="H134" s="347"/>
      <c r="I134" s="258"/>
      <c r="J134" s="258" t="s">
        <v>1016</v>
      </c>
      <c r="K134" s="344">
        <v>50</v>
      </c>
      <c r="L134" s="347"/>
      <c r="M134" s="258"/>
      <c r="N134" s="258" t="s">
        <v>1016</v>
      </c>
      <c r="O134" s="344">
        <v>50</v>
      </c>
      <c r="P134" s="347"/>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6" t="s">
        <v>1015</v>
      </c>
      <c r="C159" s="342"/>
      <c r="D159" s="343"/>
      <c r="E159" s="257"/>
      <c r="F159" s="346" t="s">
        <v>1015</v>
      </c>
      <c r="G159" s="342"/>
      <c r="H159" s="343"/>
      <c r="I159" s="257"/>
      <c r="J159" s="346" t="s">
        <v>1015</v>
      </c>
      <c r="K159" s="342"/>
      <c r="L159" s="343"/>
      <c r="M159" s="257"/>
      <c r="N159" s="346" t="s">
        <v>1015</v>
      </c>
      <c r="O159" s="342"/>
      <c r="P159" s="343"/>
    </row>
    <row r="160" spans="1:16" x14ac:dyDescent="0.25">
      <c r="A160" s="258"/>
      <c r="B160" s="258" t="s">
        <v>1008</v>
      </c>
      <c r="C160" s="337">
        <f>COUNTA(A165:A187)</f>
        <v>12</v>
      </c>
      <c r="D160" s="338"/>
      <c r="E160" s="258"/>
      <c r="F160" s="258" t="s">
        <v>1008</v>
      </c>
      <c r="G160" s="337">
        <f>COUNTA(E165:E187)</f>
        <v>7</v>
      </c>
      <c r="H160" s="338"/>
      <c r="I160" s="258"/>
      <c r="J160" s="258" t="s">
        <v>1008</v>
      </c>
      <c r="K160" s="337">
        <f>COUNTA(I165:I187)</f>
        <v>22</v>
      </c>
      <c r="L160" s="338"/>
      <c r="M160" s="258"/>
      <c r="N160" s="258" t="s">
        <v>1008</v>
      </c>
      <c r="O160" s="337">
        <f>COUNTA(M165:M187)</f>
        <v>4</v>
      </c>
      <c r="P160" s="338"/>
    </row>
    <row r="161" spans="1:16" x14ac:dyDescent="0.25">
      <c r="A161" s="258"/>
      <c r="B161" s="258" t="s">
        <v>1009</v>
      </c>
      <c r="C161" s="337">
        <f>ROUNDDOWN(C163/C160,1)</f>
        <v>4.0999999999999996</v>
      </c>
      <c r="D161" s="338"/>
      <c r="E161" s="258"/>
      <c r="F161" s="258" t="s">
        <v>1009</v>
      </c>
      <c r="G161" s="337">
        <f>ROUNDDOWN(G163/G160,1)</f>
        <v>7.1</v>
      </c>
      <c r="H161" s="338"/>
      <c r="I161" s="258"/>
      <c r="J161" s="258" t="s">
        <v>1009</v>
      </c>
      <c r="K161" s="337">
        <f>ROUNDDOWN(K163/K160,1)</f>
        <v>2.2000000000000002</v>
      </c>
      <c r="L161" s="338"/>
      <c r="M161" s="258"/>
      <c r="N161" s="258" t="s">
        <v>1009</v>
      </c>
      <c r="O161" s="337">
        <f>ROUNDDOWN(O163/O160,1)</f>
        <v>12.5</v>
      </c>
      <c r="P161" s="338"/>
    </row>
    <row r="162" spans="1:16" x14ac:dyDescent="0.25">
      <c r="A162" s="258"/>
      <c r="B162" s="258" t="s">
        <v>1007</v>
      </c>
      <c r="C162" s="337">
        <v>250</v>
      </c>
      <c r="D162" s="338"/>
      <c r="E162" s="258"/>
      <c r="F162" s="258" t="s">
        <v>1007</v>
      </c>
      <c r="G162" s="337">
        <v>250</v>
      </c>
      <c r="H162" s="338"/>
      <c r="I162" s="258"/>
      <c r="J162" s="258" t="s">
        <v>1007</v>
      </c>
      <c r="K162" s="337">
        <v>250</v>
      </c>
      <c r="L162" s="338"/>
      <c r="M162" s="258"/>
      <c r="N162" s="258" t="s">
        <v>1007</v>
      </c>
      <c r="O162" s="337">
        <v>250</v>
      </c>
      <c r="P162" s="338"/>
    </row>
    <row r="163" spans="1:16" x14ac:dyDescent="0.25">
      <c r="A163" s="258"/>
      <c r="B163" s="258" t="s">
        <v>1016</v>
      </c>
      <c r="C163" s="344">
        <v>50</v>
      </c>
      <c r="D163" s="345"/>
      <c r="E163" s="258"/>
      <c r="F163" s="258" t="s">
        <v>1016</v>
      </c>
      <c r="G163" s="344">
        <v>50</v>
      </c>
      <c r="H163" s="345"/>
      <c r="I163" s="258"/>
      <c r="J163" s="258" t="s">
        <v>1016</v>
      </c>
      <c r="K163" s="344">
        <v>50</v>
      </c>
      <c r="L163" s="345"/>
      <c r="M163" s="258"/>
      <c r="N163" s="258" t="s">
        <v>1016</v>
      </c>
      <c r="O163" s="344">
        <v>50</v>
      </c>
      <c r="P163" s="345"/>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49"/>
  <sheetViews>
    <sheetView tabSelected="1" topLeftCell="M1" workbookViewId="0">
      <selection activeCell="W13" sqref="W13"/>
    </sheetView>
  </sheetViews>
  <sheetFormatPr baseColWidth="10" defaultRowHeight="15" x14ac:dyDescent="0.25"/>
  <cols>
    <col min="1"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35" ht="15" customHeight="1" x14ac:dyDescent="0.25">
      <c r="A1" s="350" t="s">
        <v>151</v>
      </c>
      <c r="B1" s="350"/>
      <c r="C1" s="350"/>
      <c r="D1" s="350"/>
      <c r="E1" s="352" t="s">
        <v>160</v>
      </c>
      <c r="F1" s="352"/>
      <c r="G1" s="352"/>
      <c r="H1" s="352"/>
      <c r="I1" s="350" t="s">
        <v>152</v>
      </c>
      <c r="J1" s="350"/>
      <c r="K1" s="350"/>
      <c r="L1" s="350"/>
      <c r="M1" s="352" t="s">
        <v>150</v>
      </c>
      <c r="N1" s="352"/>
      <c r="O1" s="352"/>
      <c r="P1" s="352"/>
      <c r="R1" s="275"/>
      <c r="S1" s="275"/>
      <c r="T1" s="29" t="s">
        <v>117</v>
      </c>
      <c r="U1" s="287" t="s">
        <v>1171</v>
      </c>
      <c r="V1" s="287" t="s">
        <v>1172</v>
      </c>
      <c r="W1" s="287" t="s">
        <v>149</v>
      </c>
      <c r="X1" s="287" t="s">
        <v>202</v>
      </c>
      <c r="Y1" s="287" t="s">
        <v>1187</v>
      </c>
      <c r="Z1" s="287" t="s">
        <v>149</v>
      </c>
      <c r="AA1" s="287" t="s">
        <v>202</v>
      </c>
      <c r="AB1" s="287" t="s">
        <v>1222</v>
      </c>
      <c r="AC1" s="287" t="s">
        <v>149</v>
      </c>
      <c r="AD1" s="287" t="s">
        <v>202</v>
      </c>
      <c r="AF1" s="30" t="s">
        <v>118</v>
      </c>
      <c r="AG1" s="29" t="s">
        <v>83</v>
      </c>
      <c r="AH1" s="30" t="s">
        <v>84</v>
      </c>
      <c r="AI1" s="29" t="s">
        <v>85</v>
      </c>
    </row>
    <row r="2" spans="1:35" ht="15" customHeight="1" x14ac:dyDescent="0.25">
      <c r="A2" s="349" t="s">
        <v>1111</v>
      </c>
      <c r="B2" s="349"/>
      <c r="C2" s="349" t="s">
        <v>1112</v>
      </c>
      <c r="D2" s="349"/>
      <c r="E2" s="318" t="s">
        <v>1122</v>
      </c>
      <c r="F2" s="318"/>
      <c r="G2" s="318" t="s">
        <v>1126</v>
      </c>
      <c r="H2" s="318"/>
      <c r="I2" s="349" t="s">
        <v>1215</v>
      </c>
      <c r="J2" s="349"/>
      <c r="K2" s="349" t="s">
        <v>1129</v>
      </c>
      <c r="L2" s="349"/>
      <c r="M2" s="318" t="s">
        <v>1131</v>
      </c>
      <c r="N2" s="318"/>
      <c r="O2" s="318" t="s">
        <v>1132</v>
      </c>
      <c r="P2" s="318"/>
      <c r="R2" s="311" t="s">
        <v>1198</v>
      </c>
      <c r="S2" s="31" t="s">
        <v>6</v>
      </c>
      <c r="T2" s="34">
        <f>'ECONOMIA &amp; PROFESIONES'!$N$5</f>
        <v>900</v>
      </c>
      <c r="U2" s="53">
        <f>(X2*W2)+(AA2*Z2)</f>
        <v>1000</v>
      </c>
      <c r="V2" s="283" t="s">
        <v>1210</v>
      </c>
      <c r="W2" s="288">
        <v>3</v>
      </c>
      <c r="X2" s="280">
        <f t="shared" ref="X2:X26" si="0">VLOOKUP(V2,craftedesp,3,FALSE)</f>
        <v>248</v>
      </c>
      <c r="Y2" s="283" t="s">
        <v>1214</v>
      </c>
      <c r="Z2" s="288">
        <v>1</v>
      </c>
      <c r="AA2" s="280">
        <f t="shared" ref="AA2:AA26" si="1">VLOOKUP(Y2,craftedesp,3,FALSE)</f>
        <v>256</v>
      </c>
      <c r="AB2" s="283" t="s">
        <v>1214</v>
      </c>
      <c r="AC2" s="288">
        <v>1</v>
      </c>
      <c r="AD2" s="280">
        <f t="shared" ref="AD2:AD26" si="2">VLOOKUP(AB2,craftedesp,3,FALSE)</f>
        <v>256</v>
      </c>
      <c r="AF2" s="35">
        <f>'ECONOMIA &amp; PROFESIONES'!$O$5</f>
        <v>1300</v>
      </c>
      <c r="AG2" s="34">
        <f>'ECONOMIA &amp; PROFESIONES'!$P$5</f>
        <v>2100</v>
      </c>
      <c r="AH2" s="35">
        <f>'ECONOMIA &amp; PROFESIONES'!$Q$5</f>
        <v>3700</v>
      </c>
      <c r="AI2" s="34">
        <f>'ECONOMIA &amp; PROFESIONES'!$R$5</f>
        <v>6900</v>
      </c>
    </row>
    <row r="3" spans="1:35" ht="15" customHeight="1" x14ac:dyDescent="0.25">
      <c r="A3" s="348" t="s">
        <v>1113</v>
      </c>
      <c r="B3" s="348"/>
      <c r="C3" s="348" t="s">
        <v>1117</v>
      </c>
      <c r="D3" s="348"/>
      <c r="E3" s="348" t="s">
        <v>1123</v>
      </c>
      <c r="F3" s="348"/>
      <c r="G3" s="348" t="s">
        <v>1127</v>
      </c>
      <c r="H3" s="348"/>
      <c r="I3" s="348" t="s">
        <v>1130</v>
      </c>
      <c r="J3" s="348"/>
      <c r="K3" s="348" t="s">
        <v>38</v>
      </c>
      <c r="L3" s="348"/>
      <c r="M3" s="348" t="s">
        <v>1133</v>
      </c>
      <c r="N3" s="348"/>
      <c r="O3" s="348" t="s">
        <v>1137</v>
      </c>
      <c r="P3" s="348"/>
      <c r="R3" s="312"/>
      <c r="S3" s="32" t="s">
        <v>113</v>
      </c>
      <c r="T3" s="34">
        <f>'ECONOMIA &amp; PROFESIONES'!$N$6</f>
        <v>1500</v>
      </c>
      <c r="U3" s="53">
        <f>(X3*W3)+(AA3*Z3)</f>
        <v>1548</v>
      </c>
      <c r="V3" s="283" t="s">
        <v>1213</v>
      </c>
      <c r="W3" s="288">
        <v>1</v>
      </c>
      <c r="X3" s="280">
        <f t="shared" si="0"/>
        <v>516</v>
      </c>
      <c r="Y3" s="283" t="s">
        <v>1175</v>
      </c>
      <c r="Z3" s="288">
        <v>3</v>
      </c>
      <c r="AA3" s="280">
        <f t="shared" si="1"/>
        <v>344</v>
      </c>
      <c r="AB3" s="283" t="s">
        <v>1175</v>
      </c>
      <c r="AC3" s="288">
        <v>3</v>
      </c>
      <c r="AD3" s="280">
        <f t="shared" si="2"/>
        <v>344</v>
      </c>
      <c r="AF3" s="35">
        <f>'ECONOMIA &amp; PROFESIONES'!$O$6</f>
        <v>2500</v>
      </c>
      <c r="AG3" s="34">
        <f>'ECONOMIA &amp; PROFESIONES'!$P$6</f>
        <v>4500</v>
      </c>
      <c r="AH3" s="35">
        <f>'ECONOMIA &amp; PROFESIONES'!$Q$6</f>
        <v>8500</v>
      </c>
      <c r="AI3" s="34">
        <f>'ECONOMIA &amp; PROFESIONES'!$R$6</f>
        <v>16500</v>
      </c>
    </row>
    <row r="4" spans="1:35" ht="15" customHeight="1" x14ac:dyDescent="0.25">
      <c r="A4" s="348" t="s">
        <v>1115</v>
      </c>
      <c r="B4" s="348"/>
      <c r="C4" s="348" t="s">
        <v>1118</v>
      </c>
      <c r="D4" s="348"/>
      <c r="E4" s="348" t="s">
        <v>1124</v>
      </c>
      <c r="F4" s="348"/>
      <c r="G4" s="348" t="s">
        <v>1128</v>
      </c>
      <c r="H4" s="348"/>
      <c r="I4" s="348"/>
      <c r="J4" s="348"/>
      <c r="K4" s="348"/>
      <c r="L4" s="348"/>
      <c r="M4" s="348" t="s">
        <v>7</v>
      </c>
      <c r="N4" s="348"/>
      <c r="O4" s="348" t="s">
        <v>1153</v>
      </c>
      <c r="P4" s="348"/>
      <c r="R4" s="312"/>
      <c r="S4" s="31" t="s">
        <v>114</v>
      </c>
      <c r="T4" s="34">
        <f>'ECONOMIA &amp; PROFESIONES'!$N$7</f>
        <v>2100</v>
      </c>
      <c r="U4" s="53">
        <f t="shared" ref="U4:U26" si="3">(X4*W4)+(AA4*Z4)</f>
        <v>2236</v>
      </c>
      <c r="V4" s="283" t="s">
        <v>1213</v>
      </c>
      <c r="W4" s="288">
        <v>3</v>
      </c>
      <c r="X4" s="280">
        <f t="shared" si="0"/>
        <v>516</v>
      </c>
      <c r="Y4" s="283" t="s">
        <v>1175</v>
      </c>
      <c r="Z4" s="288">
        <v>2</v>
      </c>
      <c r="AA4" s="280">
        <f t="shared" si="1"/>
        <v>344</v>
      </c>
      <c r="AB4" s="283" t="s">
        <v>1175</v>
      </c>
      <c r="AC4" s="288">
        <v>2</v>
      </c>
      <c r="AD4" s="280">
        <f t="shared" si="2"/>
        <v>344</v>
      </c>
      <c r="AF4" s="35">
        <f>'ECONOMIA &amp; PROFESIONES'!$O$7</f>
        <v>3700</v>
      </c>
      <c r="AG4" s="34">
        <f>'ECONOMIA &amp; PROFESIONES'!$P$7</f>
        <v>6900</v>
      </c>
      <c r="AH4" s="35">
        <f>'ECONOMIA &amp; PROFESIONES'!$Q$7</f>
        <v>13300</v>
      </c>
      <c r="AI4" s="34">
        <f>'ECONOMIA &amp; PROFESIONES'!$R$7</f>
        <v>26100</v>
      </c>
    </row>
    <row r="5" spans="1:35" ht="15" customHeight="1" x14ac:dyDescent="0.25">
      <c r="A5" s="348" t="s">
        <v>1141</v>
      </c>
      <c r="B5" s="348"/>
      <c r="C5" s="348" t="s">
        <v>1119</v>
      </c>
      <c r="D5" s="348"/>
      <c r="E5" s="348" t="s">
        <v>1125</v>
      </c>
      <c r="F5" s="348"/>
      <c r="G5" s="351"/>
      <c r="H5" s="351"/>
      <c r="I5" s="348"/>
      <c r="J5" s="348"/>
      <c r="K5" s="351"/>
      <c r="L5" s="351"/>
      <c r="M5" s="348" t="s">
        <v>1134</v>
      </c>
      <c r="N5" s="348"/>
      <c r="O5" s="353" t="s">
        <v>1139</v>
      </c>
      <c r="P5" s="353"/>
      <c r="R5" s="312"/>
      <c r="S5" s="32" t="s">
        <v>115</v>
      </c>
      <c r="T5" s="34">
        <f>'ECONOMIA &amp; PROFESIONES'!$N$8</f>
        <v>1900</v>
      </c>
      <c r="U5" s="53">
        <f t="shared" si="3"/>
        <v>2064</v>
      </c>
      <c r="V5" s="283" t="s">
        <v>1213</v>
      </c>
      <c r="W5" s="288">
        <v>2</v>
      </c>
      <c r="X5" s="280">
        <f t="shared" si="0"/>
        <v>516</v>
      </c>
      <c r="Y5" s="283" t="s">
        <v>1175</v>
      </c>
      <c r="Z5" s="288">
        <v>3</v>
      </c>
      <c r="AA5" s="280">
        <f t="shared" si="1"/>
        <v>344</v>
      </c>
      <c r="AB5" s="283" t="s">
        <v>1175</v>
      </c>
      <c r="AC5" s="288">
        <v>3</v>
      </c>
      <c r="AD5" s="280">
        <f t="shared" si="2"/>
        <v>344</v>
      </c>
      <c r="AF5" s="35">
        <f>'ECONOMIA &amp; PROFESIONES'!$O$8</f>
        <v>3300</v>
      </c>
      <c r="AG5" s="34">
        <f>'ECONOMIA &amp; PROFESIONES'!$P$8</f>
        <v>6100</v>
      </c>
      <c r="AH5" s="35">
        <f>'ECONOMIA &amp; PROFESIONES'!$Q$8</f>
        <v>11700</v>
      </c>
      <c r="AI5" s="34">
        <f>'ECONOMIA &amp; PROFESIONES'!$R$8</f>
        <v>22900</v>
      </c>
    </row>
    <row r="6" spans="1:35" ht="15" customHeight="1" x14ac:dyDescent="0.25">
      <c r="A6" s="348" t="s">
        <v>1144</v>
      </c>
      <c r="B6" s="348"/>
      <c r="C6" s="348" t="s">
        <v>1120</v>
      </c>
      <c r="D6" s="348"/>
      <c r="E6" s="348"/>
      <c r="F6" s="348"/>
      <c r="G6" s="348"/>
      <c r="H6" s="348"/>
      <c r="I6" s="348"/>
      <c r="J6" s="348"/>
      <c r="K6" s="348"/>
      <c r="L6" s="348"/>
      <c r="M6" s="348" t="s">
        <v>1135</v>
      </c>
      <c r="N6" s="348"/>
      <c r="O6" s="348" t="s">
        <v>1154</v>
      </c>
      <c r="P6" s="348"/>
      <c r="R6" s="313"/>
      <c r="S6" s="31" t="s">
        <v>116</v>
      </c>
      <c r="T6" s="34">
        <f>'ECONOMIA &amp; PROFESIONES'!$N$9</f>
        <v>1300</v>
      </c>
      <c r="U6" s="53">
        <f t="shared" si="3"/>
        <v>1204</v>
      </c>
      <c r="V6" s="283" t="s">
        <v>1213</v>
      </c>
      <c r="W6" s="288">
        <v>1</v>
      </c>
      <c r="X6" s="280">
        <f t="shared" si="0"/>
        <v>516</v>
      </c>
      <c r="Y6" s="283" t="s">
        <v>1175</v>
      </c>
      <c r="Z6" s="288">
        <v>2</v>
      </c>
      <c r="AA6" s="280">
        <f t="shared" si="1"/>
        <v>344</v>
      </c>
      <c r="AB6" s="283" t="s">
        <v>1175</v>
      </c>
      <c r="AC6" s="288">
        <v>2</v>
      </c>
      <c r="AD6" s="280">
        <f t="shared" si="2"/>
        <v>344</v>
      </c>
      <c r="AF6" s="35">
        <f>'ECONOMIA &amp; PROFESIONES'!$O$9</f>
        <v>2100</v>
      </c>
      <c r="AG6" s="34">
        <f>'ECONOMIA &amp; PROFESIONES'!$P$9</f>
        <v>3700</v>
      </c>
      <c r="AH6" s="35">
        <f>'ECONOMIA &amp; PROFESIONES'!$Q$9</f>
        <v>6900</v>
      </c>
      <c r="AI6" s="34">
        <f>'ECONOMIA &amp; PROFESIONES'!$R$9</f>
        <v>13300</v>
      </c>
    </row>
    <row r="7" spans="1:35" ht="15" customHeight="1" x14ac:dyDescent="0.25">
      <c r="A7" s="348" t="s">
        <v>1116</v>
      </c>
      <c r="B7" s="348"/>
      <c r="C7" s="348" t="s">
        <v>1121</v>
      </c>
      <c r="D7" s="348"/>
      <c r="E7" s="348"/>
      <c r="F7" s="348"/>
      <c r="G7" s="348"/>
      <c r="H7" s="348"/>
      <c r="I7" s="348"/>
      <c r="J7" s="348"/>
      <c r="K7" s="348"/>
      <c r="L7" s="348"/>
      <c r="M7" s="348" t="s">
        <v>1136</v>
      </c>
      <c r="N7" s="348"/>
      <c r="O7" s="348" t="s">
        <v>1138</v>
      </c>
      <c r="P7" s="348"/>
      <c r="R7" s="314" t="s">
        <v>1199</v>
      </c>
      <c r="S7" s="32" t="s">
        <v>6</v>
      </c>
      <c r="T7" s="34">
        <f>'ECONOMIA &amp; PROFESIONES'!$N$10</f>
        <v>2450</v>
      </c>
      <c r="U7" s="53">
        <f t="shared" si="3"/>
        <v>1171.2</v>
      </c>
      <c r="V7" s="283" t="s">
        <v>1221</v>
      </c>
      <c r="W7" s="288">
        <v>1</v>
      </c>
      <c r="X7" s="280">
        <f t="shared" si="0"/>
        <v>467.2</v>
      </c>
      <c r="Y7" s="283" t="s">
        <v>1216</v>
      </c>
      <c r="Z7" s="288">
        <v>1</v>
      </c>
      <c r="AA7" s="280">
        <f t="shared" si="1"/>
        <v>704</v>
      </c>
      <c r="AB7" s="283" t="s">
        <v>1216</v>
      </c>
      <c r="AC7" s="288">
        <v>1</v>
      </c>
      <c r="AD7" s="280">
        <f t="shared" si="2"/>
        <v>704</v>
      </c>
      <c r="AF7" s="35">
        <f>'ECONOMIA &amp; PROFESIONES'!$O$10</f>
        <v>2850</v>
      </c>
      <c r="AG7" s="34">
        <f>'ECONOMIA &amp; PROFESIONES'!$P$10</f>
        <v>3650</v>
      </c>
      <c r="AH7" s="35">
        <f>'ECONOMIA &amp; PROFESIONES'!$Q$10</f>
        <v>5250</v>
      </c>
      <c r="AI7" s="34">
        <f>'ECONOMIA &amp; PROFESIONES'!$R$10</f>
        <v>8450</v>
      </c>
    </row>
    <row r="8" spans="1:35" ht="15" customHeight="1" x14ac:dyDescent="0.25">
      <c r="O8" s="275"/>
      <c r="P8" s="275"/>
      <c r="R8" s="315"/>
      <c r="S8" s="31" t="s">
        <v>113</v>
      </c>
      <c r="T8" s="34">
        <f>'ECONOMIA &amp; PROFESIONES'!$N$11</f>
        <v>3125</v>
      </c>
      <c r="U8" s="53">
        <f t="shared" si="3"/>
        <v>2590</v>
      </c>
      <c r="V8" s="283" t="s">
        <v>1186</v>
      </c>
      <c r="W8" s="288">
        <v>4</v>
      </c>
      <c r="X8" s="280">
        <f t="shared" si="0"/>
        <v>385.5</v>
      </c>
      <c r="Y8" s="283" t="s">
        <v>1173</v>
      </c>
      <c r="Z8" s="288">
        <v>2</v>
      </c>
      <c r="AA8" s="280">
        <f t="shared" si="1"/>
        <v>524</v>
      </c>
      <c r="AB8" s="283" t="s">
        <v>1173</v>
      </c>
      <c r="AC8" s="288">
        <v>2</v>
      </c>
      <c r="AD8" s="280">
        <f t="shared" si="2"/>
        <v>524</v>
      </c>
      <c r="AF8" s="35">
        <f>'ECONOMIA &amp; PROFESIONES'!$O$11</f>
        <v>4125</v>
      </c>
      <c r="AG8" s="34">
        <f>'ECONOMIA &amp; PROFESIONES'!$P$11</f>
        <v>6125</v>
      </c>
      <c r="AH8" s="35">
        <f>'ECONOMIA &amp; PROFESIONES'!$Q$11</f>
        <v>10125</v>
      </c>
      <c r="AI8" s="34">
        <f>'ECONOMIA &amp; PROFESIONES'!$R$11</f>
        <v>18125</v>
      </c>
    </row>
    <row r="9" spans="1:35" x14ac:dyDescent="0.25">
      <c r="R9" s="315"/>
      <c r="S9" s="32" t="s">
        <v>114</v>
      </c>
      <c r="T9" s="34">
        <f>'ECONOMIA &amp; PROFESIONES'!$N$12</f>
        <v>3800</v>
      </c>
      <c r="U9" s="53">
        <f t="shared" si="3"/>
        <v>3499.5</v>
      </c>
      <c r="V9" s="283" t="s">
        <v>1186</v>
      </c>
      <c r="W9" s="288">
        <v>5</v>
      </c>
      <c r="X9" s="280">
        <f t="shared" si="0"/>
        <v>385.5</v>
      </c>
      <c r="Y9" s="283" t="s">
        <v>1173</v>
      </c>
      <c r="Z9" s="288">
        <v>3</v>
      </c>
      <c r="AA9" s="280">
        <f t="shared" si="1"/>
        <v>524</v>
      </c>
      <c r="AB9" s="283" t="s">
        <v>1173</v>
      </c>
      <c r="AC9" s="288">
        <v>3</v>
      </c>
      <c r="AD9" s="280">
        <f t="shared" si="2"/>
        <v>524</v>
      </c>
      <c r="AF9" s="35">
        <f>'ECONOMIA &amp; PROFESIONES'!$O$12</f>
        <v>5400</v>
      </c>
      <c r="AG9" s="34">
        <f>'ECONOMIA &amp; PROFESIONES'!$P$12</f>
        <v>8600</v>
      </c>
      <c r="AH9" s="35">
        <f>'ECONOMIA &amp; PROFESIONES'!$Q$12</f>
        <v>15000</v>
      </c>
      <c r="AI9" s="34">
        <f>'ECONOMIA &amp; PROFESIONES'!$R$12</f>
        <v>27800</v>
      </c>
    </row>
    <row r="10" spans="1:35" ht="15" customHeight="1" x14ac:dyDescent="0.25">
      <c r="A10" s="354" t="s">
        <v>1203</v>
      </c>
      <c r="B10" s="354"/>
      <c r="C10" s="354" t="s">
        <v>1117</v>
      </c>
      <c r="D10" s="354"/>
      <c r="E10" s="354" t="s">
        <v>1123</v>
      </c>
      <c r="F10" s="354"/>
      <c r="G10" s="354" t="s">
        <v>1127</v>
      </c>
      <c r="H10" s="354"/>
      <c r="I10" s="354" t="s">
        <v>35</v>
      </c>
      <c r="J10" s="354"/>
      <c r="K10" s="354" t="s">
        <v>35</v>
      </c>
      <c r="L10" s="354"/>
      <c r="M10" s="354" t="s">
        <v>1133</v>
      </c>
      <c r="N10" s="354"/>
      <c r="O10" s="354" t="s">
        <v>1137</v>
      </c>
      <c r="P10" s="354"/>
      <c r="R10" s="315"/>
      <c r="S10" s="31" t="s">
        <v>115</v>
      </c>
      <c r="T10" s="34">
        <f>'ECONOMIA &amp; PROFESIONES'!$N$13</f>
        <v>3575</v>
      </c>
      <c r="U10" s="53">
        <f t="shared" si="3"/>
        <v>3114</v>
      </c>
      <c r="V10" s="283" t="s">
        <v>1186</v>
      </c>
      <c r="W10" s="288">
        <v>4</v>
      </c>
      <c r="X10" s="280">
        <f t="shared" si="0"/>
        <v>385.5</v>
      </c>
      <c r="Y10" s="283" t="s">
        <v>1173</v>
      </c>
      <c r="Z10" s="288">
        <v>3</v>
      </c>
      <c r="AA10" s="280">
        <f t="shared" si="1"/>
        <v>524</v>
      </c>
      <c r="AB10" s="283" t="s">
        <v>1173</v>
      </c>
      <c r="AC10" s="288">
        <v>3</v>
      </c>
      <c r="AD10" s="280">
        <f t="shared" si="2"/>
        <v>524</v>
      </c>
      <c r="AF10" s="35">
        <f>'ECONOMIA &amp; PROFESIONES'!$O$13</f>
        <v>4975</v>
      </c>
      <c r="AG10" s="34">
        <f>'ECONOMIA &amp; PROFESIONES'!$P$13</f>
        <v>7775</v>
      </c>
      <c r="AH10" s="35">
        <f>'ECONOMIA &amp; PROFESIONES'!$Q$13</f>
        <v>13375</v>
      </c>
      <c r="AI10" s="34">
        <f>'ECONOMIA &amp; PROFESIONES'!$R$13</f>
        <v>24575</v>
      </c>
    </row>
    <row r="11" spans="1:35" ht="15" customHeight="1" x14ac:dyDescent="0.25">
      <c r="A11" t="s">
        <v>1140</v>
      </c>
      <c r="C11" s="275" t="s">
        <v>1137</v>
      </c>
      <c r="D11" s="275"/>
      <c r="E11" s="275" t="s">
        <v>1147</v>
      </c>
      <c r="F11" s="275"/>
      <c r="G11" s="275" t="s">
        <v>1148</v>
      </c>
      <c r="H11" s="275"/>
      <c r="I11" s="354" t="s">
        <v>51</v>
      </c>
      <c r="J11" s="354"/>
      <c r="K11" s="354" t="s">
        <v>51</v>
      </c>
      <c r="L11" s="354"/>
      <c r="M11" s="275" t="s">
        <v>7</v>
      </c>
      <c r="N11" s="275"/>
      <c r="O11" s="275" t="s">
        <v>1137</v>
      </c>
      <c r="P11" s="275"/>
      <c r="R11" s="316"/>
      <c r="S11" s="32" t="s">
        <v>116</v>
      </c>
      <c r="T11" s="34">
        <f>'ECONOMIA &amp; PROFESIONES'!$N$14</f>
        <v>2900</v>
      </c>
      <c r="U11" s="53">
        <f t="shared" si="3"/>
        <v>2204.5</v>
      </c>
      <c r="V11" s="283" t="s">
        <v>1186</v>
      </c>
      <c r="W11" s="288">
        <v>3</v>
      </c>
      <c r="X11" s="280">
        <f t="shared" si="0"/>
        <v>385.5</v>
      </c>
      <c r="Y11" s="283" t="s">
        <v>1173</v>
      </c>
      <c r="Z11" s="288">
        <v>2</v>
      </c>
      <c r="AA11" s="280">
        <f t="shared" si="1"/>
        <v>524</v>
      </c>
      <c r="AB11" s="283" t="s">
        <v>1173</v>
      </c>
      <c r="AC11" s="288">
        <v>2</v>
      </c>
      <c r="AD11" s="280">
        <f t="shared" si="2"/>
        <v>524</v>
      </c>
      <c r="AF11" s="35">
        <f>'ECONOMIA &amp; PROFESIONES'!$O$14</f>
        <v>3700</v>
      </c>
      <c r="AG11" s="34">
        <f>'ECONOMIA &amp; PROFESIONES'!$P$14</f>
        <v>5300</v>
      </c>
      <c r="AH11" s="35">
        <f>'ECONOMIA &amp; PROFESIONES'!$Q$14</f>
        <v>8500</v>
      </c>
      <c r="AI11" s="34">
        <f>'ECONOMIA &amp; PROFESIONES'!$R$14</f>
        <v>14900</v>
      </c>
    </row>
    <row r="12" spans="1:35" ht="15" customHeight="1" x14ac:dyDescent="0.25">
      <c r="C12" s="275"/>
      <c r="D12" s="275"/>
      <c r="E12" s="275"/>
      <c r="F12" s="275"/>
      <c r="G12" s="275"/>
      <c r="H12" s="275"/>
      <c r="I12" s="354" t="s">
        <v>52</v>
      </c>
      <c r="J12" s="354"/>
      <c r="K12" s="354" t="s">
        <v>52</v>
      </c>
      <c r="L12" s="354"/>
      <c r="M12" s="275" t="s">
        <v>1113</v>
      </c>
      <c r="N12" s="275"/>
      <c r="O12" s="275" t="s">
        <v>1145</v>
      </c>
      <c r="P12" s="275"/>
      <c r="R12" s="320" t="s">
        <v>1202</v>
      </c>
      <c r="S12" s="31" t="s">
        <v>6</v>
      </c>
      <c r="T12" s="34">
        <f>'ECONOMIA &amp; PROFESIONES'!$N$15</f>
        <v>4050</v>
      </c>
      <c r="U12" s="53">
        <f t="shared" si="3"/>
        <v>0</v>
      </c>
      <c r="V12" s="283" t="s">
        <v>926</v>
      </c>
      <c r="W12" s="288">
        <v>0</v>
      </c>
      <c r="X12" s="280">
        <f t="shared" si="0"/>
        <v>0</v>
      </c>
      <c r="Y12" s="283" t="s">
        <v>926</v>
      </c>
      <c r="Z12" s="288">
        <v>0</v>
      </c>
      <c r="AA12" s="280">
        <f t="shared" si="1"/>
        <v>0</v>
      </c>
      <c r="AB12" s="283" t="s">
        <v>926</v>
      </c>
      <c r="AC12" s="288">
        <v>0</v>
      </c>
      <c r="AD12" s="280">
        <f t="shared" si="2"/>
        <v>0</v>
      </c>
      <c r="AF12" s="35">
        <f>'ECONOMIA &amp; PROFESIONES'!$O$15</f>
        <v>4450</v>
      </c>
      <c r="AG12" s="34">
        <f>'ECONOMIA &amp; PROFESIONES'!$P$15</f>
        <v>5250</v>
      </c>
      <c r="AH12" s="35">
        <f>'ECONOMIA &amp; PROFESIONES'!$Q$15</f>
        <v>6850</v>
      </c>
      <c r="AI12" s="34">
        <f>'ECONOMIA &amp; PROFESIONES'!$R$15</f>
        <v>10050</v>
      </c>
    </row>
    <row r="13" spans="1:35" ht="15" customHeight="1" x14ac:dyDescent="0.25">
      <c r="C13" s="275"/>
      <c r="D13" s="275"/>
      <c r="E13" s="275"/>
      <c r="F13" s="275"/>
      <c r="G13" s="275"/>
      <c r="H13" s="275"/>
      <c r="I13" s="354" t="s">
        <v>53</v>
      </c>
      <c r="J13" s="354"/>
      <c r="K13" s="354" t="s">
        <v>53</v>
      </c>
      <c r="L13" s="354"/>
      <c r="M13" s="275" t="s">
        <v>1150</v>
      </c>
      <c r="N13" s="275"/>
      <c r="O13" s="275" t="s">
        <v>1124</v>
      </c>
      <c r="P13" s="275"/>
      <c r="R13" s="326"/>
      <c r="S13" s="32" t="s">
        <v>113</v>
      </c>
      <c r="T13" s="34">
        <f>'ECONOMIA &amp; PROFESIONES'!$N$16</f>
        <v>4875</v>
      </c>
      <c r="U13" s="53" t="e">
        <f t="shared" si="3"/>
        <v>#N/A</v>
      </c>
      <c r="V13" s="283" t="s">
        <v>1186</v>
      </c>
      <c r="W13" s="288">
        <v>0</v>
      </c>
      <c r="X13" s="280">
        <f t="shared" si="0"/>
        <v>385.5</v>
      </c>
      <c r="Y13" s="283" t="s">
        <v>1174</v>
      </c>
      <c r="Z13" s="288">
        <v>0</v>
      </c>
      <c r="AA13" s="280" t="e">
        <f t="shared" si="1"/>
        <v>#N/A</v>
      </c>
      <c r="AB13" s="283" t="s">
        <v>1174</v>
      </c>
      <c r="AC13" s="288">
        <v>0</v>
      </c>
      <c r="AD13" s="280" t="e">
        <f t="shared" si="2"/>
        <v>#N/A</v>
      </c>
      <c r="AF13" s="35">
        <f>'ECONOMIA &amp; PROFESIONES'!$O$16</f>
        <v>5875</v>
      </c>
      <c r="AG13" s="34">
        <f>'ECONOMIA &amp; PROFESIONES'!$P$16</f>
        <v>7875</v>
      </c>
      <c r="AH13" s="35">
        <f>'ECONOMIA &amp; PROFESIONES'!$Q$16</f>
        <v>11875</v>
      </c>
      <c r="AI13" s="34">
        <f>'ECONOMIA &amp; PROFESIONES'!$R$16</f>
        <v>19875</v>
      </c>
    </row>
    <row r="14" spans="1:35" ht="15" customHeight="1" x14ac:dyDescent="0.25">
      <c r="C14" s="275"/>
      <c r="D14" s="275"/>
      <c r="E14" s="275"/>
      <c r="F14" s="275"/>
      <c r="G14" s="275"/>
      <c r="H14" s="275"/>
      <c r="I14" s="354" t="s">
        <v>54</v>
      </c>
      <c r="J14" s="354"/>
      <c r="K14" s="354" t="s">
        <v>54</v>
      </c>
      <c r="L14" s="354"/>
      <c r="M14" s="275"/>
      <c r="N14" s="275"/>
      <c r="O14" s="275"/>
      <c r="P14" s="275"/>
      <c r="R14" s="326"/>
      <c r="S14" s="31" t="s">
        <v>114</v>
      </c>
      <c r="T14" s="34">
        <f>'ECONOMIA &amp; PROFESIONES'!$N$17</f>
        <v>5700</v>
      </c>
      <c r="U14" s="53" t="e">
        <f t="shared" si="3"/>
        <v>#N/A</v>
      </c>
      <c r="V14" s="283" t="s">
        <v>1186</v>
      </c>
      <c r="W14" s="288">
        <v>0</v>
      </c>
      <c r="X14" s="280">
        <f t="shared" si="0"/>
        <v>385.5</v>
      </c>
      <c r="Y14" s="283" t="s">
        <v>1174</v>
      </c>
      <c r="Z14" s="288">
        <v>0</v>
      </c>
      <c r="AA14" s="280" t="e">
        <f t="shared" si="1"/>
        <v>#N/A</v>
      </c>
      <c r="AB14" s="283" t="s">
        <v>1174</v>
      </c>
      <c r="AC14" s="288">
        <v>0</v>
      </c>
      <c r="AD14" s="280" t="e">
        <f t="shared" si="2"/>
        <v>#N/A</v>
      </c>
      <c r="AF14" s="35">
        <f>'ECONOMIA &amp; PROFESIONES'!$O$17</f>
        <v>7300</v>
      </c>
      <c r="AG14" s="34">
        <f>'ECONOMIA &amp; PROFESIONES'!$P$17</f>
        <v>10500</v>
      </c>
      <c r="AH14" s="35">
        <f>'ECONOMIA &amp; PROFESIONES'!$Q$17</f>
        <v>16900</v>
      </c>
      <c r="AI14" s="34">
        <f>'ECONOMIA &amp; PROFESIONES'!$R$17</f>
        <v>29700</v>
      </c>
    </row>
    <row r="15" spans="1:35" ht="15" customHeight="1" x14ac:dyDescent="0.25">
      <c r="A15" s="354" t="s">
        <v>1204</v>
      </c>
      <c r="B15" s="354"/>
      <c r="C15" s="354" t="s">
        <v>1118</v>
      </c>
      <c r="D15" s="354"/>
      <c r="E15" s="354" t="s">
        <v>1124</v>
      </c>
      <c r="F15" s="354"/>
      <c r="G15" s="354" t="s">
        <v>1149</v>
      </c>
      <c r="H15" s="354"/>
      <c r="I15" s="275"/>
      <c r="J15" s="275"/>
      <c r="K15" s="275"/>
      <c r="L15" s="275"/>
      <c r="M15" s="354" t="s">
        <v>7</v>
      </c>
      <c r="N15" s="354"/>
      <c r="O15" s="354" t="s">
        <v>1153</v>
      </c>
      <c r="P15" s="354"/>
      <c r="R15" s="320"/>
      <c r="S15" s="32" t="s">
        <v>115</v>
      </c>
      <c r="T15" s="34">
        <f>'ECONOMIA &amp; PROFESIONES'!$N$18</f>
        <v>5425</v>
      </c>
      <c r="U15" s="53" t="e">
        <f t="shared" si="3"/>
        <v>#N/A</v>
      </c>
      <c r="V15" s="283" t="s">
        <v>1186</v>
      </c>
      <c r="W15" s="288">
        <v>0</v>
      </c>
      <c r="X15" s="280">
        <f t="shared" si="0"/>
        <v>385.5</v>
      </c>
      <c r="Y15" s="283" t="s">
        <v>1174</v>
      </c>
      <c r="Z15" s="288">
        <v>0</v>
      </c>
      <c r="AA15" s="280" t="e">
        <f t="shared" si="1"/>
        <v>#N/A</v>
      </c>
      <c r="AB15" s="283" t="s">
        <v>1174</v>
      </c>
      <c r="AC15" s="288">
        <v>0</v>
      </c>
      <c r="AD15" s="280" t="e">
        <f t="shared" si="2"/>
        <v>#N/A</v>
      </c>
      <c r="AF15" s="35">
        <f>'ECONOMIA &amp; PROFESIONES'!$O$18</f>
        <v>6825</v>
      </c>
      <c r="AG15" s="34">
        <f>'ECONOMIA &amp; PROFESIONES'!$P$18</f>
        <v>9625</v>
      </c>
      <c r="AH15" s="35">
        <f>'ECONOMIA &amp; PROFESIONES'!$Q$18</f>
        <v>15225</v>
      </c>
      <c r="AI15" s="34">
        <f>'ECONOMIA &amp; PROFESIONES'!$R$18</f>
        <v>26425</v>
      </c>
    </row>
    <row r="16" spans="1:35" ht="15" customHeight="1" x14ac:dyDescent="0.25">
      <c r="A16" s="275" t="s">
        <v>1113</v>
      </c>
      <c r="B16" s="2" t="s">
        <v>1150</v>
      </c>
      <c r="C16" s="275" t="s">
        <v>1145</v>
      </c>
      <c r="D16" s="275" t="s">
        <v>1137</v>
      </c>
      <c r="E16" s="275" t="s">
        <v>1124</v>
      </c>
      <c r="F16" s="275"/>
      <c r="G16" s="275" t="s">
        <v>1115</v>
      </c>
      <c r="H16" s="275" t="s">
        <v>1142</v>
      </c>
      <c r="I16" s="275"/>
      <c r="J16" s="275"/>
      <c r="K16" s="275"/>
      <c r="L16" s="275"/>
      <c r="M16" s="275" t="s">
        <v>1133</v>
      </c>
      <c r="N16" s="275"/>
      <c r="O16" s="275" t="s">
        <v>1137</v>
      </c>
      <c r="P16" s="275" t="s">
        <v>1155</v>
      </c>
      <c r="R16" s="320"/>
      <c r="S16" s="31" t="s">
        <v>116</v>
      </c>
      <c r="T16" s="34">
        <f>'ECONOMIA &amp; PROFESIONES'!$N$19</f>
        <v>4600</v>
      </c>
      <c r="U16" s="53" t="e">
        <f t="shared" si="3"/>
        <v>#N/A</v>
      </c>
      <c r="V16" s="283" t="s">
        <v>1186</v>
      </c>
      <c r="W16" s="288">
        <v>0</v>
      </c>
      <c r="X16" s="280">
        <f t="shared" si="0"/>
        <v>385.5</v>
      </c>
      <c r="Y16" s="283" t="s">
        <v>1174</v>
      </c>
      <c r="Z16" s="288">
        <v>0</v>
      </c>
      <c r="AA16" s="280" t="e">
        <f t="shared" si="1"/>
        <v>#N/A</v>
      </c>
      <c r="AB16" s="283" t="s">
        <v>1174</v>
      </c>
      <c r="AC16" s="288">
        <v>0</v>
      </c>
      <c r="AD16" s="280" t="e">
        <f t="shared" si="2"/>
        <v>#N/A</v>
      </c>
      <c r="AF16" s="35">
        <f>'ECONOMIA &amp; PROFESIONES'!$O$19</f>
        <v>5400</v>
      </c>
      <c r="AG16" s="34">
        <f>'ECONOMIA &amp; PROFESIONES'!$P$19</f>
        <v>7000</v>
      </c>
      <c r="AH16" s="35">
        <f>'ECONOMIA &amp; PROFESIONES'!$Q$19</f>
        <v>10200</v>
      </c>
      <c r="AI16" s="34">
        <f>'ECONOMIA &amp; PROFESIONES'!$R$19</f>
        <v>16600</v>
      </c>
    </row>
    <row r="17" spans="1:35" ht="15" customHeight="1" x14ac:dyDescent="0.25">
      <c r="A17" s="275" t="s">
        <v>1142</v>
      </c>
      <c r="C17" s="275" t="s">
        <v>1118</v>
      </c>
      <c r="D17" s="276"/>
      <c r="E17" s="275" t="s">
        <v>1115</v>
      </c>
      <c r="F17" s="275"/>
      <c r="G17" s="275" t="s">
        <v>1113</v>
      </c>
      <c r="H17" s="275"/>
      <c r="I17" s="275"/>
      <c r="J17" s="275"/>
      <c r="K17" s="275"/>
      <c r="L17" s="275"/>
      <c r="M17" s="275" t="s">
        <v>1124</v>
      </c>
      <c r="N17" s="275"/>
      <c r="O17" s="275" t="s">
        <v>1145</v>
      </c>
      <c r="P17" s="275" t="s">
        <v>1156</v>
      </c>
      <c r="R17" s="323" t="s">
        <v>1201</v>
      </c>
      <c r="S17" s="32" t="s">
        <v>6</v>
      </c>
      <c r="T17" s="34">
        <f>'ECONOMIA &amp; PROFESIONES'!$N$20</f>
        <v>5650</v>
      </c>
      <c r="U17" s="53" t="e">
        <f t="shared" si="3"/>
        <v>#N/A</v>
      </c>
      <c r="V17" s="283" t="s">
        <v>1186</v>
      </c>
      <c r="W17" s="288">
        <v>0</v>
      </c>
      <c r="X17" s="280">
        <f t="shared" si="0"/>
        <v>385.5</v>
      </c>
      <c r="Y17" s="283" t="s">
        <v>1174</v>
      </c>
      <c r="Z17" s="288">
        <v>0</v>
      </c>
      <c r="AA17" s="280" t="e">
        <f t="shared" si="1"/>
        <v>#N/A</v>
      </c>
      <c r="AB17" s="283" t="s">
        <v>1174</v>
      </c>
      <c r="AC17" s="288">
        <v>0</v>
      </c>
      <c r="AD17" s="280" t="e">
        <f t="shared" si="2"/>
        <v>#N/A</v>
      </c>
      <c r="AF17" s="35">
        <f>'ECONOMIA &amp; PROFESIONES'!$O$20</f>
        <v>6050</v>
      </c>
      <c r="AG17" s="34">
        <f>'ECONOMIA &amp; PROFESIONES'!$P$20</f>
        <v>6850</v>
      </c>
      <c r="AH17" s="35">
        <f>'ECONOMIA &amp; PROFESIONES'!$Q$20</f>
        <v>8450</v>
      </c>
      <c r="AI17" s="34">
        <f>'ECONOMIA &amp; PROFESIONES'!$R$20</f>
        <v>11650</v>
      </c>
    </row>
    <row r="18" spans="1:35" ht="15" customHeight="1" x14ac:dyDescent="0.25">
      <c r="A18" s="275" t="s">
        <v>1133</v>
      </c>
      <c r="C18" s="275" t="s">
        <v>1142</v>
      </c>
      <c r="D18" s="275"/>
      <c r="E18" s="275" t="s">
        <v>1145</v>
      </c>
      <c r="F18" s="275"/>
      <c r="G18" s="275" t="s">
        <v>1118</v>
      </c>
      <c r="H18" s="275"/>
      <c r="M18" s="275" t="s">
        <v>1115</v>
      </c>
      <c r="N18" s="275"/>
      <c r="O18" s="275" t="s">
        <v>1124</v>
      </c>
      <c r="P18" s="275" t="s">
        <v>1115</v>
      </c>
      <c r="R18" s="324"/>
      <c r="S18" s="31" t="s">
        <v>113</v>
      </c>
      <c r="T18" s="34">
        <f>'ECONOMIA &amp; PROFESIONES'!$N$21</f>
        <v>6625</v>
      </c>
      <c r="U18" s="53" t="e">
        <f t="shared" si="3"/>
        <v>#N/A</v>
      </c>
      <c r="V18" s="283" t="s">
        <v>1186</v>
      </c>
      <c r="W18" s="288">
        <v>0</v>
      </c>
      <c r="X18" s="280">
        <f t="shared" si="0"/>
        <v>385.5</v>
      </c>
      <c r="Y18" s="283" t="s">
        <v>1174</v>
      </c>
      <c r="Z18" s="288">
        <v>0</v>
      </c>
      <c r="AA18" s="280" t="e">
        <f t="shared" si="1"/>
        <v>#N/A</v>
      </c>
      <c r="AB18" s="283" t="s">
        <v>1174</v>
      </c>
      <c r="AC18" s="288">
        <v>0</v>
      </c>
      <c r="AD18" s="280" t="e">
        <f t="shared" si="2"/>
        <v>#N/A</v>
      </c>
      <c r="AF18" s="35">
        <f>'ECONOMIA &amp; PROFESIONES'!$O$21</f>
        <v>7625</v>
      </c>
      <c r="AG18" s="34">
        <f>'ECONOMIA &amp; PROFESIONES'!$P$21</f>
        <v>9625</v>
      </c>
      <c r="AH18" s="35">
        <f>'ECONOMIA &amp; PROFESIONES'!$Q$21</f>
        <v>13625</v>
      </c>
      <c r="AI18" s="34">
        <f>'ECONOMIA &amp; PROFESIONES'!$R$21</f>
        <v>21625</v>
      </c>
    </row>
    <row r="19" spans="1:35" ht="15" customHeight="1" x14ac:dyDescent="0.25">
      <c r="A19" s="2" t="s">
        <v>1151</v>
      </c>
      <c r="B19" s="275"/>
      <c r="C19" s="275"/>
      <c r="D19" s="275"/>
      <c r="E19" s="275" t="s">
        <v>1142</v>
      </c>
      <c r="F19" s="275"/>
      <c r="G19" s="275" t="s">
        <v>1137</v>
      </c>
      <c r="H19" s="275"/>
      <c r="M19" s="275" t="s">
        <v>1117</v>
      </c>
      <c r="N19" s="275"/>
      <c r="O19" s="275" t="s">
        <v>1142</v>
      </c>
      <c r="P19" s="275"/>
      <c r="R19" s="324"/>
      <c r="S19" s="32" t="s">
        <v>114</v>
      </c>
      <c r="T19" s="34">
        <f>'ECONOMIA &amp; PROFESIONES'!$N$22</f>
        <v>7600</v>
      </c>
      <c r="U19" s="53" t="e">
        <f t="shared" si="3"/>
        <v>#N/A</v>
      </c>
      <c r="V19" s="283" t="s">
        <v>1186</v>
      </c>
      <c r="W19" s="288">
        <v>0</v>
      </c>
      <c r="X19" s="280">
        <f t="shared" si="0"/>
        <v>385.5</v>
      </c>
      <c r="Y19" s="283" t="s">
        <v>1174</v>
      </c>
      <c r="Z19" s="288">
        <v>0</v>
      </c>
      <c r="AA19" s="280" t="e">
        <f t="shared" si="1"/>
        <v>#N/A</v>
      </c>
      <c r="AB19" s="283" t="s">
        <v>1174</v>
      </c>
      <c r="AC19" s="288">
        <v>0</v>
      </c>
      <c r="AD19" s="280" t="e">
        <f t="shared" si="2"/>
        <v>#N/A</v>
      </c>
      <c r="AF19" s="35">
        <f>'ECONOMIA &amp; PROFESIONES'!$O$22</f>
        <v>9200</v>
      </c>
      <c r="AG19" s="34">
        <f>'ECONOMIA &amp; PROFESIONES'!$P$22</f>
        <v>12400</v>
      </c>
      <c r="AH19" s="35">
        <f>'ECONOMIA &amp; PROFESIONES'!$Q$22</f>
        <v>18800</v>
      </c>
      <c r="AI19" s="34">
        <f>'ECONOMIA &amp; PROFESIONES'!$R$22</f>
        <v>31600</v>
      </c>
    </row>
    <row r="20" spans="1:35" ht="15" customHeight="1" x14ac:dyDescent="0.25">
      <c r="A20" s="354" t="s">
        <v>1205</v>
      </c>
      <c r="B20" s="354"/>
      <c r="C20" s="354" t="s">
        <v>1119</v>
      </c>
      <c r="D20" s="354"/>
      <c r="E20" s="354" t="s">
        <v>1152</v>
      </c>
      <c r="F20" s="354"/>
      <c r="G20" s="354" t="s">
        <v>1157</v>
      </c>
      <c r="H20" s="354"/>
      <c r="M20" s="354" t="s">
        <v>1134</v>
      </c>
      <c r="N20" s="354"/>
      <c r="O20" s="354" t="s">
        <v>1154</v>
      </c>
      <c r="P20" s="354"/>
      <c r="R20" s="315"/>
      <c r="S20" s="31" t="s">
        <v>115</v>
      </c>
      <c r="T20" s="34">
        <f>'ECONOMIA &amp; PROFESIONES'!$N$23</f>
        <v>7275</v>
      </c>
      <c r="U20" s="53" t="e">
        <f t="shared" si="3"/>
        <v>#N/A</v>
      </c>
      <c r="V20" s="283" t="s">
        <v>1186</v>
      </c>
      <c r="W20" s="288">
        <v>0</v>
      </c>
      <c r="X20" s="280">
        <f t="shared" si="0"/>
        <v>385.5</v>
      </c>
      <c r="Y20" s="283" t="s">
        <v>1174</v>
      </c>
      <c r="Z20" s="288">
        <v>0</v>
      </c>
      <c r="AA20" s="280" t="e">
        <f t="shared" si="1"/>
        <v>#N/A</v>
      </c>
      <c r="AB20" s="283" t="s">
        <v>1174</v>
      </c>
      <c r="AC20" s="288">
        <v>0</v>
      </c>
      <c r="AD20" s="280" t="e">
        <f t="shared" si="2"/>
        <v>#N/A</v>
      </c>
      <c r="AF20" s="35">
        <f>'ECONOMIA &amp; PROFESIONES'!$O$23</f>
        <v>8675</v>
      </c>
      <c r="AG20" s="34">
        <f>'ECONOMIA &amp; PROFESIONES'!$P$23</f>
        <v>11475</v>
      </c>
      <c r="AH20" s="35">
        <f>'ECONOMIA &amp; PROFESIONES'!$Q$23</f>
        <v>17075</v>
      </c>
      <c r="AI20" s="34">
        <f>'ECONOMIA &amp; PROFESIONES'!$R$23</f>
        <v>28275</v>
      </c>
    </row>
    <row r="21" spans="1:35" ht="15" customHeight="1" x14ac:dyDescent="0.25">
      <c r="A21" s="275" t="s">
        <v>1115</v>
      </c>
      <c r="B21" s="275"/>
      <c r="C21" s="275" t="s">
        <v>1145</v>
      </c>
      <c r="D21" s="275"/>
      <c r="E21" s="354" t="s">
        <v>51</v>
      </c>
      <c r="F21" s="354"/>
      <c r="G21" s="275" t="s">
        <v>1155</v>
      </c>
      <c r="H21" s="275" t="s">
        <v>1154</v>
      </c>
      <c r="M21" s="275" t="s">
        <v>1115</v>
      </c>
      <c r="N21" s="275"/>
      <c r="O21" s="275" t="s">
        <v>1119</v>
      </c>
      <c r="P21" s="275"/>
      <c r="R21" s="325"/>
      <c r="S21" s="32" t="s">
        <v>116</v>
      </c>
      <c r="T21" s="34">
        <f>'ECONOMIA &amp; PROFESIONES'!$N$24</f>
        <v>6300</v>
      </c>
      <c r="U21" s="53" t="e">
        <f t="shared" si="3"/>
        <v>#N/A</v>
      </c>
      <c r="V21" s="283" t="s">
        <v>1186</v>
      </c>
      <c r="W21" s="288">
        <v>0</v>
      </c>
      <c r="X21" s="280">
        <f t="shared" si="0"/>
        <v>385.5</v>
      </c>
      <c r="Y21" s="283" t="s">
        <v>1174</v>
      </c>
      <c r="Z21" s="288">
        <v>0</v>
      </c>
      <c r="AA21" s="280" t="e">
        <f t="shared" si="1"/>
        <v>#N/A</v>
      </c>
      <c r="AB21" s="283" t="s">
        <v>1174</v>
      </c>
      <c r="AC21" s="288">
        <v>0</v>
      </c>
      <c r="AD21" s="280" t="e">
        <f t="shared" si="2"/>
        <v>#N/A</v>
      </c>
      <c r="AF21" s="35">
        <f>'ECONOMIA &amp; PROFESIONES'!$O$24</f>
        <v>7100</v>
      </c>
      <c r="AG21" s="34">
        <f>'ECONOMIA &amp; PROFESIONES'!$P$24</f>
        <v>8700</v>
      </c>
      <c r="AH21" s="35">
        <f>'ECONOMIA &amp; PROFESIONES'!$Q$24</f>
        <v>11900</v>
      </c>
      <c r="AI21" s="34">
        <f>'ECONOMIA &amp; PROFESIONES'!$R$24</f>
        <v>18300</v>
      </c>
    </row>
    <row r="22" spans="1:35" ht="15" customHeight="1" x14ac:dyDescent="0.25">
      <c r="A22" s="275" t="s">
        <v>1113</v>
      </c>
      <c r="B22" s="275"/>
      <c r="C22" s="275" t="s">
        <v>1118</v>
      </c>
      <c r="D22" s="275"/>
      <c r="E22" s="354" t="s">
        <v>52</v>
      </c>
      <c r="F22" s="354"/>
      <c r="G22" s="275" t="s">
        <v>1119</v>
      </c>
      <c r="H22" s="275"/>
      <c r="M22" s="275" t="s">
        <v>1141</v>
      </c>
      <c r="N22" s="275"/>
      <c r="O22" s="275" t="s">
        <v>1158</v>
      </c>
      <c r="P22" s="275"/>
      <c r="R22" s="320" t="s">
        <v>1200</v>
      </c>
      <c r="S22" s="31" t="s">
        <v>6</v>
      </c>
      <c r="T22" s="34">
        <f>'ECONOMIA &amp; PROFESIONES'!$N$25</f>
        <v>7250</v>
      </c>
      <c r="U22" s="53" t="e">
        <f t="shared" si="3"/>
        <v>#N/A</v>
      </c>
      <c r="V22" s="283" t="s">
        <v>1186</v>
      </c>
      <c r="W22" s="288">
        <v>0</v>
      </c>
      <c r="X22" s="280">
        <f t="shared" si="0"/>
        <v>385.5</v>
      </c>
      <c r="Y22" s="283" t="s">
        <v>1174</v>
      </c>
      <c r="Z22" s="288">
        <v>0</v>
      </c>
      <c r="AA22" s="280" t="e">
        <f t="shared" si="1"/>
        <v>#N/A</v>
      </c>
      <c r="AB22" s="283" t="s">
        <v>1174</v>
      </c>
      <c r="AC22" s="288">
        <v>0</v>
      </c>
      <c r="AD22" s="280" t="e">
        <f t="shared" si="2"/>
        <v>#N/A</v>
      </c>
      <c r="AF22" s="35">
        <f>'ECONOMIA &amp; PROFESIONES'!$O$25</f>
        <v>7650</v>
      </c>
      <c r="AG22" s="34">
        <f>'ECONOMIA &amp; PROFESIONES'!$P$25</f>
        <v>8450</v>
      </c>
      <c r="AH22" s="35">
        <f>'ECONOMIA &amp; PROFESIONES'!$Q$25</f>
        <v>10050</v>
      </c>
      <c r="AI22" s="34">
        <f>'ECONOMIA &amp; PROFESIONES'!$R$25</f>
        <v>13250</v>
      </c>
    </row>
    <row r="23" spans="1:35" ht="15" customHeight="1" x14ac:dyDescent="0.25">
      <c r="A23" s="275" t="s">
        <v>1155</v>
      </c>
      <c r="B23" s="275"/>
      <c r="C23" s="275" t="s">
        <v>1117</v>
      </c>
      <c r="D23" s="275"/>
      <c r="E23" s="354" t="s">
        <v>53</v>
      </c>
      <c r="F23" s="354"/>
      <c r="G23" s="275" t="s">
        <v>1141</v>
      </c>
      <c r="H23" s="275"/>
      <c r="M23" s="275" t="s">
        <v>1113</v>
      </c>
      <c r="N23" s="275"/>
      <c r="O23" s="275" t="s">
        <v>1153</v>
      </c>
      <c r="P23" s="275"/>
      <c r="R23" s="320"/>
      <c r="S23" s="32" t="s">
        <v>113</v>
      </c>
      <c r="T23" s="34">
        <f>'ECONOMIA &amp; PROFESIONES'!$N$26</f>
        <v>8375</v>
      </c>
      <c r="U23" s="53" t="e">
        <f t="shared" si="3"/>
        <v>#N/A</v>
      </c>
      <c r="V23" s="283" t="s">
        <v>1186</v>
      </c>
      <c r="W23" s="288">
        <v>0</v>
      </c>
      <c r="X23" s="280">
        <f t="shared" si="0"/>
        <v>385.5</v>
      </c>
      <c r="Y23" s="283" t="s">
        <v>1174</v>
      </c>
      <c r="Z23" s="288">
        <v>0</v>
      </c>
      <c r="AA23" s="280" t="e">
        <f t="shared" si="1"/>
        <v>#N/A</v>
      </c>
      <c r="AB23" s="283" t="s">
        <v>1174</v>
      </c>
      <c r="AC23" s="288">
        <v>0</v>
      </c>
      <c r="AD23" s="280" t="e">
        <f t="shared" si="2"/>
        <v>#N/A</v>
      </c>
      <c r="AF23" s="35">
        <f>'ECONOMIA &amp; PROFESIONES'!$O$26</f>
        <v>9375</v>
      </c>
      <c r="AG23" s="34">
        <f>'ECONOMIA &amp; PROFESIONES'!$P$26</f>
        <v>11375</v>
      </c>
      <c r="AH23" s="35">
        <f>'ECONOMIA &amp; PROFESIONES'!$Q$26</f>
        <v>15375</v>
      </c>
      <c r="AI23" s="34">
        <f>'ECONOMIA &amp; PROFESIONES'!$R$26</f>
        <v>23375</v>
      </c>
    </row>
    <row r="24" spans="1:35" ht="15" customHeight="1" x14ac:dyDescent="0.25">
      <c r="A24" s="275" t="s">
        <v>1133</v>
      </c>
      <c r="B24" s="275"/>
      <c r="C24" s="275" t="s">
        <v>1153</v>
      </c>
      <c r="D24" s="275"/>
      <c r="E24" s="354" t="s">
        <v>54</v>
      </c>
      <c r="F24" s="354"/>
      <c r="G24" s="275" t="s">
        <v>1134</v>
      </c>
      <c r="H24" s="275"/>
      <c r="M24" s="275" t="s">
        <v>1158</v>
      </c>
      <c r="N24" s="275"/>
      <c r="O24" s="275" t="s">
        <v>1137</v>
      </c>
      <c r="P24" s="275"/>
      <c r="R24" s="320"/>
      <c r="S24" s="31" t="s">
        <v>114</v>
      </c>
      <c r="T24" s="34">
        <f>'ECONOMIA &amp; PROFESIONES'!$N$27</f>
        <v>9500</v>
      </c>
      <c r="U24" s="53" t="e">
        <f t="shared" si="3"/>
        <v>#N/A</v>
      </c>
      <c r="V24" s="283" t="s">
        <v>1186</v>
      </c>
      <c r="W24" s="288">
        <v>0</v>
      </c>
      <c r="X24" s="280">
        <f t="shared" si="0"/>
        <v>385.5</v>
      </c>
      <c r="Y24" s="283" t="s">
        <v>1174</v>
      </c>
      <c r="Z24" s="288">
        <v>0</v>
      </c>
      <c r="AA24" s="280" t="e">
        <f t="shared" si="1"/>
        <v>#N/A</v>
      </c>
      <c r="AB24" s="283" t="s">
        <v>1174</v>
      </c>
      <c r="AC24" s="288">
        <v>0</v>
      </c>
      <c r="AD24" s="280" t="e">
        <f t="shared" si="2"/>
        <v>#N/A</v>
      </c>
      <c r="AF24" s="35">
        <f>'ECONOMIA &amp; PROFESIONES'!$O$27</f>
        <v>11100</v>
      </c>
      <c r="AG24" s="34">
        <f>'ECONOMIA &amp; PROFESIONES'!$P$27</f>
        <v>14300</v>
      </c>
      <c r="AH24" s="35">
        <f>'ECONOMIA &amp; PROFESIONES'!$Q$27</f>
        <v>20700</v>
      </c>
      <c r="AI24" s="34">
        <f>'ECONOMIA &amp; PROFESIONES'!$R$27</f>
        <v>33500</v>
      </c>
    </row>
    <row r="25" spans="1:35" ht="15" customHeight="1" x14ac:dyDescent="0.25">
      <c r="A25" s="354" t="s">
        <v>1206</v>
      </c>
      <c r="B25" s="354"/>
      <c r="C25" s="354" t="s">
        <v>1120</v>
      </c>
      <c r="D25" s="354"/>
      <c r="G25" s="354" t="s">
        <v>1159</v>
      </c>
      <c r="H25" s="354"/>
      <c r="M25" s="354" t="s">
        <v>1135</v>
      </c>
      <c r="N25" s="354"/>
      <c r="O25" s="354" t="s">
        <v>1139</v>
      </c>
      <c r="P25" s="354"/>
      <c r="R25" s="320"/>
      <c r="S25" s="32" t="s">
        <v>115</v>
      </c>
      <c r="T25" s="34">
        <f>'ECONOMIA &amp; PROFESIONES'!$N$28</f>
        <v>9125</v>
      </c>
      <c r="U25" s="53" t="e">
        <f t="shared" si="3"/>
        <v>#N/A</v>
      </c>
      <c r="V25" s="283" t="s">
        <v>1186</v>
      </c>
      <c r="W25" s="288">
        <v>0</v>
      </c>
      <c r="X25" s="280">
        <f t="shared" si="0"/>
        <v>385.5</v>
      </c>
      <c r="Y25" s="283" t="s">
        <v>1174</v>
      </c>
      <c r="Z25" s="288">
        <v>0</v>
      </c>
      <c r="AA25" s="280" t="e">
        <f t="shared" si="1"/>
        <v>#N/A</v>
      </c>
      <c r="AB25" s="283" t="s">
        <v>1174</v>
      </c>
      <c r="AC25" s="288">
        <v>0</v>
      </c>
      <c r="AD25" s="280" t="e">
        <f t="shared" si="2"/>
        <v>#N/A</v>
      </c>
      <c r="AF25" s="35">
        <f>'ECONOMIA &amp; PROFESIONES'!$O$28</f>
        <v>10525</v>
      </c>
      <c r="AG25" s="34">
        <f>'ECONOMIA &amp; PROFESIONES'!$P$28</f>
        <v>13325</v>
      </c>
      <c r="AH25" s="35">
        <f>'ECONOMIA &amp; PROFESIONES'!$Q$28</f>
        <v>18925</v>
      </c>
      <c r="AI25" s="34">
        <f>'ECONOMIA &amp; PROFESIONES'!$R$28</f>
        <v>30125</v>
      </c>
    </row>
    <row r="26" spans="1:35" x14ac:dyDescent="0.25">
      <c r="A26" s="275" t="s">
        <v>1115</v>
      </c>
      <c r="B26" s="275" t="s">
        <v>1134</v>
      </c>
      <c r="C26" s="275" t="s">
        <v>1119</v>
      </c>
      <c r="D26" s="275"/>
      <c r="G26" s="275" t="s">
        <v>1144</v>
      </c>
      <c r="H26" s="275" t="s">
        <v>1153</v>
      </c>
      <c r="M26" s="275" t="s">
        <v>1124</v>
      </c>
      <c r="N26" s="275" t="s">
        <v>1142</v>
      </c>
      <c r="O26" s="275" t="s">
        <v>1154</v>
      </c>
      <c r="P26" s="275" t="s">
        <v>1119</v>
      </c>
      <c r="R26" s="320"/>
      <c r="S26" s="31" t="s">
        <v>116</v>
      </c>
      <c r="T26" s="34">
        <f>'ECONOMIA &amp; PROFESIONES'!$N$29</f>
        <v>8000</v>
      </c>
      <c r="U26" s="53" t="e">
        <f t="shared" si="3"/>
        <v>#N/A</v>
      </c>
      <c r="V26" s="283" t="s">
        <v>1186</v>
      </c>
      <c r="W26" s="288">
        <v>0</v>
      </c>
      <c r="X26" s="280">
        <f t="shared" si="0"/>
        <v>385.5</v>
      </c>
      <c r="Y26" s="283" t="s">
        <v>1174</v>
      </c>
      <c r="Z26" s="288">
        <v>0</v>
      </c>
      <c r="AA26" s="280" t="e">
        <f t="shared" si="1"/>
        <v>#N/A</v>
      </c>
      <c r="AB26" s="283" t="s">
        <v>1174</v>
      </c>
      <c r="AC26" s="288">
        <v>0</v>
      </c>
      <c r="AD26" s="280" t="e">
        <f t="shared" si="2"/>
        <v>#N/A</v>
      </c>
      <c r="AF26" s="35">
        <f>'ECONOMIA &amp; PROFESIONES'!$O$29</f>
        <v>8800</v>
      </c>
      <c r="AG26" s="34">
        <f>'ECONOMIA &amp; PROFESIONES'!$P$29</f>
        <v>10400</v>
      </c>
      <c r="AH26" s="35">
        <f>'ECONOMIA &amp; PROFESIONES'!$Q$29</f>
        <v>13600</v>
      </c>
      <c r="AI26" s="34">
        <f>'ECONOMIA &amp; PROFESIONES'!$R$29</f>
        <v>20000</v>
      </c>
    </row>
    <row r="27" spans="1:35" x14ac:dyDescent="0.25">
      <c r="A27" s="275" t="s">
        <v>1141</v>
      </c>
      <c r="B27" s="275"/>
      <c r="C27" s="275" t="s">
        <v>1145</v>
      </c>
      <c r="D27" s="275"/>
      <c r="G27" s="275" t="s">
        <v>1120</v>
      </c>
      <c r="H27" s="275"/>
      <c r="M27" s="275" t="s">
        <v>1134</v>
      </c>
      <c r="N27" s="275"/>
      <c r="O27" s="275" t="s">
        <v>1153</v>
      </c>
      <c r="P27" s="275"/>
    </row>
    <row r="28" spans="1:35" x14ac:dyDescent="0.25">
      <c r="A28" s="275" t="s">
        <v>1142</v>
      </c>
      <c r="B28" s="275"/>
      <c r="C28" s="275" t="s">
        <v>1135</v>
      </c>
      <c r="D28" s="275"/>
      <c r="G28" s="275" t="s">
        <v>1135</v>
      </c>
      <c r="H28" s="275"/>
      <c r="M28" s="275" t="s">
        <v>1115</v>
      </c>
      <c r="N28" s="275"/>
      <c r="O28" s="275" t="s">
        <v>1135</v>
      </c>
      <c r="P28" s="275"/>
    </row>
    <row r="29" spans="1:35" x14ac:dyDescent="0.25">
      <c r="A29" t="s">
        <v>1158</v>
      </c>
      <c r="C29" s="275" t="s">
        <v>1139</v>
      </c>
      <c r="D29" s="275"/>
      <c r="G29" s="275" t="s">
        <v>1139</v>
      </c>
      <c r="H29" s="275"/>
      <c r="M29" s="275" t="s">
        <v>1144</v>
      </c>
      <c r="N29" s="275"/>
      <c r="O29" s="275" t="s">
        <v>1120</v>
      </c>
      <c r="P29" s="275"/>
    </row>
    <row r="30" spans="1:35" x14ac:dyDescent="0.25">
      <c r="A30" s="354" t="s">
        <v>1207</v>
      </c>
      <c r="B30" s="354"/>
      <c r="C30" s="354" t="s">
        <v>1146</v>
      </c>
      <c r="D30" s="354"/>
      <c r="G30" s="354" t="s">
        <v>1160</v>
      </c>
      <c r="H30" s="354"/>
      <c r="M30" s="354" t="s">
        <v>1136</v>
      </c>
      <c r="N30" s="354"/>
      <c r="O30" s="354" t="s">
        <v>1138</v>
      </c>
      <c r="P30" s="354"/>
    </row>
    <row r="31" spans="1:35" x14ac:dyDescent="0.25">
      <c r="A31" s="275" t="s">
        <v>1144</v>
      </c>
      <c r="B31" s="275" t="s">
        <v>1135</v>
      </c>
      <c r="C31" s="275" t="s">
        <v>1120</v>
      </c>
      <c r="D31" s="275" t="s">
        <v>1135</v>
      </c>
      <c r="G31" s="275" t="s">
        <v>1161</v>
      </c>
      <c r="H31" s="275" t="s">
        <v>1139</v>
      </c>
      <c r="M31" s="275" t="s">
        <v>1124</v>
      </c>
      <c r="N31" s="275" t="s">
        <v>1135</v>
      </c>
      <c r="O31" s="275" t="s">
        <v>1136</v>
      </c>
      <c r="P31" s="275" t="s">
        <v>1160</v>
      </c>
    </row>
    <row r="32" spans="1:35" x14ac:dyDescent="0.25">
      <c r="A32" s="275" t="s">
        <v>1141</v>
      </c>
      <c r="B32" s="275" t="s">
        <v>1136</v>
      </c>
      <c r="C32" s="275" t="s">
        <v>1154</v>
      </c>
      <c r="D32" s="275"/>
      <c r="G32" s="275" t="s">
        <v>1121</v>
      </c>
      <c r="H32" s="275" t="s">
        <v>1154</v>
      </c>
      <c r="M32" s="275" t="s">
        <v>1134</v>
      </c>
      <c r="N32" s="275" t="s">
        <v>1139</v>
      </c>
      <c r="O32" s="275" t="s">
        <v>1139</v>
      </c>
      <c r="P32" s="275" t="s">
        <v>1121</v>
      </c>
    </row>
    <row r="33" spans="1:23" x14ac:dyDescent="0.25">
      <c r="A33" s="275" t="s">
        <v>1154</v>
      </c>
      <c r="B33" s="275" t="s">
        <v>1160</v>
      </c>
      <c r="C33" s="275" t="s">
        <v>1139</v>
      </c>
      <c r="D33" s="275"/>
      <c r="G33" s="275" t="s">
        <v>1116</v>
      </c>
      <c r="H33" s="275" t="s">
        <v>1153</v>
      </c>
      <c r="M33" s="275" t="s">
        <v>1116</v>
      </c>
      <c r="N33" s="275" t="s">
        <v>1153</v>
      </c>
      <c r="O33" s="275" t="s">
        <v>1154</v>
      </c>
      <c r="P33" s="275" t="s">
        <v>1162</v>
      </c>
    </row>
    <row r="34" spans="1:23" x14ac:dyDescent="0.25">
      <c r="A34" t="s">
        <v>1153</v>
      </c>
      <c r="B34" s="275"/>
      <c r="C34" s="275" t="s">
        <v>1136</v>
      </c>
      <c r="G34" t="s">
        <v>1136</v>
      </c>
      <c r="O34" t="s">
        <v>1153</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78"/>
      <c r="B40" s="278" t="s">
        <v>203</v>
      </c>
      <c r="C40" s="281" t="s">
        <v>202</v>
      </c>
      <c r="D40" s="285" t="s">
        <v>149</v>
      </c>
      <c r="E40" s="285" t="s">
        <v>1164</v>
      </c>
      <c r="F40" s="281" t="s">
        <v>203</v>
      </c>
      <c r="G40" s="285" t="s">
        <v>1169</v>
      </c>
      <c r="H40" s="285" t="s">
        <v>149</v>
      </c>
      <c r="I40" s="285" t="s">
        <v>1165</v>
      </c>
      <c r="J40" s="281" t="s">
        <v>203</v>
      </c>
      <c r="K40" s="285" t="s">
        <v>1169</v>
      </c>
      <c r="L40" s="285" t="s">
        <v>149</v>
      </c>
      <c r="M40" s="285" t="s">
        <v>1166</v>
      </c>
      <c r="N40" s="281" t="s">
        <v>203</v>
      </c>
      <c r="O40" s="285" t="s">
        <v>1169</v>
      </c>
      <c r="P40" s="285" t="s">
        <v>149</v>
      </c>
      <c r="Q40" s="285" t="s">
        <v>1167</v>
      </c>
      <c r="R40" s="281" t="s">
        <v>203</v>
      </c>
      <c r="S40" s="285" t="s">
        <v>1169</v>
      </c>
      <c r="T40" s="285" t="s">
        <v>149</v>
      </c>
      <c r="U40" s="285" t="s">
        <v>1168</v>
      </c>
      <c r="V40" s="281" t="s">
        <v>203</v>
      </c>
      <c r="W40" s="285" t="s">
        <v>1169</v>
      </c>
    </row>
    <row r="41" spans="1:23" x14ac:dyDescent="0.25">
      <c r="A41" s="284" t="s">
        <v>1210</v>
      </c>
      <c r="B41" s="284"/>
      <c r="C41" s="279">
        <f>((D41*G41)+(K41*H41)+(O41*L41)+(S41*P41)+(W41*T41))</f>
        <v>248</v>
      </c>
      <c r="D41" s="282">
        <v>32</v>
      </c>
      <c r="E41" s="283">
        <v>17</v>
      </c>
      <c r="F41" s="59" t="str">
        <f t="shared" ref="F41" si="4">VLOOKUP(E41,LISTAITEMS,2,FALSE)</f>
        <v>Oak Log</v>
      </c>
      <c r="G41" s="280">
        <f>VLOOKUP(E41,LISTAITEMS,5,FALSE)</f>
        <v>4</v>
      </c>
      <c r="H41" s="282">
        <v>16</v>
      </c>
      <c r="I41" s="283">
        <v>37</v>
      </c>
      <c r="J41" s="59" t="str">
        <f t="shared" ref="J41" si="5">VLOOKUP(I41,LISTAITEMS,2,FALSE)</f>
        <v>Dandilion</v>
      </c>
      <c r="K41" s="280">
        <f>VLOOKUP(I41,LISTAITEMS,5,FALSE)</f>
        <v>7.5</v>
      </c>
      <c r="L41" s="282">
        <v>0</v>
      </c>
      <c r="M41" s="283" t="s">
        <v>926</v>
      </c>
      <c r="N41" s="59" t="str">
        <f t="shared" ref="N41" si="6">VLOOKUP(M41,LISTAITEMS,2,FALSE)</f>
        <v>ninguno</v>
      </c>
      <c r="O41" s="280">
        <f>VLOOKUP(M41,LISTAITEMS,5,FALSE)</f>
        <v>0</v>
      </c>
      <c r="P41" s="282">
        <v>0</v>
      </c>
      <c r="Q41" s="283" t="s">
        <v>926</v>
      </c>
      <c r="R41" s="59" t="str">
        <f t="shared" ref="R41" si="7">VLOOKUP(Q41,LISTAITEMS,2,FALSE)</f>
        <v>ninguno</v>
      </c>
      <c r="S41" s="280">
        <f>VLOOKUP(Q41,LISTAITEMS,5,FALSE)</f>
        <v>0</v>
      </c>
      <c r="T41" s="282">
        <v>0</v>
      </c>
      <c r="U41" s="283" t="s">
        <v>926</v>
      </c>
      <c r="V41" s="59" t="str">
        <f t="shared" ref="V41" si="8">VLOOKUP(U41,LISTAITEMS,2,FALSE)</f>
        <v>ninguno</v>
      </c>
      <c r="W41" s="280">
        <f>VLOOKUP(U41,LISTAITEMS,5,FALSE)</f>
        <v>0</v>
      </c>
    </row>
    <row r="42" spans="1:23" s="275" customFormat="1" x14ac:dyDescent="0.25">
      <c r="A42" s="284" t="s">
        <v>1188</v>
      </c>
      <c r="B42" s="284"/>
      <c r="C42" s="279">
        <f>((D42*G42)+(K42*H42)+(O42*L42)+(S42*P42)+(W42*T42))</f>
        <v>180</v>
      </c>
      <c r="D42" s="282">
        <v>8</v>
      </c>
      <c r="E42" s="283">
        <v>38</v>
      </c>
      <c r="F42" s="59" t="str">
        <f t="shared" ref="F42" si="9">VLOOKUP(E42,LISTAITEMS,2,FALSE)</f>
        <v>Poppy</v>
      </c>
      <c r="G42" s="280">
        <f>VLOOKUP(E42,LISTAITEMS,5,FALSE)</f>
        <v>7.5</v>
      </c>
      <c r="H42" s="282">
        <v>8</v>
      </c>
      <c r="I42" s="283">
        <v>352</v>
      </c>
      <c r="J42" s="59" t="str">
        <f t="shared" ref="J42" si="10">VLOOKUP(I42,LISTAITEMS,2,FALSE)</f>
        <v xml:space="preserve">Bone  </v>
      </c>
      <c r="K42" s="280">
        <f>VLOOKUP(I42,LISTAITEMS,5,FALSE)</f>
        <v>7.5</v>
      </c>
      <c r="L42" s="282">
        <v>8</v>
      </c>
      <c r="M42" s="283" t="s">
        <v>287</v>
      </c>
      <c r="N42" s="59" t="str">
        <f t="shared" ref="N42" si="11">VLOOKUP(M42,LISTAITEMS,2,FALSE)</f>
        <v>Blue Orchid</v>
      </c>
      <c r="O42" s="280">
        <f>VLOOKUP(M42,LISTAITEMS,5,FALSE)</f>
        <v>7.5</v>
      </c>
      <c r="P42" s="282">
        <v>0</v>
      </c>
      <c r="Q42" s="283" t="s">
        <v>926</v>
      </c>
      <c r="R42" s="59" t="str">
        <f t="shared" ref="R42" si="12">VLOOKUP(Q42,LISTAITEMS,2,FALSE)</f>
        <v>ninguno</v>
      </c>
      <c r="S42" s="280">
        <f>VLOOKUP(Q42,LISTAITEMS,5,FALSE)</f>
        <v>0</v>
      </c>
      <c r="T42" s="282">
        <v>0</v>
      </c>
      <c r="U42" s="283" t="s">
        <v>926</v>
      </c>
      <c r="V42" s="59" t="str">
        <f t="shared" ref="V42" si="13">VLOOKUP(U42,LISTAITEMS,2,FALSE)</f>
        <v>ninguno</v>
      </c>
      <c r="W42" s="280">
        <f>VLOOKUP(U42,LISTAITEMS,5,FALSE)</f>
        <v>0</v>
      </c>
    </row>
    <row r="43" spans="1:23" s="275" customFormat="1" x14ac:dyDescent="0.25">
      <c r="A43" s="277"/>
      <c r="B43" s="277" t="s">
        <v>1115</v>
      </c>
      <c r="C43" s="277"/>
      <c r="D43" s="277"/>
      <c r="E43" s="277"/>
      <c r="F43" s="277"/>
      <c r="G43" s="277"/>
      <c r="H43" s="277"/>
      <c r="I43" s="277"/>
      <c r="J43" s="277"/>
      <c r="K43" s="277"/>
      <c r="L43" s="277"/>
      <c r="M43" s="277"/>
      <c r="N43" s="277"/>
      <c r="O43" s="277"/>
      <c r="P43" s="277"/>
      <c r="Q43" s="277"/>
      <c r="R43" s="277"/>
      <c r="S43" s="277"/>
      <c r="T43" s="277"/>
      <c r="U43" s="277"/>
      <c r="V43" s="277"/>
      <c r="W43" s="277"/>
    </row>
    <row r="44" spans="1:23" x14ac:dyDescent="0.25">
      <c r="A44" s="278"/>
      <c r="B44" s="278" t="s">
        <v>203</v>
      </c>
      <c r="C44" s="281" t="s">
        <v>202</v>
      </c>
      <c r="D44" s="285" t="s">
        <v>149</v>
      </c>
      <c r="E44" s="285" t="s">
        <v>1181</v>
      </c>
      <c r="F44" s="285" t="s">
        <v>1169</v>
      </c>
      <c r="G44" s="285" t="s">
        <v>149</v>
      </c>
      <c r="H44" s="285" t="s">
        <v>1182</v>
      </c>
      <c r="I44" s="285" t="s">
        <v>1169</v>
      </c>
      <c r="J44" s="285" t="s">
        <v>149</v>
      </c>
      <c r="K44" s="285" t="s">
        <v>1183</v>
      </c>
      <c r="L44" s="285" t="s">
        <v>1169</v>
      </c>
      <c r="M44" s="285" t="s">
        <v>149</v>
      </c>
      <c r="N44" s="285" t="s">
        <v>1184</v>
      </c>
      <c r="O44" s="285" t="s">
        <v>1169</v>
      </c>
      <c r="P44" s="285" t="s">
        <v>149</v>
      </c>
      <c r="Q44" s="285" t="s">
        <v>1185</v>
      </c>
      <c r="R44" s="285" t="s">
        <v>1169</v>
      </c>
    </row>
    <row r="45" spans="1:23" x14ac:dyDescent="0.25">
      <c r="A45" s="284" t="s">
        <v>1209</v>
      </c>
      <c r="B45" s="284"/>
      <c r="C45" s="279" t="e">
        <f>((F45*D45)+(I45*G45)+(L45*J45)+(O45*M45)+(R45*P45))</f>
        <v>#N/A</v>
      </c>
      <c r="D45" s="282">
        <v>1</v>
      </c>
      <c r="E45" s="283" t="s">
        <v>1208</v>
      </c>
      <c r="F45" s="280" t="e">
        <f>VLOOKUP(E45,craftedesp,3,FALSE)</f>
        <v>#N/A</v>
      </c>
      <c r="G45" s="282">
        <v>1</v>
      </c>
      <c r="H45" s="283" t="s">
        <v>1175</v>
      </c>
      <c r="I45" s="280">
        <f>VLOOKUP(H45,craftedesp,3,FALSE)</f>
        <v>344</v>
      </c>
      <c r="J45" s="282">
        <v>1</v>
      </c>
      <c r="K45" s="283" t="s">
        <v>926</v>
      </c>
      <c r="L45" s="280">
        <f>VLOOKUP(K45,craftedesp,3,FALSE)</f>
        <v>0</v>
      </c>
      <c r="M45" s="282">
        <v>1</v>
      </c>
      <c r="N45" s="283" t="s">
        <v>926</v>
      </c>
      <c r="O45" s="280">
        <f>VLOOKUP(N45,craftedesp,3,FALSE)</f>
        <v>0</v>
      </c>
      <c r="P45" s="282">
        <v>1</v>
      </c>
      <c r="Q45" s="283" t="s">
        <v>926</v>
      </c>
      <c r="R45" s="280">
        <f>VLOOKUP(Q45,craftedesp,3,FALSE)</f>
        <v>0</v>
      </c>
    </row>
    <row r="46" spans="1:23" s="275" customFormat="1" x14ac:dyDescent="0.25">
      <c r="A46" s="284" t="s">
        <v>1173</v>
      </c>
      <c r="B46" s="284"/>
      <c r="C46" s="279">
        <f>((F46*D46)+(I46*G46)+(L46*J46)+(O46*M46)+(R46*P46))</f>
        <v>524</v>
      </c>
      <c r="D46" s="282">
        <v>1</v>
      </c>
      <c r="E46" s="283" t="s">
        <v>1188</v>
      </c>
      <c r="F46" s="280">
        <f>VLOOKUP(E46,craftedesp,3,FALSE)</f>
        <v>180</v>
      </c>
      <c r="G46" s="282">
        <v>1</v>
      </c>
      <c r="H46" s="283" t="s">
        <v>1175</v>
      </c>
      <c r="I46" s="280">
        <f>VLOOKUP(H46,craftedesp,3,FALSE)</f>
        <v>344</v>
      </c>
      <c r="J46" s="282">
        <v>1</v>
      </c>
      <c r="K46" s="283" t="s">
        <v>926</v>
      </c>
      <c r="L46" s="280">
        <f>VLOOKUP(K46,craftedesp,3,FALSE)</f>
        <v>0</v>
      </c>
      <c r="M46" s="282">
        <v>1</v>
      </c>
      <c r="N46" s="283" t="s">
        <v>926</v>
      </c>
      <c r="O46" s="280">
        <f>VLOOKUP(N46,craftedesp,3,FALSE)</f>
        <v>0</v>
      </c>
      <c r="P46" s="282">
        <v>1</v>
      </c>
      <c r="Q46" s="283" t="s">
        <v>926</v>
      </c>
      <c r="R46" s="280">
        <f>VLOOKUP(Q46,craftedesp,3,FALSE)</f>
        <v>0</v>
      </c>
    </row>
    <row r="47" spans="1:23" x14ac:dyDescent="0.25">
      <c r="A47" s="277"/>
      <c r="B47" s="277" t="s">
        <v>1114</v>
      </c>
      <c r="C47" s="277"/>
      <c r="D47" s="277"/>
      <c r="E47" s="277"/>
      <c r="F47" s="277"/>
      <c r="G47" s="277"/>
      <c r="H47" s="277"/>
      <c r="I47" s="277"/>
      <c r="J47" s="277"/>
      <c r="K47" s="277"/>
      <c r="L47" s="277"/>
      <c r="M47" s="277"/>
      <c r="N47" s="277"/>
      <c r="O47" s="277"/>
      <c r="P47" s="277"/>
      <c r="Q47" s="277"/>
      <c r="R47" s="277"/>
      <c r="S47" s="277"/>
      <c r="T47" s="277"/>
      <c r="U47" s="277"/>
      <c r="V47" s="277"/>
      <c r="W47" s="277"/>
    </row>
    <row r="48" spans="1:23" x14ac:dyDescent="0.25">
      <c r="A48" s="278"/>
      <c r="B48" s="278" t="s">
        <v>203</v>
      </c>
      <c r="C48" s="281" t="s">
        <v>202</v>
      </c>
      <c r="D48" s="285" t="s">
        <v>149</v>
      </c>
      <c r="E48" s="285" t="s">
        <v>1164</v>
      </c>
      <c r="F48" s="281" t="s">
        <v>203</v>
      </c>
      <c r="G48" s="285" t="s">
        <v>1169</v>
      </c>
      <c r="H48" s="285" t="s">
        <v>149</v>
      </c>
      <c r="I48" s="285" t="s">
        <v>1165</v>
      </c>
      <c r="J48" s="281" t="s">
        <v>203</v>
      </c>
      <c r="K48" s="285" t="s">
        <v>1169</v>
      </c>
      <c r="L48" s="285" t="s">
        <v>149</v>
      </c>
      <c r="M48" s="285" t="s">
        <v>1166</v>
      </c>
      <c r="N48" s="281" t="s">
        <v>203</v>
      </c>
      <c r="O48" s="285" t="s">
        <v>1169</v>
      </c>
      <c r="P48" s="285" t="s">
        <v>149</v>
      </c>
      <c r="Q48" s="285" t="s">
        <v>1167</v>
      </c>
      <c r="R48" s="281" t="s">
        <v>203</v>
      </c>
      <c r="S48" s="285" t="s">
        <v>1169</v>
      </c>
      <c r="T48" s="285" t="s">
        <v>149</v>
      </c>
      <c r="U48" s="285" t="s">
        <v>1168</v>
      </c>
      <c r="V48" s="281" t="s">
        <v>203</v>
      </c>
      <c r="W48" s="285" t="s">
        <v>1169</v>
      </c>
    </row>
    <row r="49" spans="1:23" x14ac:dyDescent="0.25">
      <c r="A49" s="284" t="s">
        <v>1163</v>
      </c>
      <c r="B49" s="284"/>
      <c r="C49" s="279">
        <f>((D49*G49)+(K49*H49)+(O49*L49)+(S49*P49)+(W49*T49))</f>
        <v>0</v>
      </c>
      <c r="D49" s="282">
        <v>0</v>
      </c>
      <c r="E49" s="283" t="s">
        <v>926</v>
      </c>
      <c r="F49" s="59" t="str">
        <f t="shared" ref="F49" si="14">VLOOKUP(E49,LISTAITEMS,2,FALSE)</f>
        <v>ninguno</v>
      </c>
      <c r="G49" s="280">
        <f>VLOOKUP(E49,LISTAITEMS,5,FALSE)</f>
        <v>0</v>
      </c>
      <c r="H49" s="282">
        <v>0</v>
      </c>
      <c r="I49" s="283" t="s">
        <v>926</v>
      </c>
      <c r="J49" s="59" t="str">
        <f t="shared" ref="J49" si="15">VLOOKUP(I49,LISTAITEMS,2,FALSE)</f>
        <v>ninguno</v>
      </c>
      <c r="K49" s="280">
        <f>VLOOKUP(I49,LISTAITEMS,5,FALSE)</f>
        <v>0</v>
      </c>
      <c r="L49" s="282">
        <v>0</v>
      </c>
      <c r="M49" s="283" t="s">
        <v>926</v>
      </c>
      <c r="N49" s="59" t="str">
        <f t="shared" ref="N49" si="16">VLOOKUP(M49,LISTAITEMS,2,FALSE)</f>
        <v>ninguno</v>
      </c>
      <c r="O49" s="280">
        <f>VLOOKUP(M49,LISTAITEMS,5,FALSE)</f>
        <v>0</v>
      </c>
      <c r="P49" s="282">
        <v>0</v>
      </c>
      <c r="Q49" s="283" t="s">
        <v>926</v>
      </c>
      <c r="R49" s="59" t="str">
        <f t="shared" ref="R49" si="17">VLOOKUP(Q49,LISTAITEMS,2,FALSE)</f>
        <v>ninguno</v>
      </c>
      <c r="S49" s="280">
        <f>VLOOKUP(Q49,LISTAITEMS,5,FALSE)</f>
        <v>0</v>
      </c>
      <c r="T49" s="282">
        <v>0</v>
      </c>
      <c r="U49" s="283" t="s">
        <v>926</v>
      </c>
      <c r="V49" s="59" t="str">
        <f t="shared" ref="V49" si="18">VLOOKUP(U49,LISTAITEMS,2,FALSE)</f>
        <v>ninguno</v>
      </c>
      <c r="W49" s="280">
        <f>VLOOKUP(U49,LISTAITEMS,5,FALSE)</f>
        <v>0</v>
      </c>
    </row>
    <row r="50" spans="1:23" x14ac:dyDescent="0.25">
      <c r="A50" s="277"/>
      <c r="B50" s="277" t="s">
        <v>1143</v>
      </c>
      <c r="C50" s="277"/>
      <c r="D50" s="277"/>
      <c r="E50" s="277"/>
      <c r="F50" s="277"/>
      <c r="G50" s="277"/>
      <c r="H50" s="277"/>
      <c r="I50" s="277"/>
      <c r="J50" s="277"/>
      <c r="K50" s="277"/>
      <c r="L50" s="277"/>
      <c r="M50" s="277"/>
      <c r="N50" s="277"/>
      <c r="O50" s="277"/>
      <c r="P50" s="277"/>
      <c r="Q50" s="277"/>
      <c r="R50" s="277"/>
      <c r="S50" s="277"/>
      <c r="T50" s="277"/>
      <c r="U50" s="277"/>
      <c r="V50" s="277"/>
      <c r="W50" s="277"/>
    </row>
    <row r="51" spans="1:23" x14ac:dyDescent="0.25">
      <c r="A51" s="278"/>
      <c r="B51" s="278" t="s">
        <v>203</v>
      </c>
      <c r="C51" s="281" t="s">
        <v>202</v>
      </c>
      <c r="D51" s="285" t="s">
        <v>149</v>
      </c>
      <c r="E51" s="285" t="s">
        <v>1164</v>
      </c>
      <c r="F51" s="281" t="s">
        <v>203</v>
      </c>
      <c r="G51" s="285" t="s">
        <v>1169</v>
      </c>
      <c r="H51" s="285" t="s">
        <v>149</v>
      </c>
      <c r="I51" s="285" t="s">
        <v>1165</v>
      </c>
      <c r="J51" s="281" t="s">
        <v>203</v>
      </c>
      <c r="K51" s="285" t="s">
        <v>1169</v>
      </c>
      <c r="L51" s="285" t="s">
        <v>149</v>
      </c>
      <c r="M51" s="285" t="s">
        <v>1166</v>
      </c>
      <c r="N51" s="281" t="s">
        <v>203</v>
      </c>
      <c r="O51" s="285" t="s">
        <v>1169</v>
      </c>
      <c r="P51" s="285" t="s">
        <v>149</v>
      </c>
      <c r="Q51" s="285" t="s">
        <v>1167</v>
      </c>
      <c r="R51" s="281" t="s">
        <v>203</v>
      </c>
      <c r="S51" s="285" t="s">
        <v>1169</v>
      </c>
      <c r="T51" s="285" t="s">
        <v>149</v>
      </c>
      <c r="U51" s="285" t="s">
        <v>1168</v>
      </c>
      <c r="V51" s="281" t="s">
        <v>203</v>
      </c>
      <c r="W51" s="285" t="s">
        <v>1169</v>
      </c>
    </row>
    <row r="52" spans="1:23" x14ac:dyDescent="0.25">
      <c r="A52" s="284" t="s">
        <v>1163</v>
      </c>
      <c r="B52" s="284"/>
      <c r="C52" s="279">
        <f>((D52*G52)+(K52*H52)+(O52*L52)+(S52*P52)+(W52*T52))</f>
        <v>0</v>
      </c>
      <c r="D52" s="282">
        <v>0</v>
      </c>
      <c r="E52" s="283" t="s">
        <v>926</v>
      </c>
      <c r="F52" s="59" t="str">
        <f t="shared" ref="F52" si="19">VLOOKUP(E52,LISTAITEMS,2,FALSE)</f>
        <v>ninguno</v>
      </c>
      <c r="G52" s="280">
        <f>VLOOKUP(E52,LISTAITEMS,5,FALSE)</f>
        <v>0</v>
      </c>
      <c r="H52" s="282">
        <v>0</v>
      </c>
      <c r="I52" s="283" t="s">
        <v>926</v>
      </c>
      <c r="J52" s="59" t="str">
        <f t="shared" ref="J52" si="20">VLOOKUP(I52,LISTAITEMS,2,FALSE)</f>
        <v>ninguno</v>
      </c>
      <c r="K52" s="280">
        <f>VLOOKUP(I52,LISTAITEMS,5,FALSE)</f>
        <v>0</v>
      </c>
      <c r="L52" s="282">
        <v>0</v>
      </c>
      <c r="M52" s="283" t="s">
        <v>926</v>
      </c>
      <c r="N52" s="59" t="str">
        <f t="shared" ref="N52" si="21">VLOOKUP(M52,LISTAITEMS,2,FALSE)</f>
        <v>ninguno</v>
      </c>
      <c r="O52" s="280">
        <f>VLOOKUP(M52,LISTAITEMS,5,FALSE)</f>
        <v>0</v>
      </c>
      <c r="P52" s="282">
        <v>0</v>
      </c>
      <c r="Q52" s="283" t="s">
        <v>926</v>
      </c>
      <c r="R52" s="59" t="str">
        <f t="shared" ref="R52" si="22">VLOOKUP(Q52,LISTAITEMS,2,FALSE)</f>
        <v>ninguno</v>
      </c>
      <c r="S52" s="280">
        <f>VLOOKUP(Q52,LISTAITEMS,5,FALSE)</f>
        <v>0</v>
      </c>
      <c r="T52" s="282">
        <v>0</v>
      </c>
      <c r="U52" s="283" t="s">
        <v>926</v>
      </c>
      <c r="V52" s="59" t="str">
        <f t="shared" ref="V52" si="23">VLOOKUP(U52,LISTAITEMS,2,FALSE)</f>
        <v>ninguno</v>
      </c>
      <c r="W52" s="280">
        <f>VLOOKUP(U52,LISTAITEMS,5,FALSE)</f>
        <v>0</v>
      </c>
    </row>
    <row r="53" spans="1:23" x14ac:dyDescent="0.25">
      <c r="A53" s="277"/>
      <c r="B53" s="277" t="s">
        <v>1116</v>
      </c>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78"/>
      <c r="B54" s="278" t="s">
        <v>203</v>
      </c>
      <c r="C54" s="281" t="s">
        <v>202</v>
      </c>
      <c r="D54" s="285" t="s">
        <v>149</v>
      </c>
      <c r="E54" s="285" t="s">
        <v>1164</v>
      </c>
      <c r="F54" s="281" t="s">
        <v>203</v>
      </c>
      <c r="G54" s="285" t="s">
        <v>1169</v>
      </c>
      <c r="H54" s="285" t="s">
        <v>149</v>
      </c>
      <c r="I54" s="285" t="s">
        <v>1165</v>
      </c>
      <c r="J54" s="281" t="s">
        <v>203</v>
      </c>
      <c r="K54" s="285" t="s">
        <v>1169</v>
      </c>
      <c r="L54" s="285" t="s">
        <v>149</v>
      </c>
      <c r="M54" s="285" t="s">
        <v>1166</v>
      </c>
      <c r="N54" s="281" t="s">
        <v>203</v>
      </c>
      <c r="O54" s="285" t="s">
        <v>1169</v>
      </c>
      <c r="P54" s="285" t="s">
        <v>149</v>
      </c>
      <c r="Q54" s="285" t="s">
        <v>1167</v>
      </c>
      <c r="R54" s="281" t="s">
        <v>203</v>
      </c>
      <c r="S54" s="285" t="s">
        <v>1169</v>
      </c>
      <c r="T54" s="285" t="s">
        <v>149</v>
      </c>
      <c r="U54" s="285" t="s">
        <v>1168</v>
      </c>
      <c r="V54" s="281" t="s">
        <v>203</v>
      </c>
      <c r="W54" s="285" t="s">
        <v>1169</v>
      </c>
    </row>
    <row r="55" spans="1:23" x14ac:dyDescent="0.25">
      <c r="A55" s="284" t="s">
        <v>1163</v>
      </c>
      <c r="B55" s="284"/>
      <c r="C55" s="279">
        <f>((D55*G55)+(K55*H55)+(O55*L55)+(S55*P55)+(W55*T55))</f>
        <v>0</v>
      </c>
      <c r="D55" s="282">
        <v>0</v>
      </c>
      <c r="E55" s="283" t="s">
        <v>926</v>
      </c>
      <c r="F55" s="59" t="str">
        <f t="shared" ref="F55" si="24">VLOOKUP(E55,LISTAITEMS,2,FALSE)</f>
        <v>ninguno</v>
      </c>
      <c r="G55" s="280">
        <f>VLOOKUP(E55,LISTAITEMS,5,FALSE)</f>
        <v>0</v>
      </c>
      <c r="H55" s="282">
        <v>0</v>
      </c>
      <c r="I55" s="283" t="s">
        <v>926</v>
      </c>
      <c r="J55" s="59" t="str">
        <f t="shared" ref="J55" si="25">VLOOKUP(I55,LISTAITEMS,2,FALSE)</f>
        <v>ninguno</v>
      </c>
      <c r="K55" s="280">
        <f>VLOOKUP(I55,LISTAITEMS,5,FALSE)</f>
        <v>0</v>
      </c>
      <c r="L55" s="282">
        <v>0</v>
      </c>
      <c r="M55" s="283" t="s">
        <v>926</v>
      </c>
      <c r="N55" s="59" t="str">
        <f t="shared" ref="N55" si="26">VLOOKUP(M55,LISTAITEMS,2,FALSE)</f>
        <v>ninguno</v>
      </c>
      <c r="O55" s="280">
        <f>VLOOKUP(M55,LISTAITEMS,5,FALSE)</f>
        <v>0</v>
      </c>
      <c r="P55" s="282">
        <v>0</v>
      </c>
      <c r="Q55" s="283" t="s">
        <v>926</v>
      </c>
      <c r="R55" s="59" t="str">
        <f t="shared" ref="R55" si="27">VLOOKUP(Q55,LISTAITEMS,2,FALSE)</f>
        <v>ninguno</v>
      </c>
      <c r="S55" s="280">
        <f>VLOOKUP(Q55,LISTAITEMS,5,FALSE)</f>
        <v>0</v>
      </c>
      <c r="T55" s="282">
        <v>0</v>
      </c>
      <c r="U55" s="283" t="s">
        <v>926</v>
      </c>
      <c r="V55" s="59" t="str">
        <f t="shared" ref="V55" si="28">VLOOKUP(U55,LISTAITEMS,2,FALSE)</f>
        <v>ninguno</v>
      </c>
      <c r="W55" s="280">
        <f>VLOOKUP(U55,LISTAITEMS,5,FALSE)</f>
        <v>0</v>
      </c>
    </row>
    <row r="56" spans="1:23" s="296" customFormat="1" x14ac:dyDescent="0.25">
      <c r="A56" s="362"/>
      <c r="B56" s="362"/>
      <c r="C56" s="279"/>
      <c r="D56" s="282"/>
      <c r="E56" s="363"/>
      <c r="F56" s="295"/>
      <c r="G56" s="280"/>
      <c r="H56" s="282"/>
      <c r="I56" s="363"/>
      <c r="J56" s="295"/>
      <c r="K56" s="280"/>
      <c r="L56" s="282"/>
      <c r="M56" s="363"/>
      <c r="N56" s="295"/>
      <c r="O56" s="280"/>
      <c r="P56" s="282"/>
      <c r="Q56" s="363"/>
      <c r="R56" s="295"/>
      <c r="S56" s="280"/>
      <c r="T56" s="282"/>
      <c r="U56" s="363"/>
      <c r="V56" s="295"/>
      <c r="W56" s="280"/>
    </row>
    <row r="57" spans="1:23" s="296" customFormat="1" x14ac:dyDescent="0.25">
      <c r="A57" s="362"/>
      <c r="B57" s="362"/>
      <c r="C57" s="279"/>
      <c r="D57" s="282"/>
      <c r="E57" s="363"/>
      <c r="F57" s="295"/>
      <c r="G57" s="280"/>
      <c r="H57" s="282"/>
      <c r="I57" s="363"/>
      <c r="J57" s="295"/>
      <c r="K57" s="280"/>
      <c r="L57" s="282"/>
      <c r="M57" s="363"/>
      <c r="N57" s="295"/>
      <c r="O57" s="280"/>
      <c r="P57" s="282"/>
      <c r="Q57" s="363"/>
      <c r="R57" s="295"/>
      <c r="S57" s="280"/>
      <c r="T57" s="282"/>
      <c r="U57" s="363"/>
      <c r="V57" s="295"/>
      <c r="W57" s="280"/>
    </row>
    <row r="59" spans="1:23" x14ac:dyDescent="0.25">
      <c r="A59" s="277"/>
      <c r="B59" s="277" t="s">
        <v>1117</v>
      </c>
      <c r="C59" s="277"/>
      <c r="D59" s="277"/>
      <c r="E59" s="277"/>
      <c r="F59" s="277"/>
      <c r="G59" s="277"/>
      <c r="H59" s="277"/>
      <c r="I59" s="277"/>
      <c r="J59" s="277"/>
      <c r="K59" s="277"/>
      <c r="L59" s="277"/>
      <c r="M59" s="277"/>
      <c r="N59" s="277"/>
      <c r="O59" s="277"/>
      <c r="P59" s="277"/>
      <c r="Q59" s="277"/>
      <c r="R59" s="277"/>
      <c r="S59" s="277"/>
      <c r="T59" s="277"/>
      <c r="U59" s="277"/>
      <c r="V59" s="277"/>
      <c r="W59" s="277"/>
    </row>
    <row r="60" spans="1:23" x14ac:dyDescent="0.25">
      <c r="A60" s="277"/>
      <c r="B60" s="277"/>
      <c r="C60" s="277"/>
      <c r="D60" s="277"/>
      <c r="E60" s="277"/>
      <c r="F60" s="277"/>
      <c r="G60" s="277"/>
      <c r="H60" s="277"/>
      <c r="I60" s="277"/>
      <c r="J60" s="277"/>
      <c r="K60" s="277"/>
      <c r="L60" s="277"/>
      <c r="M60" s="277"/>
      <c r="N60" s="277"/>
      <c r="O60" s="277"/>
      <c r="P60" s="277"/>
      <c r="Q60" s="277"/>
      <c r="R60" s="277"/>
      <c r="S60" s="277"/>
      <c r="T60" s="277"/>
      <c r="U60" s="277"/>
      <c r="V60" s="277"/>
      <c r="W60" s="277"/>
    </row>
    <row r="61" spans="1:23" x14ac:dyDescent="0.25">
      <c r="A61" s="284" t="s">
        <v>1221</v>
      </c>
      <c r="B61" s="284"/>
      <c r="C61" s="279">
        <f>((D61*G61)+(K61*H61)+(O61*L61)+(S61*P61)+(W61*T61))</f>
        <v>467.2</v>
      </c>
      <c r="D61" s="282">
        <v>64</v>
      </c>
      <c r="E61" s="283" t="s">
        <v>312</v>
      </c>
      <c r="F61" s="59" t="str">
        <f t="shared" ref="F61" si="29">VLOOKUP(E61,LISTAITEMS,2,FALSE)</f>
        <v>Cobblestone Slab</v>
      </c>
      <c r="G61" s="280">
        <f>VLOOKUP(E61,LISTAITEMS,5,FALSE)</f>
        <v>1.7999999999999998</v>
      </c>
      <c r="H61" s="282">
        <v>32</v>
      </c>
      <c r="I61" s="283" t="s">
        <v>244</v>
      </c>
      <c r="J61" s="59" t="str">
        <f t="shared" ref="J61" si="30">VLOOKUP(I61,LISTAITEMS,2,FALSE)</f>
        <v>Spruce Log</v>
      </c>
      <c r="K61" s="280">
        <f>VLOOKUP(I61,LISTAITEMS,5,FALSE)</f>
        <v>11</v>
      </c>
      <c r="L61" s="282">
        <v>0</v>
      </c>
      <c r="M61" s="283" t="s">
        <v>926</v>
      </c>
      <c r="N61" s="59" t="str">
        <f t="shared" ref="N61" si="31">VLOOKUP(M61,LISTAITEMS,2,FALSE)</f>
        <v>ninguno</v>
      </c>
      <c r="O61" s="280">
        <f>VLOOKUP(M61,LISTAITEMS,5,FALSE)</f>
        <v>0</v>
      </c>
      <c r="P61" s="282">
        <v>0</v>
      </c>
      <c r="Q61" s="283" t="s">
        <v>926</v>
      </c>
      <c r="R61" s="59" t="str">
        <f t="shared" ref="R61" si="32">VLOOKUP(Q61,LISTAITEMS,2,FALSE)</f>
        <v>ninguno</v>
      </c>
      <c r="S61" s="280">
        <f>VLOOKUP(Q61,LISTAITEMS,5,FALSE)</f>
        <v>0</v>
      </c>
      <c r="T61" s="282">
        <v>0</v>
      </c>
      <c r="U61" s="283" t="s">
        <v>926</v>
      </c>
      <c r="V61" s="59" t="str">
        <f t="shared" ref="V61" si="33">VLOOKUP(U61,LISTAITEMS,2,FALSE)</f>
        <v>ninguno</v>
      </c>
      <c r="W61" s="280">
        <f>VLOOKUP(U61,LISTAITEMS,5,FALSE)</f>
        <v>0</v>
      </c>
    </row>
    <row r="62" spans="1:23" x14ac:dyDescent="0.25">
      <c r="A62" s="277"/>
      <c r="B62" s="277" t="s">
        <v>1118</v>
      </c>
      <c r="C62" s="277"/>
      <c r="D62" s="277"/>
      <c r="E62" s="277"/>
      <c r="F62" s="277"/>
      <c r="G62" s="277"/>
      <c r="H62" s="277"/>
      <c r="I62" s="277"/>
      <c r="J62" s="277"/>
      <c r="K62" s="277"/>
      <c r="L62" s="277"/>
      <c r="M62" s="277"/>
      <c r="N62" s="277"/>
      <c r="O62" s="277"/>
      <c r="P62" s="277"/>
      <c r="Q62" s="277"/>
      <c r="R62" s="277"/>
      <c r="S62" s="277"/>
      <c r="T62" s="277"/>
      <c r="U62" s="277"/>
      <c r="V62" s="277"/>
      <c r="W62" s="277"/>
    </row>
    <row r="63" spans="1:23" x14ac:dyDescent="0.25">
      <c r="A63" s="277"/>
      <c r="B63" s="277"/>
      <c r="C63" s="277"/>
      <c r="D63" s="277"/>
      <c r="E63" s="277"/>
      <c r="F63" s="277"/>
      <c r="G63" s="277"/>
      <c r="H63" s="277"/>
      <c r="I63" s="277"/>
      <c r="J63" s="277"/>
      <c r="K63" s="277"/>
      <c r="L63" s="277"/>
      <c r="M63" s="277"/>
      <c r="N63" s="277"/>
      <c r="O63" s="277"/>
      <c r="P63" s="277"/>
      <c r="Q63" s="277"/>
      <c r="R63" s="277"/>
      <c r="S63" s="277"/>
      <c r="T63" s="277"/>
      <c r="U63" s="277"/>
      <c r="V63" s="277"/>
      <c r="W63" s="277"/>
    </row>
    <row r="64" spans="1:23" x14ac:dyDescent="0.25">
      <c r="A64" s="286"/>
      <c r="B64" s="286" t="s">
        <v>1010</v>
      </c>
      <c r="C64" s="286"/>
      <c r="D64" s="286"/>
      <c r="E64" s="286"/>
      <c r="F64" s="286"/>
      <c r="G64" s="286"/>
      <c r="H64" s="286"/>
      <c r="I64" s="286"/>
      <c r="J64" s="286"/>
      <c r="K64" s="286"/>
      <c r="L64" s="286"/>
      <c r="M64" s="286"/>
      <c r="N64" s="286"/>
      <c r="O64" s="286"/>
      <c r="P64" s="286"/>
      <c r="Q64" s="286"/>
      <c r="R64" s="286"/>
      <c r="S64" s="286"/>
      <c r="T64" s="286"/>
      <c r="U64" s="286"/>
      <c r="V64" s="286"/>
      <c r="W64" s="286"/>
    </row>
    <row r="65" spans="1:23" x14ac:dyDescent="0.25">
      <c r="A65" s="278"/>
      <c r="B65" s="278" t="s">
        <v>203</v>
      </c>
      <c r="C65" s="281" t="s">
        <v>202</v>
      </c>
      <c r="D65" s="285" t="s">
        <v>149</v>
      </c>
      <c r="E65" s="285" t="s">
        <v>1164</v>
      </c>
      <c r="F65" s="281" t="s">
        <v>203</v>
      </c>
      <c r="G65" s="285" t="s">
        <v>1169</v>
      </c>
      <c r="H65" s="285" t="s">
        <v>149</v>
      </c>
      <c r="I65" s="285" t="s">
        <v>1165</v>
      </c>
      <c r="J65" s="281" t="s">
        <v>203</v>
      </c>
      <c r="K65" s="285" t="s">
        <v>1169</v>
      </c>
      <c r="L65" s="285" t="s">
        <v>149</v>
      </c>
      <c r="M65" s="285" t="s">
        <v>1166</v>
      </c>
      <c r="N65" s="281" t="s">
        <v>203</v>
      </c>
      <c r="O65" s="285" t="s">
        <v>1169</v>
      </c>
      <c r="P65" s="285" t="s">
        <v>149</v>
      </c>
      <c r="Q65" s="285" t="s">
        <v>1167</v>
      </c>
      <c r="R65" s="281" t="s">
        <v>203</v>
      </c>
      <c r="S65" s="285" t="s">
        <v>1169</v>
      </c>
      <c r="T65" s="285" t="s">
        <v>149</v>
      </c>
      <c r="U65" s="285" t="s">
        <v>1168</v>
      </c>
      <c r="V65" s="281" t="s">
        <v>203</v>
      </c>
      <c r="W65" s="285" t="s">
        <v>1169</v>
      </c>
    </row>
    <row r="66" spans="1:23" x14ac:dyDescent="0.25">
      <c r="A66" s="284" t="s">
        <v>1163</v>
      </c>
      <c r="B66" s="284"/>
      <c r="C66" s="279">
        <f>((D66*G66)+(K66*H66)+(O66*L66)+(S66*P66)+(W66*T66))</f>
        <v>0</v>
      </c>
      <c r="D66" s="282">
        <v>0</v>
      </c>
      <c r="E66" s="283" t="s">
        <v>926</v>
      </c>
      <c r="F66" s="59" t="str">
        <f t="shared" ref="F66" si="34">VLOOKUP(E66,LISTAITEMS,2,FALSE)</f>
        <v>ninguno</v>
      </c>
      <c r="G66" s="280">
        <f>VLOOKUP(E66,LISTAITEMS,5,FALSE)</f>
        <v>0</v>
      </c>
      <c r="H66" s="282">
        <v>0</v>
      </c>
      <c r="I66" s="283" t="s">
        <v>926</v>
      </c>
      <c r="J66" s="59" t="str">
        <f t="shared" ref="J66" si="35">VLOOKUP(I66,LISTAITEMS,2,FALSE)</f>
        <v>ninguno</v>
      </c>
      <c r="K66" s="280">
        <f>VLOOKUP(I66,LISTAITEMS,5,FALSE)</f>
        <v>0</v>
      </c>
      <c r="L66" s="282">
        <v>0</v>
      </c>
      <c r="M66" s="283" t="s">
        <v>926</v>
      </c>
      <c r="N66" s="59" t="str">
        <f t="shared" ref="N66" si="36">VLOOKUP(M66,LISTAITEMS,2,FALSE)</f>
        <v>ninguno</v>
      </c>
      <c r="O66" s="280">
        <f>VLOOKUP(M66,LISTAITEMS,5,FALSE)</f>
        <v>0</v>
      </c>
      <c r="P66" s="282">
        <v>0</v>
      </c>
      <c r="Q66" s="283" t="s">
        <v>926</v>
      </c>
      <c r="R66" s="59" t="str">
        <f t="shared" ref="R66" si="37">VLOOKUP(Q66,LISTAITEMS,2,FALSE)</f>
        <v>ninguno</v>
      </c>
      <c r="S66" s="280">
        <f>VLOOKUP(Q66,LISTAITEMS,5,FALSE)</f>
        <v>0</v>
      </c>
      <c r="T66" s="282">
        <v>0</v>
      </c>
      <c r="U66" s="283" t="s">
        <v>926</v>
      </c>
      <c r="V66" s="59" t="str">
        <f t="shared" ref="V66" si="38">VLOOKUP(U66,LISTAITEMS,2,FALSE)</f>
        <v>ninguno</v>
      </c>
      <c r="W66" s="280">
        <f>VLOOKUP(U66,LISTAITEMS,5,FALSE)</f>
        <v>0</v>
      </c>
    </row>
    <row r="76" spans="1:23" x14ac:dyDescent="0.25">
      <c r="A76" s="277" t="s">
        <v>1119</v>
      </c>
      <c r="B76" s="277"/>
      <c r="C76" s="277"/>
      <c r="D76" s="277"/>
      <c r="E76" s="277"/>
      <c r="F76" s="277"/>
      <c r="G76" s="277"/>
      <c r="H76" s="277"/>
      <c r="I76" s="277"/>
      <c r="J76" s="277"/>
      <c r="K76" s="277"/>
      <c r="L76" s="277"/>
      <c r="M76" s="277"/>
      <c r="N76" s="277"/>
      <c r="O76" s="277"/>
      <c r="P76" s="277"/>
      <c r="Q76" s="277"/>
      <c r="R76" s="277"/>
      <c r="S76" s="277"/>
      <c r="T76" s="277"/>
      <c r="U76" s="277"/>
      <c r="V76" s="277"/>
      <c r="W76" s="277"/>
    </row>
    <row r="77" spans="1:23" x14ac:dyDescent="0.25">
      <c r="A77" s="277"/>
      <c r="B77" s="277"/>
      <c r="C77" s="277"/>
      <c r="D77" s="277"/>
      <c r="E77" s="277"/>
      <c r="F77" s="277"/>
      <c r="G77" s="277"/>
      <c r="H77" s="277"/>
      <c r="I77" s="277"/>
      <c r="J77" s="277"/>
      <c r="K77" s="277"/>
      <c r="L77" s="277"/>
      <c r="M77" s="277"/>
      <c r="N77" s="277"/>
      <c r="O77" s="277"/>
      <c r="P77" s="277"/>
      <c r="Q77" s="277"/>
      <c r="R77" s="277"/>
      <c r="S77" s="277"/>
      <c r="T77" s="277"/>
      <c r="U77" s="277"/>
      <c r="V77" s="277"/>
      <c r="W77" s="277"/>
    </row>
    <row r="78" spans="1:23" x14ac:dyDescent="0.25">
      <c r="A78" s="286"/>
      <c r="B78" s="286" t="s">
        <v>1010</v>
      </c>
      <c r="C78" s="286"/>
      <c r="D78" s="286"/>
      <c r="E78" s="286"/>
      <c r="F78" s="286"/>
      <c r="G78" s="286"/>
      <c r="H78" s="286"/>
      <c r="I78" s="286"/>
      <c r="J78" s="286"/>
      <c r="K78" s="286"/>
      <c r="L78" s="286"/>
      <c r="M78" s="286"/>
      <c r="N78" s="286"/>
      <c r="O78" s="286"/>
      <c r="P78" s="286"/>
      <c r="Q78" s="286"/>
      <c r="R78" s="286"/>
      <c r="S78" s="286"/>
      <c r="T78" s="286"/>
      <c r="U78" s="286"/>
      <c r="V78" s="286"/>
      <c r="W78" s="286"/>
    </row>
    <row r="79" spans="1:23" x14ac:dyDescent="0.25">
      <c r="A79" s="278"/>
      <c r="B79" s="278" t="s">
        <v>203</v>
      </c>
      <c r="C79" s="281" t="s">
        <v>202</v>
      </c>
      <c r="D79" s="285" t="s">
        <v>149</v>
      </c>
      <c r="E79" s="285" t="s">
        <v>1164</v>
      </c>
      <c r="F79" s="281" t="s">
        <v>203</v>
      </c>
      <c r="G79" s="285" t="s">
        <v>1169</v>
      </c>
      <c r="H79" s="285" t="s">
        <v>149</v>
      </c>
      <c r="I79" s="285" t="s">
        <v>1165</v>
      </c>
      <c r="J79" s="281" t="s">
        <v>203</v>
      </c>
      <c r="K79" s="285" t="s">
        <v>1169</v>
      </c>
      <c r="L79" s="285" t="s">
        <v>149</v>
      </c>
      <c r="M79" s="285" t="s">
        <v>1166</v>
      </c>
      <c r="N79" s="281" t="s">
        <v>203</v>
      </c>
      <c r="O79" s="285" t="s">
        <v>1169</v>
      </c>
      <c r="P79" s="285" t="s">
        <v>149</v>
      </c>
      <c r="Q79" s="285" t="s">
        <v>1167</v>
      </c>
      <c r="R79" s="281" t="s">
        <v>203</v>
      </c>
      <c r="S79" s="285" t="s">
        <v>1169</v>
      </c>
      <c r="T79" s="285" t="s">
        <v>149</v>
      </c>
      <c r="U79" s="285" t="s">
        <v>1168</v>
      </c>
      <c r="V79" s="281" t="s">
        <v>203</v>
      </c>
      <c r="W79" s="285" t="s">
        <v>1169</v>
      </c>
    </row>
    <row r="80" spans="1:23" x14ac:dyDescent="0.25">
      <c r="A80" s="284" t="s">
        <v>1163</v>
      </c>
      <c r="B80" s="284"/>
      <c r="C80" s="279">
        <f>((D80*G80)+(K80*H80)+(O80*L80)+(S80*P80)+(W80*T80))</f>
        <v>0</v>
      </c>
      <c r="D80" s="282">
        <v>0</v>
      </c>
      <c r="E80" s="283" t="s">
        <v>926</v>
      </c>
      <c r="F80" s="59" t="str">
        <f t="shared" ref="F80" si="39">VLOOKUP(E80,LISTAITEMS,2,FALSE)</f>
        <v>ninguno</v>
      </c>
      <c r="G80" s="280">
        <f>VLOOKUP(E80,LISTAITEMS,5,FALSE)</f>
        <v>0</v>
      </c>
      <c r="H80" s="282">
        <v>0</v>
      </c>
      <c r="I80" s="283" t="s">
        <v>926</v>
      </c>
      <c r="J80" s="59" t="str">
        <f t="shared" ref="J80" si="40">VLOOKUP(I80,LISTAITEMS,2,FALSE)</f>
        <v>ninguno</v>
      </c>
      <c r="K80" s="280">
        <f>VLOOKUP(I80,LISTAITEMS,5,FALSE)</f>
        <v>0</v>
      </c>
      <c r="L80" s="282">
        <v>0</v>
      </c>
      <c r="M80" s="283" t="s">
        <v>926</v>
      </c>
      <c r="N80" s="59" t="str">
        <f t="shared" ref="N80" si="41">VLOOKUP(M80,LISTAITEMS,2,FALSE)</f>
        <v>ninguno</v>
      </c>
      <c r="O80" s="280">
        <f>VLOOKUP(M80,LISTAITEMS,5,FALSE)</f>
        <v>0</v>
      </c>
      <c r="P80" s="282">
        <v>0</v>
      </c>
      <c r="Q80" s="283" t="s">
        <v>926</v>
      </c>
      <c r="R80" s="59" t="str">
        <f t="shared" ref="R80" si="42">VLOOKUP(Q80,LISTAITEMS,2,FALSE)</f>
        <v>ninguno</v>
      </c>
      <c r="S80" s="280">
        <f>VLOOKUP(Q80,LISTAITEMS,5,FALSE)</f>
        <v>0</v>
      </c>
      <c r="T80" s="282">
        <v>0</v>
      </c>
      <c r="U80" s="283" t="s">
        <v>926</v>
      </c>
      <c r="V80" s="59" t="str">
        <f t="shared" ref="V80" si="43">VLOOKUP(U80,LISTAITEMS,2,FALSE)</f>
        <v>ninguno</v>
      </c>
      <c r="W80" s="280">
        <f>VLOOKUP(U80,LISTAITEMS,5,FALSE)</f>
        <v>0</v>
      </c>
    </row>
    <row r="88" spans="1:23" x14ac:dyDescent="0.25">
      <c r="A88" s="277" t="s">
        <v>1120</v>
      </c>
      <c r="B88" s="277"/>
      <c r="C88" s="277"/>
      <c r="D88" s="277"/>
      <c r="E88" s="277"/>
      <c r="F88" s="277"/>
      <c r="G88" s="277"/>
      <c r="H88" s="277"/>
      <c r="I88" s="277"/>
      <c r="J88" s="277"/>
      <c r="K88" s="277"/>
      <c r="L88" s="277"/>
      <c r="M88" s="277"/>
      <c r="N88" s="277"/>
      <c r="O88" s="277"/>
      <c r="P88" s="277"/>
      <c r="Q88" s="277"/>
      <c r="R88" s="277"/>
      <c r="S88" s="277"/>
      <c r="T88" s="277"/>
      <c r="U88" s="277"/>
      <c r="V88" s="277"/>
      <c r="W88" s="277"/>
    </row>
    <row r="89" spans="1:23" x14ac:dyDescent="0.25">
      <c r="A89" s="277"/>
      <c r="B89" s="277"/>
      <c r="C89" s="277"/>
      <c r="D89" s="277"/>
      <c r="E89" s="277"/>
      <c r="F89" s="277"/>
      <c r="G89" s="277"/>
      <c r="H89" s="277"/>
      <c r="I89" s="277"/>
      <c r="J89" s="277"/>
      <c r="K89" s="277"/>
      <c r="L89" s="277"/>
      <c r="M89" s="277"/>
      <c r="N89" s="277"/>
      <c r="O89" s="277"/>
      <c r="P89" s="277"/>
      <c r="Q89" s="277"/>
      <c r="R89" s="277"/>
      <c r="S89" s="277"/>
      <c r="T89" s="277"/>
      <c r="U89" s="277"/>
      <c r="V89" s="277"/>
      <c r="W89" s="277"/>
    </row>
    <row r="90" spans="1:23" x14ac:dyDescent="0.25">
      <c r="A90" s="286"/>
      <c r="B90" s="286" t="s">
        <v>1010</v>
      </c>
      <c r="C90" s="286"/>
      <c r="D90" s="286"/>
      <c r="E90" s="286"/>
      <c r="F90" s="286"/>
      <c r="G90" s="286"/>
      <c r="H90" s="286"/>
      <c r="I90" s="286"/>
      <c r="J90" s="286"/>
      <c r="K90" s="286"/>
      <c r="L90" s="286"/>
      <c r="M90" s="286"/>
      <c r="N90" s="286"/>
      <c r="O90" s="286"/>
      <c r="P90" s="286"/>
      <c r="Q90" s="286"/>
      <c r="R90" s="286"/>
      <c r="S90" s="286"/>
      <c r="T90" s="286"/>
      <c r="U90" s="286"/>
      <c r="V90" s="286"/>
      <c r="W90" s="286"/>
    </row>
    <row r="91" spans="1:23" x14ac:dyDescent="0.25">
      <c r="A91" s="278"/>
      <c r="B91" s="278" t="s">
        <v>203</v>
      </c>
      <c r="C91" s="281" t="s">
        <v>202</v>
      </c>
      <c r="D91" s="285" t="s">
        <v>149</v>
      </c>
      <c r="E91" s="285" t="s">
        <v>1164</v>
      </c>
      <c r="F91" s="281" t="s">
        <v>203</v>
      </c>
      <c r="G91" s="285" t="s">
        <v>1169</v>
      </c>
      <c r="H91" s="285" t="s">
        <v>149</v>
      </c>
      <c r="I91" s="285" t="s">
        <v>1165</v>
      </c>
      <c r="J91" s="281" t="s">
        <v>203</v>
      </c>
      <c r="K91" s="285" t="s">
        <v>1169</v>
      </c>
      <c r="L91" s="285" t="s">
        <v>149</v>
      </c>
      <c r="M91" s="285" t="s">
        <v>1166</v>
      </c>
      <c r="N91" s="281" t="s">
        <v>203</v>
      </c>
      <c r="O91" s="285" t="s">
        <v>1169</v>
      </c>
      <c r="P91" s="285" t="s">
        <v>149</v>
      </c>
      <c r="Q91" s="285" t="s">
        <v>1167</v>
      </c>
      <c r="R91" s="281" t="s">
        <v>203</v>
      </c>
      <c r="S91" s="285" t="s">
        <v>1169</v>
      </c>
      <c r="T91" s="285" t="s">
        <v>149</v>
      </c>
      <c r="U91" s="285" t="s">
        <v>1168</v>
      </c>
      <c r="V91" s="281" t="s">
        <v>203</v>
      </c>
      <c r="W91" s="285" t="s">
        <v>1169</v>
      </c>
    </row>
    <row r="92" spans="1:23" x14ac:dyDescent="0.25">
      <c r="A92" s="284" t="s">
        <v>1163</v>
      </c>
      <c r="B92" s="284"/>
      <c r="C92" s="279">
        <f>((D92*G92)+(K92*H92)+(O92*L92)+(S92*P92)+(W92*T92))</f>
        <v>0</v>
      </c>
      <c r="D92" s="282">
        <v>0</v>
      </c>
      <c r="E92" s="283" t="s">
        <v>926</v>
      </c>
      <c r="F92" s="59" t="str">
        <f t="shared" ref="F92" si="44">VLOOKUP(E92,LISTAITEMS,2,FALSE)</f>
        <v>ninguno</v>
      </c>
      <c r="G92" s="280">
        <f>VLOOKUP(E92,LISTAITEMS,5,FALSE)</f>
        <v>0</v>
      </c>
      <c r="H92" s="282">
        <v>0</v>
      </c>
      <c r="I92" s="283" t="s">
        <v>926</v>
      </c>
      <c r="J92" s="59" t="str">
        <f t="shared" ref="J92" si="45">VLOOKUP(I92,LISTAITEMS,2,FALSE)</f>
        <v>ninguno</v>
      </c>
      <c r="K92" s="280">
        <f>VLOOKUP(I92,LISTAITEMS,5,FALSE)</f>
        <v>0</v>
      </c>
      <c r="L92" s="282">
        <v>0</v>
      </c>
      <c r="M92" s="283" t="s">
        <v>926</v>
      </c>
      <c r="N92" s="59" t="str">
        <f t="shared" ref="N92" si="46">VLOOKUP(M92,LISTAITEMS,2,FALSE)</f>
        <v>ninguno</v>
      </c>
      <c r="O92" s="280">
        <f>VLOOKUP(M92,LISTAITEMS,5,FALSE)</f>
        <v>0</v>
      </c>
      <c r="P92" s="282">
        <v>0</v>
      </c>
      <c r="Q92" s="283" t="s">
        <v>926</v>
      </c>
      <c r="R92" s="59" t="str">
        <f t="shared" ref="R92" si="47">VLOOKUP(Q92,LISTAITEMS,2,FALSE)</f>
        <v>ninguno</v>
      </c>
      <c r="S92" s="280">
        <f>VLOOKUP(Q92,LISTAITEMS,5,FALSE)</f>
        <v>0</v>
      </c>
      <c r="T92" s="282">
        <v>0</v>
      </c>
      <c r="U92" s="283" t="s">
        <v>926</v>
      </c>
      <c r="V92" s="59" t="str">
        <f t="shared" ref="V92" si="48">VLOOKUP(U92,LISTAITEMS,2,FALSE)</f>
        <v>ninguno</v>
      </c>
      <c r="W92" s="280">
        <f>VLOOKUP(U92,LISTAITEMS,5,FALSE)</f>
        <v>0</v>
      </c>
    </row>
    <row r="101" spans="1:23" x14ac:dyDescent="0.25">
      <c r="A101" s="277" t="s">
        <v>1121</v>
      </c>
      <c r="B101" s="277"/>
      <c r="C101" s="277"/>
      <c r="D101" s="277"/>
      <c r="E101" s="277"/>
      <c r="F101" s="277"/>
      <c r="G101" s="277"/>
      <c r="H101" s="277"/>
      <c r="I101" s="277"/>
      <c r="J101" s="277"/>
      <c r="K101" s="277"/>
      <c r="L101" s="277"/>
      <c r="M101" s="277"/>
      <c r="N101" s="277"/>
      <c r="O101" s="277"/>
      <c r="P101" s="277"/>
      <c r="Q101" s="277"/>
      <c r="R101" s="277"/>
      <c r="S101" s="277"/>
      <c r="T101" s="277"/>
      <c r="U101" s="277"/>
      <c r="V101" s="277"/>
      <c r="W101" s="277"/>
    </row>
    <row r="102" spans="1:23" x14ac:dyDescent="0.25">
      <c r="A102" s="277"/>
      <c r="B102" s="277"/>
      <c r="C102" s="277"/>
      <c r="D102" s="277"/>
      <c r="E102" s="277"/>
      <c r="F102" s="277"/>
      <c r="G102" s="277"/>
      <c r="H102" s="277"/>
      <c r="I102" s="277"/>
      <c r="J102" s="277"/>
      <c r="K102" s="277"/>
      <c r="L102" s="277"/>
      <c r="M102" s="277"/>
      <c r="N102" s="277"/>
      <c r="O102" s="277"/>
      <c r="P102" s="277"/>
      <c r="Q102" s="277"/>
      <c r="R102" s="277"/>
      <c r="S102" s="277"/>
      <c r="T102" s="277"/>
      <c r="U102" s="277"/>
      <c r="V102" s="277"/>
      <c r="W102" s="277"/>
    </row>
    <row r="103" spans="1:23" x14ac:dyDescent="0.25">
      <c r="A103" s="286"/>
      <c r="B103" s="286" t="s">
        <v>1010</v>
      </c>
      <c r="C103" s="286"/>
      <c r="D103" s="286"/>
      <c r="E103" s="286"/>
      <c r="F103" s="286"/>
      <c r="G103" s="286"/>
      <c r="H103" s="286"/>
      <c r="I103" s="286"/>
      <c r="J103" s="286"/>
      <c r="K103" s="286"/>
      <c r="L103" s="286"/>
      <c r="M103" s="286"/>
      <c r="N103" s="286"/>
      <c r="O103" s="286"/>
      <c r="P103" s="286"/>
      <c r="Q103" s="286"/>
      <c r="R103" s="286"/>
      <c r="S103" s="286"/>
      <c r="T103" s="286"/>
      <c r="U103" s="286"/>
      <c r="V103" s="286"/>
      <c r="W103" s="286"/>
    </row>
    <row r="104" spans="1:23" x14ac:dyDescent="0.25">
      <c r="A104" s="278"/>
      <c r="B104" s="278" t="s">
        <v>203</v>
      </c>
      <c r="C104" s="281" t="s">
        <v>202</v>
      </c>
      <c r="D104" s="285" t="s">
        <v>149</v>
      </c>
      <c r="E104" s="285" t="s">
        <v>1164</v>
      </c>
      <c r="F104" s="281" t="s">
        <v>203</v>
      </c>
      <c r="G104" s="285" t="s">
        <v>1169</v>
      </c>
      <c r="H104" s="285" t="s">
        <v>149</v>
      </c>
      <c r="I104" s="285" t="s">
        <v>1165</v>
      </c>
      <c r="J104" s="281" t="s">
        <v>203</v>
      </c>
      <c r="K104" s="285" t="s">
        <v>1169</v>
      </c>
      <c r="L104" s="285" t="s">
        <v>149</v>
      </c>
      <c r="M104" s="285" t="s">
        <v>1166</v>
      </c>
      <c r="N104" s="281" t="s">
        <v>203</v>
      </c>
      <c r="O104" s="285" t="s">
        <v>1169</v>
      </c>
      <c r="P104" s="285" t="s">
        <v>149</v>
      </c>
      <c r="Q104" s="285" t="s">
        <v>1167</v>
      </c>
      <c r="R104" s="281" t="s">
        <v>203</v>
      </c>
      <c r="S104" s="285" t="s">
        <v>1169</v>
      </c>
      <c r="T104" s="285" t="s">
        <v>149</v>
      </c>
      <c r="U104" s="285" t="s">
        <v>1168</v>
      </c>
      <c r="V104" s="281" t="s">
        <v>203</v>
      </c>
      <c r="W104" s="285" t="s">
        <v>1169</v>
      </c>
    </row>
    <row r="105" spans="1:23" x14ac:dyDescent="0.25">
      <c r="A105" s="284" t="s">
        <v>1163</v>
      </c>
      <c r="B105" s="284"/>
      <c r="C105" s="279">
        <f>((D105*G105)+(K105*H105)+(O105*L105)+(S105*P105)+(W105*T105))</f>
        <v>0</v>
      </c>
      <c r="D105" s="282">
        <v>0</v>
      </c>
      <c r="E105" s="283" t="s">
        <v>926</v>
      </c>
      <c r="F105" s="59" t="str">
        <f t="shared" ref="F105" si="49">VLOOKUP(E105,LISTAITEMS,2,FALSE)</f>
        <v>ninguno</v>
      </c>
      <c r="G105" s="280">
        <f>VLOOKUP(E105,LISTAITEMS,5,FALSE)</f>
        <v>0</v>
      </c>
      <c r="H105" s="282">
        <v>0</v>
      </c>
      <c r="I105" s="283" t="s">
        <v>926</v>
      </c>
      <c r="J105" s="59" t="str">
        <f t="shared" ref="J105" si="50">VLOOKUP(I105,LISTAITEMS,2,FALSE)</f>
        <v>ninguno</v>
      </c>
      <c r="K105" s="280">
        <f>VLOOKUP(I105,LISTAITEMS,5,FALSE)</f>
        <v>0</v>
      </c>
      <c r="L105" s="282">
        <v>0</v>
      </c>
      <c r="M105" s="283" t="s">
        <v>926</v>
      </c>
      <c r="N105" s="59" t="str">
        <f t="shared" ref="N105" si="51">VLOOKUP(M105,LISTAITEMS,2,FALSE)</f>
        <v>ninguno</v>
      </c>
      <c r="O105" s="280">
        <f>VLOOKUP(M105,LISTAITEMS,5,FALSE)</f>
        <v>0</v>
      </c>
      <c r="P105" s="282">
        <v>0</v>
      </c>
      <c r="Q105" s="283" t="s">
        <v>926</v>
      </c>
      <c r="R105" s="59" t="str">
        <f t="shared" ref="R105" si="52">VLOOKUP(Q105,LISTAITEMS,2,FALSE)</f>
        <v>ninguno</v>
      </c>
      <c r="S105" s="280">
        <f>VLOOKUP(Q105,LISTAITEMS,5,FALSE)</f>
        <v>0</v>
      </c>
      <c r="T105" s="282">
        <v>0</v>
      </c>
      <c r="U105" s="283" t="s">
        <v>926</v>
      </c>
      <c r="V105" s="59" t="str">
        <f t="shared" ref="V105" si="53">VLOOKUP(U105,LISTAITEMS,2,FALSE)</f>
        <v>ninguno</v>
      </c>
      <c r="W105" s="280">
        <f>VLOOKUP(U105,LISTAITEMS,5,FALSE)</f>
        <v>0</v>
      </c>
    </row>
    <row r="113" spans="1:23" x14ac:dyDescent="0.25">
      <c r="A113" s="277"/>
      <c r="B113" s="277" t="s">
        <v>1150</v>
      </c>
      <c r="C113" s="277"/>
      <c r="D113" s="277"/>
      <c r="E113" s="277"/>
      <c r="F113" s="277"/>
      <c r="G113" s="277"/>
      <c r="H113" s="277"/>
      <c r="I113" s="277"/>
      <c r="J113" s="277"/>
      <c r="K113" s="277"/>
      <c r="L113" s="277"/>
      <c r="M113" s="277"/>
      <c r="N113" s="277"/>
      <c r="O113" s="277"/>
      <c r="P113" s="277"/>
      <c r="Q113" s="277"/>
      <c r="R113" s="277"/>
      <c r="S113" s="277"/>
      <c r="T113" s="277"/>
      <c r="U113" s="277"/>
      <c r="V113" s="277"/>
      <c r="W113" s="277"/>
    </row>
    <row r="114" spans="1:23" x14ac:dyDescent="0.25">
      <c r="A114" s="277"/>
      <c r="B114" s="277"/>
      <c r="C114" s="277"/>
      <c r="D114" s="277"/>
      <c r="E114" s="277"/>
      <c r="F114" s="277"/>
      <c r="G114" s="277"/>
      <c r="H114" s="277"/>
      <c r="I114" s="277"/>
      <c r="J114" s="277"/>
      <c r="K114" s="277"/>
      <c r="L114" s="277"/>
      <c r="M114" s="277"/>
      <c r="N114" s="277"/>
      <c r="O114" s="277"/>
      <c r="P114" s="277"/>
      <c r="Q114" s="277"/>
      <c r="R114" s="277"/>
      <c r="S114" s="277"/>
      <c r="T114" s="277"/>
      <c r="U114" s="277"/>
      <c r="V114" s="277"/>
      <c r="W114" s="277"/>
    </row>
    <row r="115" spans="1:23" x14ac:dyDescent="0.25">
      <c r="A115" s="286"/>
      <c r="B115" s="286" t="s">
        <v>1010</v>
      </c>
      <c r="C115" s="286"/>
      <c r="D115" s="286"/>
      <c r="E115" s="286"/>
      <c r="F115" s="286"/>
      <c r="G115" s="286"/>
      <c r="H115" s="286"/>
      <c r="I115" s="286"/>
      <c r="J115" s="286"/>
      <c r="K115" s="286"/>
      <c r="L115" s="286"/>
      <c r="M115" s="286"/>
      <c r="N115" s="286"/>
      <c r="O115" s="286"/>
      <c r="P115" s="286"/>
      <c r="Q115" s="286"/>
      <c r="R115" s="286"/>
      <c r="S115" s="286"/>
      <c r="T115" s="286"/>
      <c r="U115" s="286"/>
      <c r="V115" s="286"/>
      <c r="W115" s="286"/>
    </row>
    <row r="116" spans="1:23" x14ac:dyDescent="0.25">
      <c r="A116" s="278"/>
      <c r="B116" s="278" t="s">
        <v>203</v>
      </c>
      <c r="C116" s="281" t="s">
        <v>202</v>
      </c>
      <c r="D116" s="285" t="s">
        <v>149</v>
      </c>
      <c r="E116" s="285" t="s">
        <v>1164</v>
      </c>
      <c r="F116" s="281" t="s">
        <v>203</v>
      </c>
      <c r="G116" s="285" t="s">
        <v>1169</v>
      </c>
      <c r="H116" s="285" t="s">
        <v>149</v>
      </c>
      <c r="I116" s="285" t="s">
        <v>1165</v>
      </c>
      <c r="J116" s="281" t="s">
        <v>203</v>
      </c>
      <c r="K116" s="285" t="s">
        <v>1169</v>
      </c>
      <c r="L116" s="285" t="s">
        <v>149</v>
      </c>
      <c r="M116" s="285" t="s">
        <v>1166</v>
      </c>
      <c r="N116" s="281" t="s">
        <v>203</v>
      </c>
      <c r="O116" s="285" t="s">
        <v>1169</v>
      </c>
      <c r="P116" s="285" t="s">
        <v>149</v>
      </c>
      <c r="Q116" s="285" t="s">
        <v>1167</v>
      </c>
      <c r="R116" s="281" t="s">
        <v>203</v>
      </c>
      <c r="S116" s="285" t="s">
        <v>1169</v>
      </c>
      <c r="T116" s="285" t="s">
        <v>149</v>
      </c>
      <c r="U116" s="285" t="s">
        <v>1168</v>
      </c>
      <c r="V116" s="281" t="s">
        <v>203</v>
      </c>
      <c r="W116" s="285" t="s">
        <v>1169</v>
      </c>
    </row>
    <row r="117" spans="1:23" x14ac:dyDescent="0.25">
      <c r="A117" s="284" t="s">
        <v>1175</v>
      </c>
      <c r="B117" s="284"/>
      <c r="C117" s="279">
        <f t="shared" ref="C117:C122" si="54">((D117*G117)+(K117*H117)+(O117*L117)+(S117*P117)+(W117*T117))</f>
        <v>344</v>
      </c>
      <c r="D117" s="282">
        <v>4</v>
      </c>
      <c r="E117" s="283">
        <v>365</v>
      </c>
      <c r="F117" s="59" t="str">
        <f t="shared" ref="F117" si="55">VLOOKUP(E117,LISTAITEMS,2,FALSE)</f>
        <v>Raw Chicken</v>
      </c>
      <c r="G117" s="280">
        <f t="shared" ref="G117:G122" si="56">VLOOKUP(E117,LISTAITEMS,5,FALSE)</f>
        <v>86</v>
      </c>
      <c r="H117" s="282">
        <v>0</v>
      </c>
      <c r="I117" s="283" t="s">
        <v>926</v>
      </c>
      <c r="J117" s="59" t="str">
        <f t="shared" ref="J117" si="57">VLOOKUP(I117,LISTAITEMS,2,FALSE)</f>
        <v>ninguno</v>
      </c>
      <c r="K117" s="280">
        <f t="shared" ref="K117:K122" si="58">VLOOKUP(I117,LISTAITEMS,5,FALSE)</f>
        <v>0</v>
      </c>
      <c r="L117" s="282">
        <v>0</v>
      </c>
      <c r="M117" s="283" t="s">
        <v>926</v>
      </c>
      <c r="N117" s="59" t="str">
        <f t="shared" ref="N117" si="59">VLOOKUP(M117,LISTAITEMS,2,FALSE)</f>
        <v>ninguno</v>
      </c>
      <c r="O117" s="280">
        <f t="shared" ref="O117:O122" si="60">VLOOKUP(M117,LISTAITEMS,5,FALSE)</f>
        <v>0</v>
      </c>
      <c r="P117" s="282">
        <v>0</v>
      </c>
      <c r="Q117" s="283" t="s">
        <v>926</v>
      </c>
      <c r="R117" s="59" t="str">
        <f t="shared" ref="R117" si="61">VLOOKUP(Q117,LISTAITEMS,2,FALSE)</f>
        <v>ninguno</v>
      </c>
      <c r="S117" s="280">
        <f t="shared" ref="S117:S122" si="62">VLOOKUP(Q117,LISTAITEMS,5,FALSE)</f>
        <v>0</v>
      </c>
      <c r="T117" s="282">
        <v>0</v>
      </c>
      <c r="U117" s="283" t="s">
        <v>926</v>
      </c>
      <c r="V117" s="59" t="str">
        <f t="shared" ref="V117" si="63">VLOOKUP(U117,LISTAITEMS,2,FALSE)</f>
        <v>ninguno</v>
      </c>
      <c r="W117" s="280">
        <f t="shared" ref="W117:W122" si="64">VLOOKUP(U117,LISTAITEMS,5,FALSE)</f>
        <v>0</v>
      </c>
    </row>
    <row r="118" spans="1:23" s="275" customFormat="1" x14ac:dyDescent="0.25">
      <c r="A118" s="284" t="s">
        <v>1176</v>
      </c>
      <c r="B118" s="284"/>
      <c r="C118" s="279">
        <f t="shared" si="54"/>
        <v>1028</v>
      </c>
      <c r="D118" s="282">
        <v>4</v>
      </c>
      <c r="E118" s="283">
        <v>349</v>
      </c>
      <c r="F118" s="59" t="str">
        <f t="shared" ref="F118" si="65">VLOOKUP(E118,LISTAITEMS,2,FALSE)</f>
        <v>Raw Fish</v>
      </c>
      <c r="G118" s="280">
        <f t="shared" si="56"/>
        <v>257</v>
      </c>
      <c r="H118" s="282">
        <v>0</v>
      </c>
      <c r="I118" s="283" t="s">
        <v>926</v>
      </c>
      <c r="J118" s="59" t="str">
        <f t="shared" ref="J118" si="66">VLOOKUP(I118,LISTAITEMS,2,FALSE)</f>
        <v>ninguno</v>
      </c>
      <c r="K118" s="280">
        <f t="shared" si="58"/>
        <v>0</v>
      </c>
      <c r="L118" s="282">
        <v>0</v>
      </c>
      <c r="M118" s="283" t="s">
        <v>926</v>
      </c>
      <c r="N118" s="59" t="str">
        <f t="shared" ref="N118" si="67">VLOOKUP(M118,LISTAITEMS,2,FALSE)</f>
        <v>ninguno</v>
      </c>
      <c r="O118" s="280">
        <f t="shared" si="60"/>
        <v>0</v>
      </c>
      <c r="P118" s="282">
        <v>0</v>
      </c>
      <c r="Q118" s="283" t="s">
        <v>926</v>
      </c>
      <c r="R118" s="59" t="str">
        <f t="shared" ref="R118" si="68">VLOOKUP(Q118,LISTAITEMS,2,FALSE)</f>
        <v>ninguno</v>
      </c>
      <c r="S118" s="280">
        <f t="shared" si="62"/>
        <v>0</v>
      </c>
      <c r="T118" s="282">
        <v>0</v>
      </c>
      <c r="U118" s="283" t="s">
        <v>926</v>
      </c>
      <c r="V118" s="59" t="str">
        <f t="shared" ref="V118" si="69">VLOOKUP(U118,LISTAITEMS,2,FALSE)</f>
        <v>ninguno</v>
      </c>
      <c r="W118" s="280">
        <f t="shared" si="64"/>
        <v>0</v>
      </c>
    </row>
    <row r="119" spans="1:23" s="275" customFormat="1" x14ac:dyDescent="0.25">
      <c r="A119" s="284" t="s">
        <v>1177</v>
      </c>
      <c r="B119" s="284"/>
      <c r="C119" s="279">
        <f t="shared" si="54"/>
        <v>1712</v>
      </c>
      <c r="D119" s="282">
        <v>4</v>
      </c>
      <c r="E119" s="283">
        <v>363</v>
      </c>
      <c r="F119" s="59" t="str">
        <f t="shared" ref="F119" si="70">VLOOKUP(E119,LISTAITEMS,2,FALSE)</f>
        <v>Raw Beef</v>
      </c>
      <c r="G119" s="280">
        <f t="shared" si="56"/>
        <v>428</v>
      </c>
      <c r="H119" s="282">
        <v>0</v>
      </c>
      <c r="I119" s="283" t="s">
        <v>926</v>
      </c>
      <c r="J119" s="59" t="str">
        <f t="shared" ref="J119" si="71">VLOOKUP(I119,LISTAITEMS,2,FALSE)</f>
        <v>ninguno</v>
      </c>
      <c r="K119" s="280">
        <f t="shared" si="58"/>
        <v>0</v>
      </c>
      <c r="L119" s="282">
        <v>0</v>
      </c>
      <c r="M119" s="283" t="s">
        <v>926</v>
      </c>
      <c r="N119" s="59" t="str">
        <f t="shared" ref="N119" si="72">VLOOKUP(M119,LISTAITEMS,2,FALSE)</f>
        <v>ninguno</v>
      </c>
      <c r="O119" s="280">
        <f t="shared" si="60"/>
        <v>0</v>
      </c>
      <c r="P119" s="282">
        <v>0</v>
      </c>
      <c r="Q119" s="283" t="s">
        <v>926</v>
      </c>
      <c r="R119" s="59" t="str">
        <f t="shared" ref="R119" si="73">VLOOKUP(Q119,LISTAITEMS,2,FALSE)</f>
        <v>ninguno</v>
      </c>
      <c r="S119" s="280">
        <f t="shared" si="62"/>
        <v>0</v>
      </c>
      <c r="T119" s="282">
        <v>0</v>
      </c>
      <c r="U119" s="283" t="s">
        <v>926</v>
      </c>
      <c r="V119" s="59" t="str">
        <f t="shared" ref="V119" si="74">VLOOKUP(U119,LISTAITEMS,2,FALSE)</f>
        <v>ninguno</v>
      </c>
      <c r="W119" s="280">
        <f t="shared" si="64"/>
        <v>0</v>
      </c>
    </row>
    <row r="120" spans="1:23" s="275" customFormat="1" x14ac:dyDescent="0.25">
      <c r="A120" s="284" t="s">
        <v>1178</v>
      </c>
      <c r="B120" s="284"/>
      <c r="C120" s="279">
        <f t="shared" si="54"/>
        <v>2396</v>
      </c>
      <c r="D120" s="282">
        <v>4</v>
      </c>
      <c r="E120" s="283">
        <v>319</v>
      </c>
      <c r="F120" s="59" t="str">
        <f t="shared" ref="F120" si="75">VLOOKUP(E120,LISTAITEMS,2,FALSE)</f>
        <v>Raw Porkchop</v>
      </c>
      <c r="G120" s="280">
        <f t="shared" si="56"/>
        <v>599</v>
      </c>
      <c r="H120" s="282">
        <v>0</v>
      </c>
      <c r="I120" s="283" t="s">
        <v>926</v>
      </c>
      <c r="J120" s="59" t="str">
        <f t="shared" ref="J120" si="76">VLOOKUP(I120,LISTAITEMS,2,FALSE)</f>
        <v>ninguno</v>
      </c>
      <c r="K120" s="280">
        <f t="shared" si="58"/>
        <v>0</v>
      </c>
      <c r="L120" s="282">
        <v>0</v>
      </c>
      <c r="M120" s="283" t="s">
        <v>926</v>
      </c>
      <c r="N120" s="59" t="str">
        <f t="shared" ref="N120" si="77">VLOOKUP(M120,LISTAITEMS,2,FALSE)</f>
        <v>ninguno</v>
      </c>
      <c r="O120" s="280">
        <f t="shared" si="60"/>
        <v>0</v>
      </c>
      <c r="P120" s="282">
        <v>0</v>
      </c>
      <c r="Q120" s="283" t="s">
        <v>926</v>
      </c>
      <c r="R120" s="59" t="str">
        <f t="shared" ref="R120" si="78">VLOOKUP(Q120,LISTAITEMS,2,FALSE)</f>
        <v>ninguno</v>
      </c>
      <c r="S120" s="280">
        <f t="shared" si="62"/>
        <v>0</v>
      </c>
      <c r="T120" s="282">
        <v>0</v>
      </c>
      <c r="U120" s="283" t="s">
        <v>926</v>
      </c>
      <c r="V120" s="59" t="str">
        <f t="shared" ref="V120" si="79">VLOOKUP(U120,LISTAITEMS,2,FALSE)</f>
        <v>ninguno</v>
      </c>
      <c r="W120" s="280">
        <f t="shared" si="64"/>
        <v>0</v>
      </c>
    </row>
    <row r="121" spans="1:23" s="275" customFormat="1" x14ac:dyDescent="0.25">
      <c r="A121" s="284" t="s">
        <v>1179</v>
      </c>
      <c r="B121" s="284"/>
      <c r="C121" s="279">
        <f t="shared" si="54"/>
        <v>1542</v>
      </c>
      <c r="D121" s="282">
        <v>4</v>
      </c>
      <c r="E121" s="283">
        <v>411</v>
      </c>
      <c r="F121" s="59" t="str">
        <f t="shared" ref="F121" si="80">VLOOKUP(E121,LISTAITEMS,2,FALSE)</f>
        <v>Raw Rabbit</v>
      </c>
      <c r="G121" s="280">
        <f t="shared" si="56"/>
        <v>385.5</v>
      </c>
      <c r="H121" s="282">
        <v>0</v>
      </c>
      <c r="I121" s="283" t="s">
        <v>926</v>
      </c>
      <c r="J121" s="59" t="str">
        <f t="shared" ref="J121" si="81">VLOOKUP(I121,LISTAITEMS,2,FALSE)</f>
        <v>ninguno</v>
      </c>
      <c r="K121" s="280">
        <f t="shared" si="58"/>
        <v>0</v>
      </c>
      <c r="L121" s="282">
        <v>0</v>
      </c>
      <c r="M121" s="283" t="s">
        <v>926</v>
      </c>
      <c r="N121" s="59" t="str">
        <f t="shared" ref="N121" si="82">VLOOKUP(M121,LISTAITEMS,2,FALSE)</f>
        <v>ninguno</v>
      </c>
      <c r="O121" s="280">
        <f t="shared" si="60"/>
        <v>0</v>
      </c>
      <c r="P121" s="282">
        <v>0</v>
      </c>
      <c r="Q121" s="283" t="s">
        <v>926</v>
      </c>
      <c r="R121" s="59" t="str">
        <f t="shared" ref="R121" si="83">VLOOKUP(Q121,LISTAITEMS,2,FALSE)</f>
        <v>ninguno</v>
      </c>
      <c r="S121" s="280">
        <f t="shared" si="62"/>
        <v>0</v>
      </c>
      <c r="T121" s="282">
        <v>0</v>
      </c>
      <c r="U121" s="283" t="s">
        <v>926</v>
      </c>
      <c r="V121" s="59" t="str">
        <f t="shared" ref="V121" si="84">VLOOKUP(U121,LISTAITEMS,2,FALSE)</f>
        <v>ninguno</v>
      </c>
      <c r="W121" s="280">
        <f t="shared" si="64"/>
        <v>0</v>
      </c>
    </row>
    <row r="122" spans="1:23" s="275" customFormat="1" x14ac:dyDescent="0.25">
      <c r="A122" s="284" t="s">
        <v>1180</v>
      </c>
      <c r="B122" s="284"/>
      <c r="C122" s="279">
        <f t="shared" si="54"/>
        <v>1884</v>
      </c>
      <c r="D122" s="282">
        <v>4</v>
      </c>
      <c r="E122" s="283">
        <v>423</v>
      </c>
      <c r="F122" s="59" t="str">
        <f t="shared" ref="F122" si="85">VLOOKUP(E122,LISTAITEMS,2,FALSE)</f>
        <v>Raw Mutton</v>
      </c>
      <c r="G122" s="280">
        <f t="shared" si="56"/>
        <v>471</v>
      </c>
      <c r="H122" s="282">
        <v>0</v>
      </c>
      <c r="I122" s="283" t="s">
        <v>926</v>
      </c>
      <c r="J122" s="59" t="str">
        <f t="shared" ref="J122" si="86">VLOOKUP(I122,LISTAITEMS,2,FALSE)</f>
        <v>ninguno</v>
      </c>
      <c r="K122" s="280">
        <f t="shared" si="58"/>
        <v>0</v>
      </c>
      <c r="L122" s="282">
        <v>0</v>
      </c>
      <c r="M122" s="283" t="s">
        <v>926</v>
      </c>
      <c r="N122" s="59" t="str">
        <f t="shared" ref="N122" si="87">VLOOKUP(M122,LISTAITEMS,2,FALSE)</f>
        <v>ninguno</v>
      </c>
      <c r="O122" s="280">
        <f t="shared" si="60"/>
        <v>0</v>
      </c>
      <c r="P122" s="282">
        <v>0</v>
      </c>
      <c r="Q122" s="283" t="s">
        <v>926</v>
      </c>
      <c r="R122" s="59" t="str">
        <f t="shared" ref="R122" si="88">VLOOKUP(Q122,LISTAITEMS,2,FALSE)</f>
        <v>ninguno</v>
      </c>
      <c r="S122" s="280">
        <f t="shared" si="62"/>
        <v>0</v>
      </c>
      <c r="T122" s="282">
        <v>0</v>
      </c>
      <c r="U122" s="283" t="s">
        <v>926</v>
      </c>
      <c r="V122" s="59" t="str">
        <f t="shared" ref="V122" si="89">VLOOKUP(U122,LISTAITEMS,2,FALSE)</f>
        <v>ninguno</v>
      </c>
      <c r="W122" s="280">
        <f t="shared" si="64"/>
        <v>0</v>
      </c>
    </row>
    <row r="123" spans="1:23" x14ac:dyDescent="0.25">
      <c r="A123" s="277"/>
      <c r="B123" s="277" t="s">
        <v>1124</v>
      </c>
      <c r="C123" s="277"/>
      <c r="D123" s="277"/>
      <c r="E123" s="277"/>
      <c r="F123" s="277"/>
      <c r="G123" s="277"/>
      <c r="H123" s="277"/>
      <c r="I123" s="277"/>
      <c r="J123" s="277"/>
      <c r="K123" s="277"/>
      <c r="L123" s="277"/>
      <c r="M123" s="277"/>
      <c r="N123" s="277"/>
      <c r="O123" s="277"/>
      <c r="P123" s="277"/>
      <c r="Q123" s="277"/>
      <c r="R123" s="277"/>
      <c r="S123" s="277"/>
      <c r="T123" s="277"/>
      <c r="U123" s="277"/>
      <c r="V123" s="277"/>
      <c r="W123" s="277"/>
    </row>
    <row r="124" spans="1:23" x14ac:dyDescent="0.25">
      <c r="A124" s="277"/>
      <c r="B124" s="277"/>
      <c r="C124" s="277"/>
      <c r="D124" s="277"/>
      <c r="E124" s="277"/>
      <c r="F124" s="277"/>
      <c r="G124" s="277"/>
      <c r="H124" s="277"/>
      <c r="I124" s="277"/>
      <c r="J124" s="277"/>
      <c r="K124" s="277"/>
      <c r="L124" s="277"/>
      <c r="M124" s="277"/>
      <c r="N124" s="277"/>
      <c r="O124" s="277"/>
      <c r="P124" s="277"/>
      <c r="Q124" s="277"/>
      <c r="R124" s="277"/>
      <c r="S124" s="277"/>
      <c r="T124" s="277"/>
      <c r="U124" s="277"/>
      <c r="V124" s="277"/>
      <c r="W124" s="277"/>
    </row>
    <row r="125" spans="1:23" x14ac:dyDescent="0.25">
      <c r="A125" s="286"/>
      <c r="B125" s="286" t="s">
        <v>1010</v>
      </c>
      <c r="C125" s="286"/>
      <c r="D125" s="286"/>
      <c r="E125" s="286"/>
      <c r="F125" s="286"/>
      <c r="G125" s="286"/>
      <c r="H125" s="286"/>
      <c r="I125" s="286"/>
      <c r="J125" s="286"/>
      <c r="K125" s="286"/>
      <c r="L125" s="286"/>
      <c r="M125" s="286"/>
      <c r="N125" s="286"/>
      <c r="O125" s="286"/>
      <c r="P125" s="286"/>
      <c r="Q125" s="286"/>
      <c r="R125" s="286"/>
      <c r="S125" s="286"/>
      <c r="T125" s="286"/>
      <c r="U125" s="286"/>
      <c r="V125" s="286"/>
      <c r="W125" s="286"/>
    </row>
    <row r="126" spans="1:23" x14ac:dyDescent="0.25">
      <c r="A126" s="278"/>
      <c r="B126" s="278" t="s">
        <v>203</v>
      </c>
      <c r="C126" s="281" t="s">
        <v>202</v>
      </c>
      <c r="D126" s="285" t="s">
        <v>149</v>
      </c>
      <c r="E126" s="285" t="s">
        <v>1164</v>
      </c>
      <c r="F126" s="281" t="s">
        <v>203</v>
      </c>
      <c r="G126" s="285" t="s">
        <v>1169</v>
      </c>
      <c r="H126" s="285" t="s">
        <v>149</v>
      </c>
      <c r="I126" s="285" t="s">
        <v>1165</v>
      </c>
      <c r="J126" s="281" t="s">
        <v>203</v>
      </c>
      <c r="K126" s="285" t="s">
        <v>1169</v>
      </c>
      <c r="L126" s="285" t="s">
        <v>149</v>
      </c>
      <c r="M126" s="285" t="s">
        <v>1166</v>
      </c>
      <c r="N126" s="281" t="s">
        <v>203</v>
      </c>
      <c r="O126" s="285" t="s">
        <v>1169</v>
      </c>
      <c r="P126" s="285" t="s">
        <v>149</v>
      </c>
      <c r="Q126" s="285" t="s">
        <v>1167</v>
      </c>
      <c r="R126" s="281" t="s">
        <v>203</v>
      </c>
      <c r="S126" s="285" t="s">
        <v>1169</v>
      </c>
      <c r="T126" s="285" t="s">
        <v>149</v>
      </c>
      <c r="U126" s="285" t="s">
        <v>1168</v>
      </c>
      <c r="V126" s="281" t="s">
        <v>203</v>
      </c>
      <c r="W126" s="285" t="s">
        <v>1169</v>
      </c>
    </row>
    <row r="127" spans="1:23" x14ac:dyDescent="0.25">
      <c r="A127" s="284" t="s">
        <v>1186</v>
      </c>
      <c r="B127" s="284"/>
      <c r="C127" s="279">
        <f>((D127*G127)+(K127*H127)+(O127*L127)+(S127*P127)+(W127*T127))</f>
        <v>385.5</v>
      </c>
      <c r="D127" s="282">
        <v>1</v>
      </c>
      <c r="E127" s="283">
        <v>415</v>
      </c>
      <c r="F127" s="59" t="str">
        <f t="shared" ref="F127" si="90">VLOOKUP(E127,LISTAITEMS,2,FALSE)</f>
        <v>Rabbit Hide</v>
      </c>
      <c r="G127" s="280">
        <f>VLOOKUP(E127,LISTAITEMS,5,FALSE)</f>
        <v>385.5</v>
      </c>
      <c r="H127" s="282">
        <v>0</v>
      </c>
      <c r="I127" s="283" t="s">
        <v>926</v>
      </c>
      <c r="J127" s="59" t="str">
        <f t="shared" ref="J127" si="91">VLOOKUP(I127,LISTAITEMS,2,FALSE)</f>
        <v>ninguno</v>
      </c>
      <c r="K127" s="280">
        <f>VLOOKUP(I127,LISTAITEMS,5,FALSE)</f>
        <v>0</v>
      </c>
      <c r="L127" s="282">
        <v>0</v>
      </c>
      <c r="M127" s="283" t="s">
        <v>926</v>
      </c>
      <c r="N127" s="59" t="str">
        <f t="shared" ref="N127" si="92">VLOOKUP(M127,LISTAITEMS,2,FALSE)</f>
        <v>ninguno</v>
      </c>
      <c r="O127" s="280">
        <f>VLOOKUP(M127,LISTAITEMS,5,FALSE)</f>
        <v>0</v>
      </c>
      <c r="P127" s="282">
        <v>0</v>
      </c>
      <c r="Q127" s="283" t="s">
        <v>926</v>
      </c>
      <c r="R127" s="59" t="str">
        <f t="shared" ref="R127" si="93">VLOOKUP(Q127,LISTAITEMS,2,FALSE)</f>
        <v>ninguno</v>
      </c>
      <c r="S127" s="280">
        <f>VLOOKUP(Q127,LISTAITEMS,5,FALSE)</f>
        <v>0</v>
      </c>
      <c r="T127" s="282">
        <v>0</v>
      </c>
      <c r="U127" s="283" t="s">
        <v>926</v>
      </c>
      <c r="V127" s="59" t="str">
        <f t="shared" ref="V127" si="94">VLOOKUP(U127,LISTAITEMS,2,FALSE)</f>
        <v>ninguno</v>
      </c>
      <c r="W127" s="280">
        <f>VLOOKUP(U127,LISTAITEMS,5,FALSE)</f>
        <v>0</v>
      </c>
    </row>
    <row r="128" spans="1:23" s="275" customFormat="1" x14ac:dyDescent="0.25">
      <c r="A128" s="284" t="s">
        <v>1189</v>
      </c>
      <c r="B128" s="284"/>
      <c r="C128" s="279">
        <f>((D128*G128)+(K128*H128)+(O128*L128)+(S128*P128)+(W128*T128))</f>
        <v>1850.3999999999999</v>
      </c>
      <c r="D128" s="282">
        <v>1</v>
      </c>
      <c r="E128" s="283">
        <v>334</v>
      </c>
      <c r="F128" s="59" t="str">
        <f t="shared" ref="F128" si="95">VLOOKUP(E128,LISTAITEMS,2,FALSE)</f>
        <v>Leather</v>
      </c>
      <c r="G128" s="280">
        <f>VLOOKUP(E128,LISTAITEMS,5,FALSE)</f>
        <v>1850.3999999999999</v>
      </c>
      <c r="H128" s="282">
        <v>0</v>
      </c>
      <c r="I128" s="283" t="s">
        <v>926</v>
      </c>
      <c r="J128" s="59" t="str">
        <f t="shared" ref="J128" si="96">VLOOKUP(I128,LISTAITEMS,2,FALSE)</f>
        <v>ninguno</v>
      </c>
      <c r="K128" s="280">
        <f>VLOOKUP(I128,LISTAITEMS,5,FALSE)</f>
        <v>0</v>
      </c>
      <c r="L128" s="282">
        <v>0</v>
      </c>
      <c r="M128" s="283" t="s">
        <v>926</v>
      </c>
      <c r="N128" s="59" t="str">
        <f t="shared" ref="N128" si="97">VLOOKUP(M128,LISTAITEMS,2,FALSE)</f>
        <v>ninguno</v>
      </c>
      <c r="O128" s="280">
        <f>VLOOKUP(M128,LISTAITEMS,5,FALSE)</f>
        <v>0</v>
      </c>
      <c r="P128" s="282">
        <v>0</v>
      </c>
      <c r="Q128" s="283" t="s">
        <v>926</v>
      </c>
      <c r="R128" s="59" t="str">
        <f t="shared" ref="R128" si="98">VLOOKUP(Q128,LISTAITEMS,2,FALSE)</f>
        <v>ninguno</v>
      </c>
      <c r="S128" s="280">
        <f>VLOOKUP(Q128,LISTAITEMS,5,FALSE)</f>
        <v>0</v>
      </c>
      <c r="T128" s="282">
        <v>0</v>
      </c>
      <c r="U128" s="283" t="s">
        <v>926</v>
      </c>
      <c r="V128" s="59" t="str">
        <f t="shared" ref="V128" si="99">VLOOKUP(U128,LISTAITEMS,2,FALSE)</f>
        <v>ninguno</v>
      </c>
      <c r="W128" s="280">
        <f>VLOOKUP(U128,LISTAITEMS,5,FALSE)</f>
        <v>0</v>
      </c>
    </row>
    <row r="136" spans="1:23" x14ac:dyDescent="0.25">
      <c r="A136" s="277"/>
      <c r="B136" s="277" t="s">
        <v>1212</v>
      </c>
      <c r="C136" s="277"/>
      <c r="D136" s="277"/>
      <c r="E136" s="277"/>
      <c r="F136" s="277"/>
      <c r="G136" s="277"/>
      <c r="H136" s="277"/>
      <c r="I136" s="277"/>
      <c r="J136" s="277"/>
      <c r="K136" s="277"/>
      <c r="L136" s="277"/>
      <c r="M136" s="277"/>
      <c r="N136" s="277"/>
      <c r="O136" s="277"/>
      <c r="P136" s="277"/>
      <c r="Q136" s="277"/>
      <c r="R136" s="277"/>
      <c r="S136" s="277"/>
      <c r="T136" s="277"/>
      <c r="U136" s="277"/>
      <c r="V136" s="277"/>
      <c r="W136" s="277"/>
    </row>
    <row r="137" spans="1:23" x14ac:dyDescent="0.25">
      <c r="A137" s="277"/>
      <c r="B137" s="277"/>
      <c r="C137" s="277"/>
      <c r="D137" s="277"/>
      <c r="E137" s="277"/>
      <c r="F137" s="277"/>
      <c r="G137" s="277"/>
      <c r="H137" s="277"/>
      <c r="I137" s="277"/>
      <c r="J137" s="277"/>
      <c r="K137" s="277"/>
      <c r="L137" s="277"/>
      <c r="M137" s="277"/>
      <c r="N137" s="277"/>
      <c r="O137" s="277"/>
      <c r="P137" s="277"/>
      <c r="Q137" s="277"/>
      <c r="R137" s="277"/>
      <c r="S137" s="277"/>
      <c r="T137" s="277"/>
      <c r="U137" s="277"/>
      <c r="V137" s="277"/>
      <c r="W137" s="277"/>
    </row>
    <row r="138" spans="1:23" x14ac:dyDescent="0.25">
      <c r="A138" s="286"/>
      <c r="B138" s="286" t="s">
        <v>1010</v>
      </c>
      <c r="C138" s="286"/>
      <c r="D138" s="286"/>
      <c r="E138" s="286"/>
      <c r="F138" s="286"/>
      <c r="G138" s="286"/>
      <c r="H138" s="286"/>
      <c r="I138" s="286"/>
      <c r="J138" s="286"/>
      <c r="K138" s="286"/>
      <c r="L138" s="286"/>
      <c r="M138" s="286"/>
      <c r="N138" s="286"/>
      <c r="O138" s="286"/>
      <c r="P138" s="286"/>
      <c r="Q138" s="286"/>
      <c r="R138" s="286"/>
      <c r="S138" s="286"/>
      <c r="T138" s="286"/>
      <c r="U138" s="286"/>
      <c r="V138" s="286"/>
      <c r="W138" s="286"/>
    </row>
    <row r="139" spans="1:23" x14ac:dyDescent="0.25">
      <c r="A139" s="278"/>
      <c r="B139" s="278" t="s">
        <v>203</v>
      </c>
      <c r="C139" s="281" t="s">
        <v>202</v>
      </c>
      <c r="D139" s="285" t="s">
        <v>149</v>
      </c>
      <c r="E139" s="285" t="s">
        <v>1164</v>
      </c>
      <c r="F139" s="281" t="s">
        <v>203</v>
      </c>
      <c r="G139" s="285" t="s">
        <v>1169</v>
      </c>
      <c r="H139" s="285" t="s">
        <v>149</v>
      </c>
      <c r="I139" s="285" t="s">
        <v>1165</v>
      </c>
      <c r="J139" s="281" t="s">
        <v>203</v>
      </c>
      <c r="K139" s="285" t="s">
        <v>1169</v>
      </c>
      <c r="L139" s="285" t="s">
        <v>149</v>
      </c>
      <c r="M139" s="285" t="s">
        <v>1166</v>
      </c>
      <c r="N139" s="281" t="s">
        <v>203</v>
      </c>
      <c r="O139" s="285" t="s">
        <v>1169</v>
      </c>
      <c r="P139" s="285" t="s">
        <v>149</v>
      </c>
      <c r="Q139" s="285" t="s">
        <v>1167</v>
      </c>
      <c r="R139" s="281" t="s">
        <v>203</v>
      </c>
      <c r="S139" s="285" t="s">
        <v>1169</v>
      </c>
      <c r="T139" s="285" t="s">
        <v>149</v>
      </c>
      <c r="U139" s="285" t="s">
        <v>1168</v>
      </c>
      <c r="V139" s="281" t="s">
        <v>203</v>
      </c>
      <c r="W139" s="285" t="s">
        <v>1169</v>
      </c>
    </row>
    <row r="140" spans="1:23" x14ac:dyDescent="0.25">
      <c r="A140" s="284" t="s">
        <v>1211</v>
      </c>
      <c r="B140" s="284"/>
      <c r="C140" s="279">
        <f>'ECONOMIA &amp; PROFESIONES'!K27</f>
        <v>86</v>
      </c>
      <c r="D140" s="282"/>
      <c r="E140" s="283"/>
      <c r="F140" s="59"/>
      <c r="G140" s="280"/>
      <c r="H140" s="282"/>
      <c r="I140" s="283"/>
      <c r="J140" s="59"/>
      <c r="K140" s="280"/>
      <c r="L140" s="282"/>
      <c r="M140" s="283"/>
      <c r="N140" s="59"/>
      <c r="O140" s="280"/>
      <c r="P140" s="282"/>
      <c r="Q140" s="283"/>
      <c r="R140" s="59"/>
      <c r="S140" s="280"/>
      <c r="T140" s="282"/>
      <c r="U140" s="283"/>
      <c r="V140" s="59"/>
      <c r="W140" s="280"/>
    </row>
    <row r="142" spans="1:23" x14ac:dyDescent="0.25">
      <c r="A142" s="277" t="s">
        <v>1149</v>
      </c>
      <c r="B142" s="277"/>
      <c r="C142" s="277"/>
      <c r="D142" s="277"/>
      <c r="E142" s="277"/>
      <c r="F142" s="277"/>
      <c r="G142" s="277"/>
      <c r="H142" s="277"/>
      <c r="I142" s="277"/>
      <c r="J142" s="277"/>
      <c r="K142" s="277"/>
      <c r="L142" s="277"/>
      <c r="M142" s="277"/>
      <c r="N142" s="277"/>
      <c r="O142" s="277"/>
      <c r="P142" s="277"/>
      <c r="Q142" s="277"/>
      <c r="R142" s="277"/>
      <c r="S142" s="277"/>
      <c r="T142" s="277"/>
      <c r="U142" s="277"/>
      <c r="V142" s="277"/>
      <c r="W142" s="277"/>
    </row>
    <row r="143" spans="1:23" x14ac:dyDescent="0.25">
      <c r="A143" s="277"/>
      <c r="B143" s="277"/>
      <c r="C143" s="277"/>
      <c r="D143" s="277"/>
      <c r="E143" s="277"/>
      <c r="F143" s="277"/>
      <c r="G143" s="277"/>
      <c r="H143" s="277"/>
      <c r="I143" s="277"/>
      <c r="J143" s="277"/>
      <c r="K143" s="277"/>
      <c r="L143" s="277"/>
      <c r="M143" s="277"/>
      <c r="N143" s="277"/>
      <c r="O143" s="277"/>
      <c r="P143" s="277"/>
      <c r="Q143" s="277"/>
      <c r="R143" s="277"/>
      <c r="S143" s="277"/>
      <c r="T143" s="277"/>
      <c r="U143" s="277"/>
      <c r="V143" s="277"/>
      <c r="W143" s="277"/>
    </row>
    <row r="144" spans="1:23" x14ac:dyDescent="0.25">
      <c r="A144" s="286"/>
      <c r="B144" s="286" t="s">
        <v>1010</v>
      </c>
      <c r="C144" s="286"/>
      <c r="D144" s="286"/>
      <c r="E144" s="286"/>
      <c r="F144" s="286"/>
      <c r="G144" s="286"/>
      <c r="H144" s="286"/>
      <c r="I144" s="286"/>
      <c r="J144" s="286"/>
      <c r="K144" s="286"/>
      <c r="L144" s="286"/>
      <c r="M144" s="286"/>
      <c r="N144" s="286"/>
      <c r="O144" s="286"/>
      <c r="P144" s="286"/>
      <c r="Q144" s="286"/>
      <c r="R144" s="286"/>
      <c r="S144" s="286"/>
      <c r="T144" s="286"/>
      <c r="U144" s="286"/>
      <c r="V144" s="286"/>
      <c r="W144" s="286"/>
    </row>
    <row r="145" spans="1:23" s="294" customFormat="1" x14ac:dyDescent="0.25">
      <c r="A145" s="278"/>
      <c r="B145" s="278" t="s">
        <v>203</v>
      </c>
      <c r="C145" s="281" t="s">
        <v>202</v>
      </c>
      <c r="D145" s="285" t="s">
        <v>149</v>
      </c>
      <c r="E145" s="285" t="s">
        <v>1181</v>
      </c>
      <c r="F145" s="285" t="s">
        <v>1169</v>
      </c>
      <c r="G145" s="285" t="s">
        <v>149</v>
      </c>
      <c r="H145" s="285" t="s">
        <v>1182</v>
      </c>
      <c r="I145" s="285" t="s">
        <v>1169</v>
      </c>
      <c r="J145" s="285" t="s">
        <v>149</v>
      </c>
      <c r="K145" s="285" t="s">
        <v>1183</v>
      </c>
      <c r="L145" s="285" t="s">
        <v>1169</v>
      </c>
      <c r="M145" s="285" t="s">
        <v>149</v>
      </c>
      <c r="N145" s="285" t="s">
        <v>1184</v>
      </c>
      <c r="O145" s="285" t="s">
        <v>1169</v>
      </c>
      <c r="P145" s="285" t="s">
        <v>149</v>
      </c>
      <c r="Q145" s="285" t="s">
        <v>1185</v>
      </c>
      <c r="R145" s="285" t="s">
        <v>1169</v>
      </c>
    </row>
    <row r="146" spans="1:23" s="294" customFormat="1" x14ac:dyDescent="0.25">
      <c r="A146" s="284" t="s">
        <v>1213</v>
      </c>
      <c r="B146" s="284"/>
      <c r="C146" s="279">
        <f>((F146*D146)+(I146*G146)+(L146*J146)+(O146*M146)+(R146*P146))</f>
        <v>516</v>
      </c>
      <c r="D146" s="282">
        <v>6</v>
      </c>
      <c r="E146" s="283" t="s">
        <v>1211</v>
      </c>
      <c r="F146" s="280">
        <f>VLOOKUP(E146,craftedesp,3,FALSE)</f>
        <v>86</v>
      </c>
      <c r="G146" s="282">
        <v>1</v>
      </c>
      <c r="H146" s="283" t="s">
        <v>926</v>
      </c>
      <c r="I146" s="280">
        <f>VLOOKUP(H146,craftedesp,3,FALSE)</f>
        <v>0</v>
      </c>
      <c r="J146" s="282">
        <v>1</v>
      </c>
      <c r="K146" s="283" t="s">
        <v>926</v>
      </c>
      <c r="L146" s="280">
        <f>VLOOKUP(K146,craftedesp,3,FALSE)</f>
        <v>0</v>
      </c>
      <c r="M146" s="282">
        <v>1</v>
      </c>
      <c r="N146" s="283" t="s">
        <v>926</v>
      </c>
      <c r="O146" s="280">
        <f>VLOOKUP(N146,craftedesp,3,FALSE)</f>
        <v>0</v>
      </c>
      <c r="P146" s="282">
        <v>1</v>
      </c>
      <c r="Q146" s="283" t="s">
        <v>926</v>
      </c>
      <c r="R146" s="280">
        <f>VLOOKUP(Q146,craftedesp,3,FALSE)</f>
        <v>0</v>
      </c>
    </row>
    <row r="149" spans="1:23" x14ac:dyDescent="0.25">
      <c r="A149" s="277" t="s">
        <v>1157</v>
      </c>
      <c r="B149" s="277"/>
      <c r="C149" s="277"/>
      <c r="D149" s="277"/>
      <c r="E149" s="277"/>
      <c r="F149" s="277"/>
      <c r="G149" s="277"/>
      <c r="H149" s="277"/>
      <c r="I149" s="277"/>
      <c r="J149" s="277"/>
      <c r="K149" s="277"/>
      <c r="L149" s="277"/>
      <c r="M149" s="277"/>
      <c r="N149" s="277"/>
      <c r="O149" s="277"/>
      <c r="P149" s="277"/>
      <c r="Q149" s="277"/>
      <c r="R149" s="277"/>
      <c r="S149" s="277"/>
      <c r="T149" s="277"/>
      <c r="U149" s="277"/>
      <c r="V149" s="277"/>
      <c r="W149" s="277"/>
    </row>
    <row r="150" spans="1:23" x14ac:dyDescent="0.25">
      <c r="A150" s="277"/>
      <c r="B150" s="277"/>
      <c r="C150" s="277"/>
      <c r="D150" s="277"/>
      <c r="E150" s="277"/>
      <c r="F150" s="277"/>
      <c r="G150" s="277"/>
      <c r="H150" s="277"/>
      <c r="I150" s="277"/>
      <c r="J150" s="277"/>
      <c r="K150" s="277"/>
      <c r="L150" s="277"/>
      <c r="M150" s="277"/>
      <c r="N150" s="277"/>
      <c r="O150" s="277"/>
      <c r="P150" s="277"/>
      <c r="Q150" s="277"/>
      <c r="R150" s="277"/>
      <c r="S150" s="277"/>
      <c r="T150" s="277"/>
      <c r="U150" s="277"/>
      <c r="V150" s="277"/>
      <c r="W150" s="277"/>
    </row>
    <row r="151" spans="1:23" x14ac:dyDescent="0.25">
      <c r="A151" s="286"/>
      <c r="B151" s="286" t="s">
        <v>1010</v>
      </c>
      <c r="C151" s="286"/>
      <c r="D151" s="286"/>
      <c r="E151" s="286"/>
      <c r="F151" s="286"/>
      <c r="G151" s="286"/>
      <c r="H151" s="286"/>
      <c r="I151" s="286"/>
      <c r="J151" s="286"/>
      <c r="K151" s="286"/>
      <c r="L151" s="286"/>
      <c r="M151" s="286"/>
      <c r="N151" s="286"/>
      <c r="O151" s="286"/>
      <c r="P151" s="286"/>
      <c r="Q151" s="286"/>
      <c r="R151" s="286"/>
      <c r="S151" s="286"/>
      <c r="T151" s="286"/>
      <c r="U151" s="286"/>
      <c r="V151" s="286"/>
      <c r="W151" s="286"/>
    </row>
    <row r="152" spans="1:23" x14ac:dyDescent="0.25">
      <c r="A152" s="278"/>
      <c r="B152" s="278" t="s">
        <v>203</v>
      </c>
      <c r="C152" s="281" t="s">
        <v>202</v>
      </c>
      <c r="D152" s="285" t="s">
        <v>149</v>
      </c>
      <c r="E152" s="285" t="s">
        <v>1164</v>
      </c>
      <c r="F152" s="281" t="s">
        <v>203</v>
      </c>
      <c r="G152" s="285" t="s">
        <v>1169</v>
      </c>
      <c r="H152" s="285" t="s">
        <v>149</v>
      </c>
      <c r="I152" s="285" t="s">
        <v>1165</v>
      </c>
      <c r="J152" s="281" t="s">
        <v>203</v>
      </c>
      <c r="K152" s="285" t="s">
        <v>1169</v>
      </c>
      <c r="L152" s="285" t="s">
        <v>149</v>
      </c>
      <c r="M152" s="285" t="s">
        <v>1166</v>
      </c>
      <c r="N152" s="281" t="s">
        <v>203</v>
      </c>
      <c r="O152" s="285" t="s">
        <v>1169</v>
      </c>
      <c r="P152" s="285" t="s">
        <v>149</v>
      </c>
      <c r="Q152" s="285" t="s">
        <v>1167</v>
      </c>
      <c r="R152" s="281" t="s">
        <v>203</v>
      </c>
      <c r="S152" s="285" t="s">
        <v>1169</v>
      </c>
      <c r="T152" s="285" t="s">
        <v>149</v>
      </c>
      <c r="U152" s="285" t="s">
        <v>1168</v>
      </c>
      <c r="V152" s="281" t="s">
        <v>203</v>
      </c>
      <c r="W152" s="285" t="s">
        <v>1169</v>
      </c>
    </row>
    <row r="153" spans="1:23" x14ac:dyDescent="0.25">
      <c r="A153" s="284" t="s">
        <v>1163</v>
      </c>
      <c r="B153" s="284"/>
      <c r="C153" s="279">
        <f>((D153*G153)+(K153*H153)+(O153*L153)+(S153*P153)+(W153*T153))</f>
        <v>0</v>
      </c>
      <c r="D153" s="282">
        <v>0</v>
      </c>
      <c r="E153" s="283" t="s">
        <v>926</v>
      </c>
      <c r="F153" s="59" t="str">
        <f t="shared" ref="F153" si="100">VLOOKUP(E153,LISTAITEMS,2,FALSE)</f>
        <v>ninguno</v>
      </c>
      <c r="G153" s="280">
        <f>VLOOKUP(E153,LISTAITEMS,5,FALSE)</f>
        <v>0</v>
      </c>
      <c r="H153" s="282">
        <v>0</v>
      </c>
      <c r="I153" s="283" t="s">
        <v>926</v>
      </c>
      <c r="J153" s="59" t="str">
        <f t="shared" ref="J153" si="101">VLOOKUP(I153,LISTAITEMS,2,FALSE)</f>
        <v>ninguno</v>
      </c>
      <c r="K153" s="280">
        <f>VLOOKUP(I153,LISTAITEMS,5,FALSE)</f>
        <v>0</v>
      </c>
      <c r="L153" s="282">
        <v>0</v>
      </c>
      <c r="M153" s="283" t="s">
        <v>926</v>
      </c>
      <c r="N153" s="59" t="str">
        <f t="shared" ref="N153" si="102">VLOOKUP(M153,LISTAITEMS,2,FALSE)</f>
        <v>ninguno</v>
      </c>
      <c r="O153" s="280">
        <f>VLOOKUP(M153,LISTAITEMS,5,FALSE)</f>
        <v>0</v>
      </c>
      <c r="P153" s="282">
        <v>0</v>
      </c>
      <c r="Q153" s="283" t="s">
        <v>926</v>
      </c>
      <c r="R153" s="59" t="str">
        <f t="shared" ref="R153" si="103">VLOOKUP(Q153,LISTAITEMS,2,FALSE)</f>
        <v>ninguno</v>
      </c>
      <c r="S153" s="280">
        <f>VLOOKUP(Q153,LISTAITEMS,5,FALSE)</f>
        <v>0</v>
      </c>
      <c r="T153" s="282">
        <v>0</v>
      </c>
      <c r="U153" s="283" t="s">
        <v>926</v>
      </c>
      <c r="V153" s="59" t="str">
        <f t="shared" ref="V153" si="104">VLOOKUP(U153,LISTAITEMS,2,FALSE)</f>
        <v>ninguno</v>
      </c>
      <c r="W153" s="280">
        <f>VLOOKUP(U153,LISTAITEMS,5,FALSE)</f>
        <v>0</v>
      </c>
    </row>
    <row r="154" spans="1:23" x14ac:dyDescent="0.25">
      <c r="A154" s="277" t="s">
        <v>1159</v>
      </c>
      <c r="B154" s="277"/>
      <c r="C154" s="277"/>
      <c r="D154" s="277"/>
      <c r="E154" s="277"/>
      <c r="F154" s="277"/>
      <c r="G154" s="277"/>
      <c r="H154" s="277"/>
      <c r="I154" s="277"/>
      <c r="J154" s="277"/>
      <c r="K154" s="277"/>
      <c r="L154" s="277"/>
      <c r="M154" s="277"/>
      <c r="N154" s="277"/>
      <c r="O154" s="277"/>
      <c r="P154" s="277"/>
      <c r="Q154" s="277"/>
      <c r="R154" s="277"/>
      <c r="S154" s="277"/>
      <c r="T154" s="277"/>
      <c r="U154" s="277"/>
      <c r="V154" s="277"/>
      <c r="W154" s="277"/>
    </row>
    <row r="155" spans="1:23" x14ac:dyDescent="0.25">
      <c r="A155" s="277"/>
      <c r="B155" s="277"/>
      <c r="C155" s="277"/>
      <c r="D155" s="277"/>
      <c r="E155" s="277"/>
      <c r="F155" s="277"/>
      <c r="G155" s="277"/>
      <c r="H155" s="277"/>
      <c r="I155" s="277"/>
      <c r="J155" s="277"/>
      <c r="K155" s="277"/>
      <c r="L155" s="277"/>
      <c r="M155" s="277"/>
      <c r="N155" s="277"/>
      <c r="O155" s="277"/>
      <c r="P155" s="277"/>
      <c r="Q155" s="277"/>
      <c r="R155" s="277"/>
      <c r="S155" s="277"/>
      <c r="T155" s="277"/>
      <c r="U155" s="277"/>
      <c r="V155" s="277"/>
      <c r="W155" s="277"/>
    </row>
    <row r="156" spans="1:23" x14ac:dyDescent="0.25">
      <c r="A156" s="286"/>
      <c r="B156" s="286" t="s">
        <v>1010</v>
      </c>
      <c r="C156" s="286"/>
      <c r="D156" s="286"/>
      <c r="E156" s="286"/>
      <c r="F156" s="286"/>
      <c r="G156" s="286"/>
      <c r="H156" s="286"/>
      <c r="I156" s="286"/>
      <c r="J156" s="286"/>
      <c r="K156" s="286"/>
      <c r="L156" s="286"/>
      <c r="M156" s="286"/>
      <c r="N156" s="286"/>
      <c r="O156" s="286"/>
      <c r="P156" s="286"/>
      <c r="Q156" s="286"/>
      <c r="R156" s="286"/>
      <c r="S156" s="286"/>
      <c r="T156" s="286"/>
      <c r="U156" s="286"/>
      <c r="V156" s="286"/>
      <c r="W156" s="286"/>
    </row>
    <row r="157" spans="1:23" x14ac:dyDescent="0.25">
      <c r="A157" s="278"/>
      <c r="B157" s="278" t="s">
        <v>203</v>
      </c>
      <c r="C157" s="281" t="s">
        <v>202</v>
      </c>
      <c r="D157" s="285" t="s">
        <v>149</v>
      </c>
      <c r="E157" s="285" t="s">
        <v>1164</v>
      </c>
      <c r="F157" s="281" t="s">
        <v>203</v>
      </c>
      <c r="G157" s="285" t="s">
        <v>1169</v>
      </c>
      <c r="H157" s="285" t="s">
        <v>149</v>
      </c>
      <c r="I157" s="285" t="s">
        <v>1165</v>
      </c>
      <c r="J157" s="281" t="s">
        <v>203</v>
      </c>
      <c r="K157" s="285" t="s">
        <v>1169</v>
      </c>
      <c r="L157" s="285" t="s">
        <v>149</v>
      </c>
      <c r="M157" s="285" t="s">
        <v>1166</v>
      </c>
      <c r="N157" s="281" t="s">
        <v>203</v>
      </c>
      <c r="O157" s="285" t="s">
        <v>1169</v>
      </c>
      <c r="P157" s="285" t="s">
        <v>149</v>
      </c>
      <c r="Q157" s="285" t="s">
        <v>1167</v>
      </c>
      <c r="R157" s="281" t="s">
        <v>203</v>
      </c>
      <c r="S157" s="285" t="s">
        <v>1169</v>
      </c>
      <c r="T157" s="285" t="s">
        <v>149</v>
      </c>
      <c r="U157" s="285" t="s">
        <v>1168</v>
      </c>
      <c r="V157" s="281" t="s">
        <v>203</v>
      </c>
      <c r="W157" s="285" t="s">
        <v>1169</v>
      </c>
    </row>
    <row r="158" spans="1:23" x14ac:dyDescent="0.25">
      <c r="A158" s="284" t="s">
        <v>1163</v>
      </c>
      <c r="B158" s="284"/>
      <c r="C158" s="279">
        <f>((D158*G158)+(K158*H158)+(O158*L158)+(S158*P158)+(W158*T158))</f>
        <v>0</v>
      </c>
      <c r="D158" s="282">
        <v>0</v>
      </c>
      <c r="E158" s="283" t="s">
        <v>926</v>
      </c>
      <c r="F158" s="59" t="str">
        <f t="shared" ref="F158" si="105">VLOOKUP(E158,LISTAITEMS,2,FALSE)</f>
        <v>ninguno</v>
      </c>
      <c r="G158" s="280">
        <f>VLOOKUP(E158,LISTAITEMS,5,FALSE)</f>
        <v>0</v>
      </c>
      <c r="H158" s="282">
        <v>0</v>
      </c>
      <c r="I158" s="283" t="s">
        <v>926</v>
      </c>
      <c r="J158" s="59" t="str">
        <f t="shared" ref="J158" si="106">VLOOKUP(I158,LISTAITEMS,2,FALSE)</f>
        <v>ninguno</v>
      </c>
      <c r="K158" s="280">
        <f>VLOOKUP(I158,LISTAITEMS,5,FALSE)</f>
        <v>0</v>
      </c>
      <c r="L158" s="282">
        <v>0</v>
      </c>
      <c r="M158" s="283" t="s">
        <v>926</v>
      </c>
      <c r="N158" s="59" t="str">
        <f t="shared" ref="N158" si="107">VLOOKUP(M158,LISTAITEMS,2,FALSE)</f>
        <v>ninguno</v>
      </c>
      <c r="O158" s="280">
        <f>VLOOKUP(M158,LISTAITEMS,5,FALSE)</f>
        <v>0</v>
      </c>
      <c r="P158" s="282">
        <v>0</v>
      </c>
      <c r="Q158" s="283" t="s">
        <v>926</v>
      </c>
      <c r="R158" s="59" t="str">
        <f t="shared" ref="R158" si="108">VLOOKUP(Q158,LISTAITEMS,2,FALSE)</f>
        <v>ninguno</v>
      </c>
      <c r="S158" s="280">
        <f>VLOOKUP(Q158,LISTAITEMS,5,FALSE)</f>
        <v>0</v>
      </c>
      <c r="T158" s="282">
        <v>0</v>
      </c>
      <c r="U158" s="283" t="s">
        <v>926</v>
      </c>
      <c r="V158" s="59" t="str">
        <f t="shared" ref="V158" si="109">VLOOKUP(U158,LISTAITEMS,2,FALSE)</f>
        <v>ninguno</v>
      </c>
      <c r="W158" s="280">
        <f>VLOOKUP(U158,LISTAITEMS,5,FALSE)</f>
        <v>0</v>
      </c>
    </row>
    <row r="165" spans="1:23" x14ac:dyDescent="0.25">
      <c r="A165" s="277" t="s">
        <v>1170</v>
      </c>
      <c r="B165" s="277"/>
      <c r="C165" s="277"/>
      <c r="D165" s="277"/>
      <c r="E165" s="277"/>
      <c r="F165" s="277"/>
      <c r="G165" s="277"/>
      <c r="H165" s="277"/>
      <c r="I165" s="277"/>
      <c r="J165" s="277"/>
      <c r="K165" s="277"/>
      <c r="L165" s="277"/>
      <c r="M165" s="277"/>
      <c r="N165" s="277"/>
      <c r="O165" s="277"/>
      <c r="P165" s="277"/>
      <c r="Q165" s="277"/>
      <c r="R165" s="277"/>
      <c r="S165" s="277"/>
      <c r="T165" s="277"/>
      <c r="U165" s="277"/>
      <c r="V165" s="277"/>
      <c r="W165" s="277"/>
    </row>
    <row r="166" spans="1:23" x14ac:dyDescent="0.25">
      <c r="A166" s="277"/>
      <c r="B166" s="277"/>
      <c r="C166" s="277"/>
      <c r="D166" s="277"/>
      <c r="E166" s="277"/>
      <c r="F166" s="277"/>
      <c r="G166" s="277"/>
      <c r="H166" s="277"/>
      <c r="I166" s="277"/>
      <c r="J166" s="277"/>
      <c r="K166" s="277"/>
      <c r="L166" s="277"/>
      <c r="M166" s="277"/>
      <c r="N166" s="277"/>
      <c r="O166" s="277"/>
      <c r="P166" s="277"/>
      <c r="Q166" s="277"/>
      <c r="R166" s="277"/>
      <c r="S166" s="277"/>
      <c r="T166" s="277"/>
      <c r="U166" s="277"/>
      <c r="V166" s="277"/>
      <c r="W166" s="277"/>
    </row>
    <row r="167" spans="1:23" x14ac:dyDescent="0.25">
      <c r="A167" s="286"/>
      <c r="B167" s="286" t="s">
        <v>1010</v>
      </c>
      <c r="C167" s="286"/>
      <c r="D167" s="286"/>
      <c r="E167" s="286"/>
      <c r="F167" s="286"/>
      <c r="G167" s="286"/>
      <c r="H167" s="286"/>
      <c r="I167" s="286"/>
      <c r="J167" s="286"/>
      <c r="K167" s="286"/>
      <c r="L167" s="286"/>
      <c r="M167" s="286"/>
      <c r="N167" s="286"/>
      <c r="O167" s="286"/>
      <c r="P167" s="286"/>
      <c r="Q167" s="286"/>
      <c r="R167" s="286"/>
      <c r="S167" s="286"/>
      <c r="T167" s="286"/>
      <c r="U167" s="286"/>
      <c r="V167" s="286"/>
      <c r="W167" s="286"/>
    </row>
    <row r="168" spans="1:23" x14ac:dyDescent="0.25">
      <c r="A168" s="278"/>
      <c r="B168" s="278" t="s">
        <v>203</v>
      </c>
      <c r="C168" s="281" t="s">
        <v>202</v>
      </c>
      <c r="D168" s="285" t="s">
        <v>149</v>
      </c>
      <c r="E168" s="285" t="s">
        <v>1164</v>
      </c>
      <c r="F168" s="281" t="s">
        <v>203</v>
      </c>
      <c r="G168" s="285" t="s">
        <v>1169</v>
      </c>
      <c r="H168" s="285" t="s">
        <v>149</v>
      </c>
      <c r="I168" s="285" t="s">
        <v>1165</v>
      </c>
      <c r="J168" s="281" t="s">
        <v>203</v>
      </c>
      <c r="K168" s="285" t="s">
        <v>1169</v>
      </c>
      <c r="L168" s="285" t="s">
        <v>149</v>
      </c>
      <c r="M168" s="285" t="s">
        <v>1166</v>
      </c>
      <c r="N168" s="281" t="s">
        <v>203</v>
      </c>
      <c r="O168" s="285" t="s">
        <v>1169</v>
      </c>
      <c r="P168" s="285" t="s">
        <v>149</v>
      </c>
      <c r="Q168" s="285" t="s">
        <v>1167</v>
      </c>
      <c r="R168" s="281" t="s">
        <v>203</v>
      </c>
      <c r="S168" s="285" t="s">
        <v>1169</v>
      </c>
      <c r="T168" s="285" t="s">
        <v>149</v>
      </c>
      <c r="U168" s="285" t="s">
        <v>1168</v>
      </c>
      <c r="V168" s="281" t="s">
        <v>203</v>
      </c>
      <c r="W168" s="285" t="s">
        <v>1169</v>
      </c>
    </row>
    <row r="169" spans="1:23" x14ac:dyDescent="0.25">
      <c r="A169" s="284" t="s">
        <v>1163</v>
      </c>
      <c r="B169" s="284"/>
      <c r="C169" s="279">
        <f>((D169*G169)+(K169*H169)+(O169*L169)+(S169*P169)+(W169*T169))</f>
        <v>0</v>
      </c>
      <c r="D169" s="282">
        <v>0</v>
      </c>
      <c r="E169" s="283" t="s">
        <v>926</v>
      </c>
      <c r="F169" s="59" t="str">
        <f t="shared" ref="F169" si="110">VLOOKUP(E169,LISTAITEMS,2,FALSE)</f>
        <v>ninguno</v>
      </c>
      <c r="G169" s="280">
        <f>VLOOKUP(E169,LISTAITEMS,5,FALSE)</f>
        <v>0</v>
      </c>
      <c r="H169" s="282">
        <v>0</v>
      </c>
      <c r="I169" s="283" t="s">
        <v>926</v>
      </c>
      <c r="J169" s="59" t="str">
        <f t="shared" ref="J169" si="111">VLOOKUP(I169,LISTAITEMS,2,FALSE)</f>
        <v>ninguno</v>
      </c>
      <c r="K169" s="280">
        <f>VLOOKUP(I169,LISTAITEMS,5,FALSE)</f>
        <v>0</v>
      </c>
      <c r="L169" s="282">
        <v>0</v>
      </c>
      <c r="M169" s="283" t="s">
        <v>926</v>
      </c>
      <c r="N169" s="59" t="str">
        <f t="shared" ref="N169" si="112">VLOOKUP(M169,LISTAITEMS,2,FALSE)</f>
        <v>ninguno</v>
      </c>
      <c r="O169" s="280">
        <f>VLOOKUP(M169,LISTAITEMS,5,FALSE)</f>
        <v>0</v>
      </c>
      <c r="P169" s="282">
        <v>0</v>
      </c>
      <c r="Q169" s="283" t="s">
        <v>926</v>
      </c>
      <c r="R169" s="59" t="str">
        <f t="shared" ref="R169" si="113">VLOOKUP(Q169,LISTAITEMS,2,FALSE)</f>
        <v>ninguno</v>
      </c>
      <c r="S169" s="280">
        <f>VLOOKUP(Q169,LISTAITEMS,5,FALSE)</f>
        <v>0</v>
      </c>
      <c r="T169" s="282">
        <v>0</v>
      </c>
      <c r="U169" s="283" t="s">
        <v>926</v>
      </c>
      <c r="V169" s="59" t="str">
        <f t="shared" ref="V169" si="114">VLOOKUP(U169,LISTAITEMS,2,FALSE)</f>
        <v>ninguno</v>
      </c>
      <c r="W169" s="280">
        <f>VLOOKUP(U169,LISTAITEMS,5,FALSE)</f>
        <v>0</v>
      </c>
    </row>
    <row r="173" spans="1:23" x14ac:dyDescent="0.25">
      <c r="A173" s="277"/>
      <c r="B173" s="277" t="s">
        <v>1133</v>
      </c>
      <c r="C173" s="277"/>
      <c r="D173" s="277"/>
      <c r="E173" s="277"/>
      <c r="F173" s="277"/>
      <c r="G173" s="277"/>
      <c r="H173" s="277"/>
      <c r="I173" s="277"/>
      <c r="J173" s="277"/>
      <c r="K173" s="277"/>
      <c r="L173" s="277"/>
      <c r="M173" s="277"/>
      <c r="N173" s="277"/>
      <c r="O173" s="277"/>
      <c r="P173" s="277"/>
      <c r="Q173" s="277"/>
      <c r="R173" s="277"/>
      <c r="S173" s="277"/>
      <c r="T173" s="277"/>
      <c r="U173" s="277"/>
      <c r="V173" s="277"/>
      <c r="W173" s="277"/>
    </row>
    <row r="174" spans="1:23" x14ac:dyDescent="0.25">
      <c r="A174" s="278"/>
      <c r="B174" s="278" t="s">
        <v>203</v>
      </c>
      <c r="C174" s="281" t="s">
        <v>202</v>
      </c>
      <c r="D174" s="285" t="s">
        <v>149</v>
      </c>
      <c r="E174" s="285" t="s">
        <v>1164</v>
      </c>
      <c r="F174" s="281" t="s">
        <v>203</v>
      </c>
      <c r="G174" s="285" t="s">
        <v>1169</v>
      </c>
      <c r="H174" s="285" t="s">
        <v>149</v>
      </c>
      <c r="I174" s="285" t="s">
        <v>1165</v>
      </c>
      <c r="J174" s="281" t="s">
        <v>203</v>
      </c>
      <c r="K174" s="285" t="s">
        <v>1169</v>
      </c>
      <c r="L174" s="285" t="s">
        <v>149</v>
      </c>
      <c r="M174" s="285" t="s">
        <v>1166</v>
      </c>
      <c r="N174" s="281" t="s">
        <v>203</v>
      </c>
      <c r="O174" s="285" t="s">
        <v>1169</v>
      </c>
      <c r="P174" s="285" t="s">
        <v>149</v>
      </c>
      <c r="Q174" s="285" t="s">
        <v>1167</v>
      </c>
      <c r="R174" s="281" t="s">
        <v>203</v>
      </c>
      <c r="S174" s="285" t="s">
        <v>1169</v>
      </c>
      <c r="T174" s="285" t="s">
        <v>149</v>
      </c>
      <c r="U174" s="285" t="s">
        <v>1168</v>
      </c>
      <c r="V174" s="281" t="s">
        <v>203</v>
      </c>
      <c r="W174" s="285" t="s">
        <v>1169</v>
      </c>
    </row>
    <row r="175" spans="1:23" x14ac:dyDescent="0.25">
      <c r="A175" s="284" t="s">
        <v>1214</v>
      </c>
      <c r="B175" s="284"/>
      <c r="C175" s="279">
        <f>((D175*G175)+(K175*H175)+(O175*L175)+(S175*P175)+(W175*T175))</f>
        <v>256</v>
      </c>
      <c r="D175" s="282">
        <v>64</v>
      </c>
      <c r="E175" s="283">
        <v>17</v>
      </c>
      <c r="F175" s="59" t="str">
        <f t="shared" ref="F175" si="115">VLOOKUP(E175,LISTAITEMS,2,FALSE)</f>
        <v>Oak Log</v>
      </c>
      <c r="G175" s="280">
        <f>VLOOKUP(E175,LISTAITEMS,5,FALSE)</f>
        <v>4</v>
      </c>
      <c r="H175" s="282">
        <v>0</v>
      </c>
      <c r="I175" s="283" t="s">
        <v>926</v>
      </c>
      <c r="J175" s="59" t="str">
        <f t="shared" ref="J175" si="116">VLOOKUP(I175,LISTAITEMS,2,FALSE)</f>
        <v>ninguno</v>
      </c>
      <c r="K175" s="280">
        <f>VLOOKUP(I175,LISTAITEMS,5,FALSE)</f>
        <v>0</v>
      </c>
      <c r="L175" s="282">
        <v>0</v>
      </c>
      <c r="M175" s="283" t="s">
        <v>926</v>
      </c>
      <c r="N175" s="59" t="str">
        <f t="shared" ref="N175" si="117">VLOOKUP(M175,LISTAITEMS,2,FALSE)</f>
        <v>ninguno</v>
      </c>
      <c r="O175" s="280">
        <f>VLOOKUP(M175,LISTAITEMS,5,FALSE)</f>
        <v>0</v>
      </c>
      <c r="P175" s="282">
        <v>0</v>
      </c>
      <c r="Q175" s="283" t="s">
        <v>926</v>
      </c>
      <c r="R175" s="59" t="str">
        <f t="shared" ref="R175" si="118">VLOOKUP(Q175,LISTAITEMS,2,FALSE)</f>
        <v>ninguno</v>
      </c>
      <c r="S175" s="280">
        <f>VLOOKUP(Q175,LISTAITEMS,5,FALSE)</f>
        <v>0</v>
      </c>
      <c r="T175" s="282">
        <v>0</v>
      </c>
      <c r="U175" s="283" t="s">
        <v>926</v>
      </c>
      <c r="V175" s="59" t="str">
        <f t="shared" ref="V175" si="119">VLOOKUP(U175,LISTAITEMS,2,FALSE)</f>
        <v>ninguno</v>
      </c>
      <c r="W175" s="280">
        <f>VLOOKUP(U175,LISTAITEMS,5,FALSE)</f>
        <v>0</v>
      </c>
    </row>
    <row r="176" spans="1:23" s="296" customFormat="1" x14ac:dyDescent="0.25">
      <c r="A176" s="284" t="s">
        <v>1216</v>
      </c>
      <c r="B176" s="284"/>
      <c r="C176" s="279">
        <f>((D176*G176)+(K176*H176)+(O176*L176)+(S176*P176)+(W176*T176))</f>
        <v>704</v>
      </c>
      <c r="D176" s="282">
        <v>64</v>
      </c>
      <c r="E176" s="283" t="s">
        <v>244</v>
      </c>
      <c r="F176" s="59" t="str">
        <f t="shared" ref="F176:F179" si="120">VLOOKUP(E176,LISTAITEMS,2,FALSE)</f>
        <v>Spruce Log</v>
      </c>
      <c r="G176" s="280">
        <f>VLOOKUP(E176,LISTAITEMS,5,FALSE)</f>
        <v>11</v>
      </c>
      <c r="H176" s="282">
        <v>0</v>
      </c>
      <c r="I176" s="283" t="s">
        <v>926</v>
      </c>
      <c r="J176" s="59" t="str">
        <f t="shared" ref="J176:J179" si="121">VLOOKUP(I176,LISTAITEMS,2,FALSE)</f>
        <v>ninguno</v>
      </c>
      <c r="K176" s="280">
        <f>VLOOKUP(I176,LISTAITEMS,5,FALSE)</f>
        <v>0</v>
      </c>
      <c r="L176" s="282">
        <v>0</v>
      </c>
      <c r="M176" s="283" t="s">
        <v>926</v>
      </c>
      <c r="N176" s="59" t="str">
        <f t="shared" ref="N176:N179" si="122">VLOOKUP(M176,LISTAITEMS,2,FALSE)</f>
        <v>ninguno</v>
      </c>
      <c r="O176" s="280">
        <f>VLOOKUP(M176,LISTAITEMS,5,FALSE)</f>
        <v>0</v>
      </c>
      <c r="P176" s="282">
        <v>0</v>
      </c>
      <c r="Q176" s="283" t="s">
        <v>926</v>
      </c>
      <c r="R176" s="59" t="str">
        <f t="shared" ref="R176:R179" si="123">VLOOKUP(Q176,LISTAITEMS,2,FALSE)</f>
        <v>ninguno</v>
      </c>
      <c r="S176" s="280">
        <f>VLOOKUP(Q176,LISTAITEMS,5,FALSE)</f>
        <v>0</v>
      </c>
      <c r="T176" s="282">
        <v>0</v>
      </c>
      <c r="U176" s="283" t="s">
        <v>926</v>
      </c>
      <c r="V176" s="59" t="str">
        <f t="shared" ref="V176:V179" si="124">VLOOKUP(U176,LISTAITEMS,2,FALSE)</f>
        <v>ninguno</v>
      </c>
      <c r="W176" s="280">
        <f>VLOOKUP(U176,LISTAITEMS,5,FALSE)</f>
        <v>0</v>
      </c>
    </row>
    <row r="177" spans="1:23" s="296" customFormat="1" x14ac:dyDescent="0.25">
      <c r="A177" s="284" t="s">
        <v>1217</v>
      </c>
      <c r="B177" s="284"/>
      <c r="C177" s="279">
        <f>((D177*G177)+(K177*H177)+(O177*L177)+(S177*P177)+(W177*T177))</f>
        <v>1088</v>
      </c>
      <c r="D177" s="282">
        <v>64</v>
      </c>
      <c r="E177" s="283" t="s">
        <v>246</v>
      </c>
      <c r="F177" s="59" t="str">
        <f t="shared" si="120"/>
        <v>Birch Log</v>
      </c>
      <c r="G177" s="280">
        <f>VLOOKUP(E177,LISTAITEMS,5,FALSE)</f>
        <v>17</v>
      </c>
      <c r="H177" s="282">
        <v>0</v>
      </c>
      <c r="I177" s="283" t="s">
        <v>926</v>
      </c>
      <c r="J177" s="59" t="str">
        <f t="shared" si="121"/>
        <v>ninguno</v>
      </c>
      <c r="K177" s="280">
        <f>VLOOKUP(I177,LISTAITEMS,5,FALSE)</f>
        <v>0</v>
      </c>
      <c r="L177" s="282">
        <v>0</v>
      </c>
      <c r="M177" s="283" t="s">
        <v>926</v>
      </c>
      <c r="N177" s="59" t="str">
        <f t="shared" si="122"/>
        <v>ninguno</v>
      </c>
      <c r="O177" s="280">
        <f>VLOOKUP(M177,LISTAITEMS,5,FALSE)</f>
        <v>0</v>
      </c>
      <c r="P177" s="282">
        <v>0</v>
      </c>
      <c r="Q177" s="283" t="s">
        <v>926</v>
      </c>
      <c r="R177" s="59" t="str">
        <f t="shared" si="123"/>
        <v>ninguno</v>
      </c>
      <c r="S177" s="280">
        <f>VLOOKUP(Q177,LISTAITEMS,5,FALSE)</f>
        <v>0</v>
      </c>
      <c r="T177" s="282">
        <v>0</v>
      </c>
      <c r="U177" s="283" t="s">
        <v>926</v>
      </c>
      <c r="V177" s="59" t="str">
        <f t="shared" si="124"/>
        <v>ninguno</v>
      </c>
      <c r="W177" s="280">
        <f>VLOOKUP(U177,LISTAITEMS,5,FALSE)</f>
        <v>0</v>
      </c>
    </row>
    <row r="178" spans="1:23" s="296" customFormat="1" x14ac:dyDescent="0.25">
      <c r="A178" s="284" t="s">
        <v>1218</v>
      </c>
      <c r="B178" s="284"/>
      <c r="C178" s="279">
        <f>((D178*G178)+(K178*H178)+(O178*L178)+(S178*P178)+(W178*T178))</f>
        <v>1536</v>
      </c>
      <c r="D178" s="282">
        <v>64</v>
      </c>
      <c r="E178" s="283" t="s">
        <v>248</v>
      </c>
      <c r="F178" s="59" t="str">
        <f t="shared" si="120"/>
        <v>Jungle Log</v>
      </c>
      <c r="G178" s="280">
        <f>VLOOKUP(E178,LISTAITEMS,5,FALSE)</f>
        <v>24</v>
      </c>
      <c r="H178" s="282">
        <v>0</v>
      </c>
      <c r="I178" s="283" t="s">
        <v>926</v>
      </c>
      <c r="J178" s="59" t="str">
        <f t="shared" si="121"/>
        <v>ninguno</v>
      </c>
      <c r="K178" s="280">
        <f>VLOOKUP(I178,LISTAITEMS,5,FALSE)</f>
        <v>0</v>
      </c>
      <c r="L178" s="282">
        <v>0</v>
      </c>
      <c r="M178" s="283" t="s">
        <v>926</v>
      </c>
      <c r="N178" s="59" t="str">
        <f t="shared" si="122"/>
        <v>ninguno</v>
      </c>
      <c r="O178" s="280">
        <f>VLOOKUP(M178,LISTAITEMS,5,FALSE)</f>
        <v>0</v>
      </c>
      <c r="P178" s="282">
        <v>0</v>
      </c>
      <c r="Q178" s="283" t="s">
        <v>926</v>
      </c>
      <c r="R178" s="59" t="str">
        <f t="shared" si="123"/>
        <v>ninguno</v>
      </c>
      <c r="S178" s="280">
        <f>VLOOKUP(Q178,LISTAITEMS,5,FALSE)</f>
        <v>0</v>
      </c>
      <c r="T178" s="282">
        <v>0</v>
      </c>
      <c r="U178" s="283" t="s">
        <v>926</v>
      </c>
      <c r="V178" s="59" t="str">
        <f t="shared" si="124"/>
        <v>ninguno</v>
      </c>
      <c r="W178" s="280">
        <f>VLOOKUP(U178,LISTAITEMS,5,FALSE)</f>
        <v>0</v>
      </c>
    </row>
    <row r="179" spans="1:23" s="296" customFormat="1" x14ac:dyDescent="0.25">
      <c r="A179" s="284" t="s">
        <v>1219</v>
      </c>
      <c r="B179" s="284"/>
      <c r="C179" s="279">
        <f>((D179*G179)+(K179*H179)+(O179*L179)+(S179*P179)+(W179*T179))</f>
        <v>1984</v>
      </c>
      <c r="D179" s="282">
        <v>64</v>
      </c>
      <c r="E179" s="283">
        <v>162</v>
      </c>
      <c r="F179" s="59" t="str">
        <f t="shared" si="120"/>
        <v>Acacia Log</v>
      </c>
      <c r="G179" s="280">
        <f>VLOOKUP(E179,LISTAITEMS,5,FALSE)</f>
        <v>31</v>
      </c>
      <c r="H179" s="282">
        <v>0</v>
      </c>
      <c r="I179" s="283" t="s">
        <v>926</v>
      </c>
      <c r="J179" s="59" t="str">
        <f t="shared" si="121"/>
        <v>ninguno</v>
      </c>
      <c r="K179" s="280">
        <f>VLOOKUP(I179,LISTAITEMS,5,FALSE)</f>
        <v>0</v>
      </c>
      <c r="L179" s="282">
        <v>0</v>
      </c>
      <c r="M179" s="283" t="s">
        <v>926</v>
      </c>
      <c r="N179" s="59" t="str">
        <f t="shared" si="122"/>
        <v>ninguno</v>
      </c>
      <c r="O179" s="280">
        <f>VLOOKUP(M179,LISTAITEMS,5,FALSE)</f>
        <v>0</v>
      </c>
      <c r="P179" s="282">
        <v>0</v>
      </c>
      <c r="Q179" s="283" t="s">
        <v>926</v>
      </c>
      <c r="R179" s="59" t="str">
        <f t="shared" si="123"/>
        <v>ninguno</v>
      </c>
      <c r="S179" s="280">
        <f>VLOOKUP(Q179,LISTAITEMS,5,FALSE)</f>
        <v>0</v>
      </c>
      <c r="T179" s="282">
        <v>0</v>
      </c>
      <c r="U179" s="283" t="s">
        <v>926</v>
      </c>
      <c r="V179" s="59" t="str">
        <f t="shared" si="124"/>
        <v>ninguno</v>
      </c>
      <c r="W179" s="280">
        <f>VLOOKUP(U179,LISTAITEMS,5,FALSE)</f>
        <v>0</v>
      </c>
    </row>
    <row r="180" spans="1:23" s="296" customFormat="1" x14ac:dyDescent="0.25">
      <c r="A180" s="284" t="s">
        <v>1220</v>
      </c>
      <c r="B180" s="284"/>
      <c r="C180" s="279">
        <f>((D180*G180)+(K180*H180)+(O180*L180)+(S180*P180)+(W180*T180))</f>
        <v>2368</v>
      </c>
      <c r="D180" s="282">
        <v>64</v>
      </c>
      <c r="E180" s="283" t="s">
        <v>495</v>
      </c>
      <c r="F180" s="59" t="str">
        <f t="shared" ref="F180" si="125">VLOOKUP(E180,LISTAITEMS,2,FALSE)</f>
        <v>Dark Oak Log</v>
      </c>
      <c r="G180" s="280">
        <f>VLOOKUP(E180,LISTAITEMS,5,FALSE)</f>
        <v>37</v>
      </c>
      <c r="H180" s="282">
        <v>0</v>
      </c>
      <c r="I180" s="283" t="s">
        <v>926</v>
      </c>
      <c r="J180" s="59" t="str">
        <f t="shared" ref="J180" si="126">VLOOKUP(I180,LISTAITEMS,2,FALSE)</f>
        <v>ninguno</v>
      </c>
      <c r="K180" s="280">
        <f>VLOOKUP(I180,LISTAITEMS,5,FALSE)</f>
        <v>0</v>
      </c>
      <c r="L180" s="282">
        <v>0</v>
      </c>
      <c r="M180" s="283" t="s">
        <v>926</v>
      </c>
      <c r="N180" s="59" t="str">
        <f t="shared" ref="N180" si="127">VLOOKUP(M180,LISTAITEMS,2,FALSE)</f>
        <v>ninguno</v>
      </c>
      <c r="O180" s="280">
        <f>VLOOKUP(M180,LISTAITEMS,5,FALSE)</f>
        <v>0</v>
      </c>
      <c r="P180" s="282">
        <v>0</v>
      </c>
      <c r="Q180" s="283" t="s">
        <v>926</v>
      </c>
      <c r="R180" s="59" t="str">
        <f t="shared" ref="R180" si="128">VLOOKUP(Q180,LISTAITEMS,2,FALSE)</f>
        <v>ninguno</v>
      </c>
      <c r="S180" s="280">
        <f>VLOOKUP(Q180,LISTAITEMS,5,FALSE)</f>
        <v>0</v>
      </c>
      <c r="T180" s="282">
        <v>0</v>
      </c>
      <c r="U180" s="283" t="s">
        <v>926</v>
      </c>
      <c r="V180" s="59" t="str">
        <f t="shared" ref="V180" si="129">VLOOKUP(U180,LISTAITEMS,2,FALSE)</f>
        <v>ninguno</v>
      </c>
      <c r="W180" s="280">
        <f>VLOOKUP(U180,LISTAITEMS,5,FALSE)</f>
        <v>0</v>
      </c>
    </row>
    <row r="181" spans="1:23" x14ac:dyDescent="0.25">
      <c r="A181" s="277" t="s">
        <v>1142</v>
      </c>
      <c r="B181" s="277"/>
      <c r="C181" s="277"/>
      <c r="D181" s="277"/>
      <c r="E181" s="277"/>
      <c r="F181" s="277"/>
      <c r="G181" s="277"/>
      <c r="H181" s="277"/>
      <c r="I181" s="277"/>
      <c r="J181" s="277"/>
      <c r="K181" s="277"/>
      <c r="L181" s="277"/>
      <c r="M181" s="277"/>
      <c r="N181" s="277"/>
      <c r="O181" s="277"/>
      <c r="P181" s="277"/>
      <c r="Q181" s="277"/>
      <c r="R181" s="277"/>
      <c r="S181" s="277"/>
      <c r="T181" s="277"/>
      <c r="U181" s="277"/>
      <c r="V181" s="277"/>
      <c r="W181" s="277"/>
    </row>
    <row r="182" spans="1:23" x14ac:dyDescent="0.25">
      <c r="A182" s="277"/>
      <c r="B182" s="277"/>
      <c r="C182" s="277"/>
      <c r="D182" s="277"/>
      <c r="E182" s="277"/>
      <c r="F182" s="277"/>
      <c r="G182" s="277"/>
      <c r="H182" s="277"/>
      <c r="I182" s="277"/>
      <c r="J182" s="277"/>
      <c r="K182" s="277"/>
      <c r="L182" s="277"/>
      <c r="M182" s="277"/>
      <c r="N182" s="277"/>
      <c r="O182" s="277"/>
      <c r="P182" s="277"/>
      <c r="Q182" s="277"/>
      <c r="R182" s="277"/>
      <c r="S182" s="277"/>
      <c r="T182" s="277"/>
      <c r="U182" s="277"/>
      <c r="V182" s="277"/>
      <c r="W182" s="277"/>
    </row>
    <row r="183" spans="1:23" x14ac:dyDescent="0.25">
      <c r="A183" s="286"/>
      <c r="B183" s="286" t="s">
        <v>1010</v>
      </c>
      <c r="C183" s="286"/>
      <c r="D183" s="286"/>
      <c r="E183" s="286"/>
      <c r="F183" s="286"/>
      <c r="G183" s="286"/>
      <c r="H183" s="286"/>
      <c r="I183" s="286"/>
      <c r="J183" s="286"/>
      <c r="K183" s="286"/>
      <c r="L183" s="286"/>
      <c r="M183" s="286"/>
      <c r="N183" s="286"/>
      <c r="O183" s="286"/>
      <c r="P183" s="286"/>
      <c r="Q183" s="286"/>
      <c r="R183" s="286"/>
      <c r="S183" s="286"/>
      <c r="T183" s="286"/>
      <c r="U183" s="286"/>
      <c r="V183" s="286"/>
      <c r="W183" s="286"/>
    </row>
    <row r="184" spans="1:23" x14ac:dyDescent="0.25">
      <c r="A184" s="278"/>
      <c r="B184" s="278" t="s">
        <v>203</v>
      </c>
      <c r="C184" s="281" t="s">
        <v>202</v>
      </c>
      <c r="D184" s="285" t="s">
        <v>149</v>
      </c>
      <c r="E184" s="285" t="s">
        <v>1164</v>
      </c>
      <c r="F184" s="281" t="s">
        <v>203</v>
      </c>
      <c r="G184" s="285" t="s">
        <v>1169</v>
      </c>
      <c r="H184" s="285" t="s">
        <v>149</v>
      </c>
      <c r="I184" s="285" t="s">
        <v>1165</v>
      </c>
      <c r="J184" s="281" t="s">
        <v>203</v>
      </c>
      <c r="K184" s="285" t="s">
        <v>1169</v>
      </c>
      <c r="L184" s="285" t="s">
        <v>149</v>
      </c>
      <c r="M184" s="285" t="s">
        <v>1166</v>
      </c>
      <c r="N184" s="281" t="s">
        <v>203</v>
      </c>
      <c r="O184" s="285" t="s">
        <v>1169</v>
      </c>
      <c r="P184" s="285" t="s">
        <v>149</v>
      </c>
      <c r="Q184" s="285" t="s">
        <v>1167</v>
      </c>
      <c r="R184" s="281" t="s">
        <v>203</v>
      </c>
      <c r="S184" s="285" t="s">
        <v>1169</v>
      </c>
      <c r="T184" s="285" t="s">
        <v>149</v>
      </c>
      <c r="U184" s="285" t="s">
        <v>1168</v>
      </c>
      <c r="V184" s="281" t="s">
        <v>203</v>
      </c>
      <c r="W184" s="285" t="s">
        <v>1169</v>
      </c>
    </row>
    <row r="185" spans="1:23" x14ac:dyDescent="0.25">
      <c r="A185" s="284" t="s">
        <v>1163</v>
      </c>
      <c r="B185" s="284"/>
      <c r="C185" s="279">
        <f>((D185*G185)+(K185*H185)+(O185*L185)+(S185*P185)+(W185*T185))</f>
        <v>0</v>
      </c>
      <c r="D185" s="282">
        <v>0</v>
      </c>
      <c r="E185" s="283" t="s">
        <v>926</v>
      </c>
      <c r="F185" s="59" t="str">
        <f t="shared" ref="F185" si="130">VLOOKUP(E185,LISTAITEMS,2,FALSE)</f>
        <v>ninguno</v>
      </c>
      <c r="G185" s="280">
        <f>VLOOKUP(E185,LISTAITEMS,5,FALSE)</f>
        <v>0</v>
      </c>
      <c r="H185" s="282">
        <v>0</v>
      </c>
      <c r="I185" s="283" t="s">
        <v>926</v>
      </c>
      <c r="J185" s="59" t="str">
        <f t="shared" ref="J185" si="131">VLOOKUP(I185,LISTAITEMS,2,FALSE)</f>
        <v>ninguno</v>
      </c>
      <c r="K185" s="280">
        <f>VLOOKUP(I185,LISTAITEMS,5,FALSE)</f>
        <v>0</v>
      </c>
      <c r="L185" s="282">
        <v>0</v>
      </c>
      <c r="M185" s="283" t="s">
        <v>926</v>
      </c>
      <c r="N185" s="59" t="str">
        <f t="shared" ref="N185" si="132">VLOOKUP(M185,LISTAITEMS,2,FALSE)</f>
        <v>ninguno</v>
      </c>
      <c r="O185" s="280">
        <f>VLOOKUP(M185,LISTAITEMS,5,FALSE)</f>
        <v>0</v>
      </c>
      <c r="P185" s="282">
        <v>0</v>
      </c>
      <c r="Q185" s="283" t="s">
        <v>926</v>
      </c>
      <c r="R185" s="59" t="str">
        <f t="shared" ref="R185" si="133">VLOOKUP(Q185,LISTAITEMS,2,FALSE)</f>
        <v>ninguno</v>
      </c>
      <c r="S185" s="280">
        <f>VLOOKUP(Q185,LISTAITEMS,5,FALSE)</f>
        <v>0</v>
      </c>
      <c r="T185" s="282">
        <v>0</v>
      </c>
      <c r="U185" s="283" t="s">
        <v>926</v>
      </c>
      <c r="V185" s="59" t="str">
        <f t="shared" ref="V185" si="134">VLOOKUP(U185,LISTAITEMS,2,FALSE)</f>
        <v>ninguno</v>
      </c>
      <c r="W185" s="280">
        <f>VLOOKUP(U185,LISTAITEMS,5,FALSE)</f>
        <v>0</v>
      </c>
    </row>
    <row r="187" spans="1:23" s="275" customFormat="1" x14ac:dyDescent="0.25"/>
    <row r="188" spans="1:23" s="275" customFormat="1" x14ac:dyDescent="0.25">
      <c r="A188" s="277" t="s">
        <v>1134</v>
      </c>
      <c r="B188" s="277"/>
      <c r="C188" s="277"/>
      <c r="D188" s="277"/>
      <c r="E188" s="277"/>
      <c r="F188" s="277"/>
      <c r="G188" s="277"/>
      <c r="H188" s="277"/>
      <c r="I188" s="277"/>
      <c r="J188" s="277"/>
      <c r="K188" s="277"/>
      <c r="L188" s="277"/>
      <c r="M188" s="277"/>
      <c r="N188" s="277"/>
      <c r="O188" s="277"/>
      <c r="P188" s="277"/>
      <c r="Q188" s="277"/>
      <c r="R188" s="277"/>
      <c r="S188" s="277"/>
      <c r="T188" s="277"/>
      <c r="U188" s="277"/>
      <c r="V188" s="277"/>
      <c r="W188" s="277"/>
    </row>
    <row r="189" spans="1:23" s="275" customFormat="1" x14ac:dyDescent="0.25">
      <c r="A189" s="277"/>
      <c r="B189" s="277"/>
      <c r="C189" s="277"/>
      <c r="D189" s="277"/>
      <c r="E189" s="277"/>
      <c r="F189" s="277"/>
      <c r="G189" s="277"/>
      <c r="H189" s="277"/>
      <c r="I189" s="277"/>
      <c r="J189" s="277"/>
      <c r="K189" s="277"/>
      <c r="L189" s="277"/>
      <c r="M189" s="277"/>
      <c r="N189" s="277"/>
      <c r="O189" s="277"/>
      <c r="P189" s="277"/>
      <c r="Q189" s="277"/>
      <c r="R189" s="277"/>
      <c r="S189" s="277"/>
      <c r="T189" s="277"/>
      <c r="U189" s="277"/>
      <c r="V189" s="277"/>
      <c r="W189" s="277"/>
    </row>
    <row r="190" spans="1:23" s="275" customFormat="1" x14ac:dyDescent="0.25">
      <c r="A190" s="286"/>
      <c r="B190" s="286" t="s">
        <v>1010</v>
      </c>
      <c r="C190" s="286"/>
      <c r="D190" s="286"/>
      <c r="E190" s="286"/>
      <c r="F190" s="286"/>
      <c r="G190" s="286"/>
      <c r="H190" s="286"/>
      <c r="I190" s="286"/>
      <c r="J190" s="286"/>
      <c r="K190" s="286"/>
      <c r="L190" s="286"/>
      <c r="M190" s="286"/>
      <c r="N190" s="286"/>
      <c r="O190" s="286"/>
      <c r="P190" s="286"/>
      <c r="Q190" s="286"/>
      <c r="R190" s="286"/>
      <c r="S190" s="286"/>
      <c r="T190" s="286"/>
      <c r="U190" s="286"/>
      <c r="V190" s="286"/>
      <c r="W190" s="286"/>
    </row>
    <row r="191" spans="1:23" s="275" customFormat="1" x14ac:dyDescent="0.25">
      <c r="A191" s="278"/>
      <c r="B191" s="278" t="s">
        <v>203</v>
      </c>
      <c r="C191" s="281" t="s">
        <v>202</v>
      </c>
      <c r="D191" s="285" t="s">
        <v>149</v>
      </c>
      <c r="E191" s="285" t="s">
        <v>1164</v>
      </c>
      <c r="F191" s="281" t="s">
        <v>203</v>
      </c>
      <c r="G191" s="285" t="s">
        <v>1169</v>
      </c>
      <c r="H191" s="285" t="s">
        <v>149</v>
      </c>
      <c r="I191" s="285" t="s">
        <v>1165</v>
      </c>
      <c r="J191" s="281" t="s">
        <v>203</v>
      </c>
      <c r="K191" s="285" t="s">
        <v>1169</v>
      </c>
      <c r="L191" s="285" t="s">
        <v>149</v>
      </c>
      <c r="M191" s="285" t="s">
        <v>1166</v>
      </c>
      <c r="N191" s="281" t="s">
        <v>203</v>
      </c>
      <c r="O191" s="285" t="s">
        <v>1169</v>
      </c>
      <c r="P191" s="285" t="s">
        <v>149</v>
      </c>
      <c r="Q191" s="285" t="s">
        <v>1167</v>
      </c>
      <c r="R191" s="281" t="s">
        <v>203</v>
      </c>
      <c r="S191" s="285" t="s">
        <v>1169</v>
      </c>
      <c r="T191" s="285" t="s">
        <v>149</v>
      </c>
      <c r="U191" s="285" t="s">
        <v>1168</v>
      </c>
      <c r="V191" s="281" t="s">
        <v>203</v>
      </c>
      <c r="W191" s="285" t="s">
        <v>1169</v>
      </c>
    </row>
    <row r="192" spans="1:23" x14ac:dyDescent="0.25">
      <c r="A192" s="284" t="s">
        <v>1163</v>
      </c>
      <c r="B192" s="284"/>
      <c r="C192" s="279">
        <f>((D192*G192)+(K192*H192)+(O192*L192)+(S192*P192)+(W192*T192))</f>
        <v>0</v>
      </c>
      <c r="D192" s="282">
        <v>0</v>
      </c>
      <c r="E192" s="283" t="s">
        <v>926</v>
      </c>
      <c r="F192" s="59" t="str">
        <f t="shared" ref="F192" si="135">VLOOKUP(E192,LISTAITEMS,2,FALSE)</f>
        <v>ninguno</v>
      </c>
      <c r="G192" s="280">
        <f>VLOOKUP(E192,LISTAITEMS,5,FALSE)</f>
        <v>0</v>
      </c>
      <c r="H192" s="282">
        <v>0</v>
      </c>
      <c r="I192" s="283" t="s">
        <v>926</v>
      </c>
      <c r="J192" s="59" t="str">
        <f t="shared" ref="J192" si="136">VLOOKUP(I192,LISTAITEMS,2,FALSE)</f>
        <v>ninguno</v>
      </c>
      <c r="K192" s="280">
        <f>VLOOKUP(I192,LISTAITEMS,5,FALSE)</f>
        <v>0</v>
      </c>
      <c r="L192" s="282">
        <v>0</v>
      </c>
      <c r="M192" s="283" t="s">
        <v>926</v>
      </c>
      <c r="N192" s="59" t="str">
        <f t="shared" ref="N192" si="137">VLOOKUP(M192,LISTAITEMS,2,FALSE)</f>
        <v>ninguno</v>
      </c>
      <c r="O192" s="280">
        <f>VLOOKUP(M192,LISTAITEMS,5,FALSE)</f>
        <v>0</v>
      </c>
      <c r="P192" s="282">
        <v>0</v>
      </c>
      <c r="Q192" s="283" t="s">
        <v>926</v>
      </c>
      <c r="R192" s="59" t="str">
        <f t="shared" ref="R192" si="138">VLOOKUP(Q192,LISTAITEMS,2,FALSE)</f>
        <v>ninguno</v>
      </c>
      <c r="S192" s="280">
        <f>VLOOKUP(Q192,LISTAITEMS,5,FALSE)</f>
        <v>0</v>
      </c>
      <c r="T192" s="282">
        <v>0</v>
      </c>
      <c r="U192" s="283" t="s">
        <v>926</v>
      </c>
      <c r="V192" s="59" t="str">
        <f t="shared" ref="V192" si="139">VLOOKUP(U192,LISTAITEMS,2,FALSE)</f>
        <v>ninguno</v>
      </c>
      <c r="W192" s="280">
        <f>VLOOKUP(U192,LISTAITEMS,5,FALSE)</f>
        <v>0</v>
      </c>
    </row>
    <row r="195" spans="1:23" x14ac:dyDescent="0.25">
      <c r="A195" s="277" t="s">
        <v>1135</v>
      </c>
      <c r="B195" s="277"/>
      <c r="C195" s="277"/>
      <c r="D195" s="277"/>
      <c r="E195" s="277"/>
      <c r="F195" s="277"/>
      <c r="G195" s="277"/>
      <c r="H195" s="277"/>
      <c r="I195" s="277"/>
      <c r="J195" s="277"/>
      <c r="K195" s="277"/>
      <c r="L195" s="277"/>
      <c r="M195" s="277"/>
      <c r="N195" s="277"/>
      <c r="O195" s="277"/>
      <c r="P195" s="277"/>
      <c r="Q195" s="277"/>
      <c r="R195" s="277"/>
      <c r="S195" s="277"/>
      <c r="T195" s="277"/>
      <c r="U195" s="277"/>
      <c r="V195" s="277"/>
      <c r="W195" s="277"/>
    </row>
    <row r="196" spans="1:23" x14ac:dyDescent="0.25">
      <c r="A196" s="277"/>
      <c r="B196" s="277"/>
      <c r="C196" s="277"/>
      <c r="D196" s="277"/>
      <c r="E196" s="277"/>
      <c r="F196" s="277"/>
      <c r="G196" s="277"/>
      <c r="H196" s="277"/>
      <c r="I196" s="277"/>
      <c r="J196" s="277"/>
      <c r="K196" s="277"/>
      <c r="L196" s="277"/>
      <c r="M196" s="277"/>
      <c r="N196" s="277"/>
      <c r="O196" s="277"/>
      <c r="P196" s="277"/>
      <c r="Q196" s="277"/>
      <c r="R196" s="277"/>
      <c r="S196" s="277"/>
      <c r="T196" s="277"/>
      <c r="U196" s="277"/>
      <c r="V196" s="277"/>
      <c r="W196" s="277"/>
    </row>
    <row r="197" spans="1:23" x14ac:dyDescent="0.25">
      <c r="A197" s="286"/>
      <c r="B197" s="286" t="s">
        <v>1010</v>
      </c>
      <c r="C197" s="286"/>
      <c r="D197" s="286"/>
      <c r="E197" s="286"/>
      <c r="F197" s="286"/>
      <c r="G197" s="286"/>
      <c r="H197" s="286"/>
      <c r="I197" s="286"/>
      <c r="J197" s="286"/>
      <c r="K197" s="286"/>
      <c r="L197" s="286"/>
      <c r="M197" s="286"/>
      <c r="N197" s="286"/>
      <c r="O197" s="286"/>
      <c r="P197" s="286"/>
      <c r="Q197" s="286"/>
      <c r="R197" s="286"/>
      <c r="S197" s="286"/>
      <c r="T197" s="286"/>
      <c r="U197" s="286"/>
      <c r="V197" s="286"/>
      <c r="W197" s="286"/>
    </row>
    <row r="198" spans="1:23" x14ac:dyDescent="0.25">
      <c r="A198" s="278"/>
      <c r="B198" s="278" t="s">
        <v>203</v>
      </c>
      <c r="C198" s="281" t="s">
        <v>202</v>
      </c>
      <c r="D198" s="285" t="s">
        <v>149</v>
      </c>
      <c r="E198" s="285" t="s">
        <v>1164</v>
      </c>
      <c r="F198" s="281" t="s">
        <v>203</v>
      </c>
      <c r="G198" s="285" t="s">
        <v>1169</v>
      </c>
      <c r="H198" s="285" t="s">
        <v>149</v>
      </c>
      <c r="I198" s="285" t="s">
        <v>1165</v>
      </c>
      <c r="J198" s="281" t="s">
        <v>203</v>
      </c>
      <c r="K198" s="285" t="s">
        <v>1169</v>
      </c>
      <c r="L198" s="285" t="s">
        <v>149</v>
      </c>
      <c r="M198" s="285" t="s">
        <v>1166</v>
      </c>
      <c r="N198" s="281" t="s">
        <v>203</v>
      </c>
      <c r="O198" s="285" t="s">
        <v>1169</v>
      </c>
      <c r="P198" s="285" t="s">
        <v>149</v>
      </c>
      <c r="Q198" s="285" t="s">
        <v>1167</v>
      </c>
      <c r="R198" s="281" t="s">
        <v>203</v>
      </c>
      <c r="S198" s="285" t="s">
        <v>1169</v>
      </c>
      <c r="T198" s="285" t="s">
        <v>149</v>
      </c>
      <c r="U198" s="285" t="s">
        <v>1168</v>
      </c>
      <c r="V198" s="281" t="s">
        <v>203</v>
      </c>
      <c r="W198" s="285" t="s">
        <v>1169</v>
      </c>
    </row>
    <row r="199" spans="1:23" x14ac:dyDescent="0.25">
      <c r="A199" s="284" t="s">
        <v>1163</v>
      </c>
      <c r="B199" s="284"/>
      <c r="C199" s="279">
        <f>((D199*G199)+(K199*H199)+(O199*L199)+(S199*P199)+(W199*T199))</f>
        <v>0</v>
      </c>
      <c r="D199" s="282">
        <v>0</v>
      </c>
      <c r="E199" s="283" t="s">
        <v>926</v>
      </c>
      <c r="F199" s="59" t="str">
        <f t="shared" ref="F199" si="140">VLOOKUP(E199,LISTAITEMS,2,FALSE)</f>
        <v>ninguno</v>
      </c>
      <c r="G199" s="280">
        <f>VLOOKUP(E199,LISTAITEMS,5,FALSE)</f>
        <v>0</v>
      </c>
      <c r="H199" s="282">
        <v>0</v>
      </c>
      <c r="I199" s="283" t="s">
        <v>926</v>
      </c>
      <c r="J199" s="59" t="str">
        <f t="shared" ref="J199" si="141">VLOOKUP(I199,LISTAITEMS,2,FALSE)</f>
        <v>ninguno</v>
      </c>
      <c r="K199" s="280">
        <f>VLOOKUP(I199,LISTAITEMS,5,FALSE)</f>
        <v>0</v>
      </c>
      <c r="L199" s="282">
        <v>0</v>
      </c>
      <c r="M199" s="283" t="s">
        <v>926</v>
      </c>
      <c r="N199" s="59" t="str">
        <f t="shared" ref="N199" si="142">VLOOKUP(M199,LISTAITEMS,2,FALSE)</f>
        <v>ninguno</v>
      </c>
      <c r="O199" s="280">
        <f>VLOOKUP(M199,LISTAITEMS,5,FALSE)</f>
        <v>0</v>
      </c>
      <c r="P199" s="282">
        <v>0</v>
      </c>
      <c r="Q199" s="283" t="s">
        <v>926</v>
      </c>
      <c r="R199" s="59" t="str">
        <f t="shared" ref="R199" si="143">VLOOKUP(Q199,LISTAITEMS,2,FALSE)</f>
        <v>ninguno</v>
      </c>
      <c r="S199" s="280">
        <f>VLOOKUP(Q199,LISTAITEMS,5,FALSE)</f>
        <v>0</v>
      </c>
      <c r="T199" s="282">
        <v>0</v>
      </c>
      <c r="U199" s="283" t="s">
        <v>926</v>
      </c>
      <c r="V199" s="59" t="str">
        <f t="shared" ref="V199" si="144">VLOOKUP(U199,LISTAITEMS,2,FALSE)</f>
        <v>ninguno</v>
      </c>
      <c r="W199" s="280">
        <f>VLOOKUP(U199,LISTAITEMS,5,FALSE)</f>
        <v>0</v>
      </c>
    </row>
    <row r="203" spans="1:23" x14ac:dyDescent="0.25">
      <c r="A203" s="277" t="s">
        <v>1137</v>
      </c>
      <c r="B203" s="277"/>
      <c r="C203" s="277"/>
      <c r="D203" s="277"/>
      <c r="E203" s="277"/>
      <c r="F203" s="277"/>
      <c r="G203" s="277"/>
      <c r="H203" s="277"/>
      <c r="I203" s="277"/>
      <c r="J203" s="277"/>
      <c r="K203" s="277"/>
      <c r="L203" s="277"/>
      <c r="M203" s="277"/>
      <c r="N203" s="277"/>
      <c r="O203" s="277"/>
      <c r="P203" s="277"/>
      <c r="Q203" s="277"/>
      <c r="R203" s="277"/>
      <c r="S203" s="277"/>
      <c r="T203" s="277"/>
      <c r="U203" s="277"/>
      <c r="V203" s="277"/>
      <c r="W203" s="277"/>
    </row>
    <row r="204" spans="1:23" x14ac:dyDescent="0.25">
      <c r="A204" s="277"/>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86"/>
      <c r="B205" s="286" t="s">
        <v>1010</v>
      </c>
      <c r="C205" s="286"/>
      <c r="D205" s="286"/>
      <c r="E205" s="286"/>
      <c r="F205" s="286"/>
      <c r="G205" s="286"/>
      <c r="H205" s="286"/>
      <c r="I205" s="286"/>
      <c r="J205" s="286"/>
      <c r="K205" s="286"/>
      <c r="L205" s="286"/>
      <c r="M205" s="286"/>
      <c r="N205" s="286"/>
      <c r="O205" s="286"/>
      <c r="P205" s="286"/>
      <c r="Q205" s="286"/>
      <c r="R205" s="286"/>
      <c r="S205" s="286"/>
      <c r="T205" s="286"/>
      <c r="U205" s="286"/>
      <c r="V205" s="286"/>
      <c r="W205" s="286"/>
    </row>
    <row r="206" spans="1:23" x14ac:dyDescent="0.25">
      <c r="A206" s="278"/>
      <c r="B206" s="278" t="s">
        <v>203</v>
      </c>
      <c r="C206" s="281" t="s">
        <v>202</v>
      </c>
      <c r="D206" s="285" t="s">
        <v>149</v>
      </c>
      <c r="E206" s="285" t="s">
        <v>1164</v>
      </c>
      <c r="F206" s="281" t="s">
        <v>203</v>
      </c>
      <c r="G206" s="285" t="s">
        <v>1169</v>
      </c>
      <c r="H206" s="285" t="s">
        <v>149</v>
      </c>
      <c r="I206" s="285" t="s">
        <v>1165</v>
      </c>
      <c r="J206" s="281" t="s">
        <v>203</v>
      </c>
      <c r="K206" s="285" t="s">
        <v>1169</v>
      </c>
      <c r="L206" s="285" t="s">
        <v>149</v>
      </c>
      <c r="M206" s="285" t="s">
        <v>1166</v>
      </c>
      <c r="N206" s="281" t="s">
        <v>203</v>
      </c>
      <c r="O206" s="285" t="s">
        <v>1169</v>
      </c>
      <c r="P206" s="285" t="s">
        <v>149</v>
      </c>
      <c r="Q206" s="285" t="s">
        <v>1167</v>
      </c>
      <c r="R206" s="281" t="s">
        <v>203</v>
      </c>
      <c r="S206" s="285" t="s">
        <v>1169</v>
      </c>
      <c r="T206" s="285" t="s">
        <v>149</v>
      </c>
      <c r="U206" s="285" t="s">
        <v>1168</v>
      </c>
      <c r="V206" s="281" t="s">
        <v>203</v>
      </c>
      <c r="W206" s="285" t="s">
        <v>1169</v>
      </c>
    </row>
    <row r="207" spans="1:23" x14ac:dyDescent="0.25">
      <c r="A207" s="284" t="s">
        <v>1163</v>
      </c>
      <c r="B207" s="284"/>
      <c r="C207" s="279">
        <f>((D207*G207)+(K207*H207)+(O207*L207)+(S207*P207)+(W207*T207))</f>
        <v>0</v>
      </c>
      <c r="D207" s="282">
        <v>0</v>
      </c>
      <c r="E207" s="283" t="s">
        <v>926</v>
      </c>
      <c r="F207" s="59" t="str">
        <f t="shared" ref="F207" si="145">VLOOKUP(E207,LISTAITEMS,2,FALSE)</f>
        <v>ninguno</v>
      </c>
      <c r="G207" s="280">
        <f>VLOOKUP(E207,LISTAITEMS,5,FALSE)</f>
        <v>0</v>
      </c>
      <c r="H207" s="282">
        <v>0</v>
      </c>
      <c r="I207" s="283" t="s">
        <v>926</v>
      </c>
      <c r="J207" s="59" t="str">
        <f t="shared" ref="J207" si="146">VLOOKUP(I207,LISTAITEMS,2,FALSE)</f>
        <v>ninguno</v>
      </c>
      <c r="K207" s="280">
        <f>VLOOKUP(I207,LISTAITEMS,5,FALSE)</f>
        <v>0</v>
      </c>
      <c r="L207" s="282">
        <v>0</v>
      </c>
      <c r="M207" s="283" t="s">
        <v>926</v>
      </c>
      <c r="N207" s="59" t="str">
        <f t="shared" ref="N207" si="147">VLOOKUP(M207,LISTAITEMS,2,FALSE)</f>
        <v>ninguno</v>
      </c>
      <c r="O207" s="280">
        <f>VLOOKUP(M207,LISTAITEMS,5,FALSE)</f>
        <v>0</v>
      </c>
      <c r="P207" s="282">
        <v>0</v>
      </c>
      <c r="Q207" s="283" t="s">
        <v>926</v>
      </c>
      <c r="R207" s="59" t="str">
        <f t="shared" ref="R207" si="148">VLOOKUP(Q207,LISTAITEMS,2,FALSE)</f>
        <v>ninguno</v>
      </c>
      <c r="S207" s="280">
        <f>VLOOKUP(Q207,LISTAITEMS,5,FALSE)</f>
        <v>0</v>
      </c>
      <c r="T207" s="282">
        <v>0</v>
      </c>
      <c r="U207" s="283" t="s">
        <v>926</v>
      </c>
      <c r="V207" s="59" t="str">
        <f t="shared" ref="V207" si="149">VLOOKUP(U207,LISTAITEMS,2,FALSE)</f>
        <v>ninguno</v>
      </c>
      <c r="W207" s="280">
        <f>VLOOKUP(U207,LISTAITEMS,5,FALSE)</f>
        <v>0</v>
      </c>
    </row>
    <row r="210" spans="1:23" x14ac:dyDescent="0.25">
      <c r="A210" s="277" t="s">
        <v>1153</v>
      </c>
      <c r="B210" s="277"/>
      <c r="C210" s="277"/>
      <c r="D210" s="277"/>
      <c r="E210" s="277"/>
      <c r="F210" s="277"/>
      <c r="G210" s="277"/>
      <c r="H210" s="277"/>
      <c r="I210" s="277"/>
      <c r="J210" s="277"/>
      <c r="K210" s="277"/>
      <c r="L210" s="277"/>
      <c r="M210" s="277"/>
      <c r="N210" s="277"/>
      <c r="O210" s="277"/>
      <c r="P210" s="277"/>
      <c r="Q210" s="277"/>
      <c r="R210" s="277"/>
      <c r="S210" s="277"/>
      <c r="T210" s="277"/>
      <c r="U210" s="277"/>
      <c r="V210" s="277"/>
      <c r="W210" s="277"/>
    </row>
    <row r="211" spans="1:23" x14ac:dyDescent="0.25">
      <c r="A211" s="277"/>
      <c r="B211" s="277"/>
      <c r="C211" s="277"/>
      <c r="D211" s="277"/>
      <c r="E211" s="277"/>
      <c r="F211" s="277"/>
      <c r="G211" s="277"/>
      <c r="H211" s="277"/>
      <c r="I211" s="277"/>
      <c r="J211" s="277"/>
      <c r="K211" s="277"/>
      <c r="L211" s="277"/>
      <c r="M211" s="277"/>
      <c r="N211" s="277"/>
      <c r="O211" s="277"/>
      <c r="P211" s="277"/>
      <c r="Q211" s="277"/>
      <c r="R211" s="277"/>
      <c r="S211" s="277"/>
      <c r="T211" s="277"/>
      <c r="U211" s="277"/>
      <c r="V211" s="277"/>
      <c r="W211" s="277"/>
    </row>
    <row r="212" spans="1:23" x14ac:dyDescent="0.25">
      <c r="A212" s="286"/>
      <c r="B212" s="286" t="s">
        <v>1010</v>
      </c>
      <c r="C212" s="286"/>
      <c r="D212" s="286"/>
      <c r="E212" s="286"/>
      <c r="F212" s="286"/>
      <c r="G212" s="286"/>
      <c r="H212" s="286"/>
      <c r="I212" s="286"/>
      <c r="J212" s="286"/>
      <c r="K212" s="286"/>
      <c r="L212" s="286"/>
      <c r="M212" s="286"/>
      <c r="N212" s="286"/>
      <c r="O212" s="286"/>
      <c r="P212" s="286"/>
      <c r="Q212" s="286"/>
      <c r="R212" s="286"/>
      <c r="S212" s="286"/>
      <c r="T212" s="286"/>
      <c r="U212" s="286"/>
      <c r="V212" s="286"/>
      <c r="W212" s="286"/>
    </row>
    <row r="213" spans="1:23" x14ac:dyDescent="0.25">
      <c r="A213" s="278"/>
      <c r="B213" s="278" t="s">
        <v>203</v>
      </c>
      <c r="C213" s="281" t="s">
        <v>202</v>
      </c>
      <c r="D213" s="285" t="s">
        <v>149</v>
      </c>
      <c r="E213" s="285" t="s">
        <v>1164</v>
      </c>
      <c r="F213" s="281" t="s">
        <v>203</v>
      </c>
      <c r="G213" s="285" t="s">
        <v>1169</v>
      </c>
      <c r="H213" s="285" t="s">
        <v>149</v>
      </c>
      <c r="I213" s="285" t="s">
        <v>1165</v>
      </c>
      <c r="J213" s="281" t="s">
        <v>203</v>
      </c>
      <c r="K213" s="285" t="s">
        <v>1169</v>
      </c>
      <c r="L213" s="285" t="s">
        <v>149</v>
      </c>
      <c r="M213" s="285" t="s">
        <v>1166</v>
      </c>
      <c r="N213" s="281" t="s">
        <v>203</v>
      </c>
      <c r="O213" s="285" t="s">
        <v>1169</v>
      </c>
      <c r="P213" s="285" t="s">
        <v>149</v>
      </c>
      <c r="Q213" s="285" t="s">
        <v>1167</v>
      </c>
      <c r="R213" s="281" t="s">
        <v>203</v>
      </c>
      <c r="S213" s="285" t="s">
        <v>1169</v>
      </c>
      <c r="T213" s="285" t="s">
        <v>149</v>
      </c>
      <c r="U213" s="285" t="s">
        <v>1168</v>
      </c>
      <c r="V213" s="281" t="s">
        <v>203</v>
      </c>
      <c r="W213" s="285" t="s">
        <v>1169</v>
      </c>
    </row>
    <row r="214" spans="1:23" x14ac:dyDescent="0.25">
      <c r="A214" s="284" t="s">
        <v>1163</v>
      </c>
      <c r="B214" s="284"/>
      <c r="C214" s="279">
        <f>((D214*G214)+(K214*H214)+(O214*L214)+(S214*P214)+(W214*T214))</f>
        <v>0</v>
      </c>
      <c r="D214" s="282">
        <v>0</v>
      </c>
      <c r="E214" s="283" t="s">
        <v>926</v>
      </c>
      <c r="F214" s="59" t="str">
        <f t="shared" ref="F214" si="150">VLOOKUP(E214,LISTAITEMS,2,FALSE)</f>
        <v>ninguno</v>
      </c>
      <c r="G214" s="280">
        <f>VLOOKUP(E214,LISTAITEMS,5,FALSE)</f>
        <v>0</v>
      </c>
      <c r="H214" s="282">
        <v>0</v>
      </c>
      <c r="I214" s="283" t="s">
        <v>926</v>
      </c>
      <c r="J214" s="59" t="str">
        <f t="shared" ref="J214" si="151">VLOOKUP(I214,LISTAITEMS,2,FALSE)</f>
        <v>ninguno</v>
      </c>
      <c r="K214" s="280">
        <f>VLOOKUP(I214,LISTAITEMS,5,FALSE)</f>
        <v>0</v>
      </c>
      <c r="L214" s="282">
        <v>0</v>
      </c>
      <c r="M214" s="283" t="s">
        <v>926</v>
      </c>
      <c r="N214" s="59" t="str">
        <f t="shared" ref="N214" si="152">VLOOKUP(M214,LISTAITEMS,2,FALSE)</f>
        <v>ninguno</v>
      </c>
      <c r="O214" s="280">
        <f>VLOOKUP(M214,LISTAITEMS,5,FALSE)</f>
        <v>0</v>
      </c>
      <c r="P214" s="282">
        <v>0</v>
      </c>
      <c r="Q214" s="283" t="s">
        <v>926</v>
      </c>
      <c r="R214" s="59" t="str">
        <f t="shared" ref="R214" si="153">VLOOKUP(Q214,LISTAITEMS,2,FALSE)</f>
        <v>ninguno</v>
      </c>
      <c r="S214" s="280">
        <f>VLOOKUP(Q214,LISTAITEMS,5,FALSE)</f>
        <v>0</v>
      </c>
      <c r="T214" s="282">
        <v>0</v>
      </c>
      <c r="U214" s="283" t="s">
        <v>926</v>
      </c>
      <c r="V214" s="59" t="str">
        <f t="shared" ref="V214" si="154">VLOOKUP(U214,LISTAITEMS,2,FALSE)</f>
        <v>ninguno</v>
      </c>
      <c r="W214" s="280">
        <f>VLOOKUP(U214,LISTAITEMS,5,FALSE)</f>
        <v>0</v>
      </c>
    </row>
    <row r="218" spans="1:23" x14ac:dyDescent="0.25">
      <c r="A218" s="277" t="s">
        <v>1154</v>
      </c>
      <c r="B218" s="277"/>
      <c r="C218" s="277"/>
      <c r="D218" s="277"/>
      <c r="E218" s="277"/>
      <c r="F218" s="277"/>
      <c r="G218" s="277"/>
      <c r="H218" s="277"/>
      <c r="I218" s="277"/>
      <c r="J218" s="277"/>
      <c r="K218" s="277"/>
      <c r="L218" s="277"/>
      <c r="M218" s="277"/>
      <c r="N218" s="277"/>
      <c r="O218" s="277"/>
      <c r="P218" s="277"/>
      <c r="Q218" s="277"/>
      <c r="R218" s="277"/>
      <c r="S218" s="277"/>
      <c r="T218" s="277"/>
      <c r="U218" s="277"/>
      <c r="V218" s="277"/>
      <c r="W218" s="277"/>
    </row>
    <row r="219" spans="1:23" x14ac:dyDescent="0.25">
      <c r="A219" s="277"/>
      <c r="B219" s="277"/>
      <c r="C219" s="277"/>
      <c r="D219" s="277"/>
      <c r="E219" s="277"/>
      <c r="F219" s="277"/>
      <c r="G219" s="277"/>
      <c r="H219" s="277"/>
      <c r="I219" s="277"/>
      <c r="J219" s="277"/>
      <c r="K219" s="277"/>
      <c r="L219" s="277"/>
      <c r="M219" s="277"/>
      <c r="N219" s="277"/>
      <c r="O219" s="277"/>
      <c r="P219" s="277"/>
      <c r="Q219" s="277"/>
      <c r="R219" s="277"/>
      <c r="S219" s="277"/>
      <c r="T219" s="277"/>
      <c r="U219" s="277"/>
      <c r="V219" s="277"/>
      <c r="W219" s="277"/>
    </row>
    <row r="220" spans="1:23" x14ac:dyDescent="0.25">
      <c r="A220" s="286"/>
      <c r="B220" s="286" t="s">
        <v>1010</v>
      </c>
      <c r="C220" s="286"/>
      <c r="D220" s="286"/>
      <c r="E220" s="286"/>
      <c r="F220" s="286"/>
      <c r="G220" s="286"/>
      <c r="H220" s="286"/>
      <c r="I220" s="286"/>
      <c r="J220" s="286"/>
      <c r="K220" s="286"/>
      <c r="L220" s="286"/>
      <c r="M220" s="286"/>
      <c r="N220" s="286"/>
      <c r="O220" s="286"/>
      <c r="P220" s="286"/>
      <c r="Q220" s="286"/>
      <c r="R220" s="286"/>
      <c r="S220" s="286"/>
      <c r="T220" s="286"/>
      <c r="U220" s="286"/>
      <c r="V220" s="286"/>
      <c r="W220" s="286"/>
    </row>
    <row r="221" spans="1:23" x14ac:dyDescent="0.25">
      <c r="A221" s="278"/>
      <c r="B221" s="278" t="s">
        <v>203</v>
      </c>
      <c r="C221" s="281" t="s">
        <v>202</v>
      </c>
      <c r="D221" s="285" t="s">
        <v>149</v>
      </c>
      <c r="E221" s="285" t="s">
        <v>1164</v>
      </c>
      <c r="F221" s="281" t="s">
        <v>203</v>
      </c>
      <c r="G221" s="285" t="s">
        <v>1169</v>
      </c>
      <c r="H221" s="285" t="s">
        <v>149</v>
      </c>
      <c r="I221" s="285" t="s">
        <v>1165</v>
      </c>
      <c r="J221" s="281" t="s">
        <v>203</v>
      </c>
      <c r="K221" s="285" t="s">
        <v>1169</v>
      </c>
      <c r="L221" s="285" t="s">
        <v>149</v>
      </c>
      <c r="M221" s="285" t="s">
        <v>1166</v>
      </c>
      <c r="N221" s="281" t="s">
        <v>203</v>
      </c>
      <c r="O221" s="285" t="s">
        <v>1169</v>
      </c>
      <c r="P221" s="285" t="s">
        <v>149</v>
      </c>
      <c r="Q221" s="285" t="s">
        <v>1167</v>
      </c>
      <c r="R221" s="281" t="s">
        <v>203</v>
      </c>
      <c r="S221" s="285" t="s">
        <v>1169</v>
      </c>
      <c r="T221" s="285" t="s">
        <v>149</v>
      </c>
      <c r="U221" s="285" t="s">
        <v>1168</v>
      </c>
      <c r="V221" s="281" t="s">
        <v>203</v>
      </c>
      <c r="W221" s="285" t="s">
        <v>1169</v>
      </c>
    </row>
    <row r="222" spans="1:23" x14ac:dyDescent="0.25">
      <c r="A222" s="284" t="s">
        <v>1163</v>
      </c>
      <c r="B222" s="284"/>
      <c r="C222" s="279">
        <f>((D222*G222)+(K222*H222)+(O222*L222)+(S222*P222)+(W222*T222))</f>
        <v>0</v>
      </c>
      <c r="D222" s="282">
        <v>0</v>
      </c>
      <c r="E222" s="283" t="s">
        <v>926</v>
      </c>
      <c r="F222" s="59" t="str">
        <f t="shared" ref="F222" si="155">VLOOKUP(E222,LISTAITEMS,2,FALSE)</f>
        <v>ninguno</v>
      </c>
      <c r="G222" s="280">
        <f>VLOOKUP(E222,LISTAITEMS,5,FALSE)</f>
        <v>0</v>
      </c>
      <c r="H222" s="282">
        <v>0</v>
      </c>
      <c r="I222" s="283" t="s">
        <v>926</v>
      </c>
      <c r="J222" s="59" t="str">
        <f t="shared" ref="J222" si="156">VLOOKUP(I222,LISTAITEMS,2,FALSE)</f>
        <v>ninguno</v>
      </c>
      <c r="K222" s="280">
        <f>VLOOKUP(I222,LISTAITEMS,5,FALSE)</f>
        <v>0</v>
      </c>
      <c r="L222" s="282">
        <v>0</v>
      </c>
      <c r="M222" s="283" t="s">
        <v>926</v>
      </c>
      <c r="N222" s="59" t="str">
        <f t="shared" ref="N222" si="157">VLOOKUP(M222,LISTAITEMS,2,FALSE)</f>
        <v>ninguno</v>
      </c>
      <c r="O222" s="280">
        <f>VLOOKUP(M222,LISTAITEMS,5,FALSE)</f>
        <v>0</v>
      </c>
      <c r="P222" s="282">
        <v>0</v>
      </c>
      <c r="Q222" s="283" t="s">
        <v>926</v>
      </c>
      <c r="R222" s="59" t="str">
        <f t="shared" ref="R222" si="158">VLOOKUP(Q222,LISTAITEMS,2,FALSE)</f>
        <v>ninguno</v>
      </c>
      <c r="S222" s="280">
        <f>VLOOKUP(Q222,LISTAITEMS,5,FALSE)</f>
        <v>0</v>
      </c>
      <c r="T222" s="282">
        <v>0</v>
      </c>
      <c r="U222" s="283" t="s">
        <v>926</v>
      </c>
      <c r="V222" s="59" t="str">
        <f t="shared" ref="V222" si="159">VLOOKUP(U222,LISTAITEMS,2,FALSE)</f>
        <v>ninguno</v>
      </c>
      <c r="W222" s="280">
        <f>VLOOKUP(U222,LISTAITEMS,5,FALSE)</f>
        <v>0</v>
      </c>
    </row>
    <row r="226" spans="1:23" x14ac:dyDescent="0.25">
      <c r="A226" s="277" t="s">
        <v>1139</v>
      </c>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77"/>
      <c r="B227" s="277"/>
      <c r="C227" s="277"/>
      <c r="D227" s="277"/>
      <c r="E227" s="277"/>
      <c r="F227" s="277"/>
      <c r="G227" s="277"/>
      <c r="H227" s="277"/>
      <c r="I227" s="277"/>
      <c r="J227" s="277"/>
      <c r="K227" s="277"/>
      <c r="L227" s="277"/>
      <c r="M227" s="277"/>
      <c r="N227" s="277"/>
      <c r="O227" s="277"/>
      <c r="P227" s="277"/>
      <c r="Q227" s="277"/>
      <c r="R227" s="277"/>
      <c r="S227" s="277"/>
      <c r="T227" s="277"/>
      <c r="U227" s="277"/>
      <c r="V227" s="277"/>
      <c r="W227" s="277"/>
    </row>
    <row r="228" spans="1:23" x14ac:dyDescent="0.25">
      <c r="A228" s="286"/>
      <c r="B228" s="286" t="s">
        <v>1010</v>
      </c>
      <c r="C228" s="286"/>
      <c r="D228" s="286"/>
      <c r="E228" s="286"/>
      <c r="F228" s="286"/>
      <c r="G228" s="286"/>
      <c r="H228" s="286"/>
      <c r="I228" s="286"/>
      <c r="J228" s="286"/>
      <c r="K228" s="286"/>
      <c r="L228" s="286"/>
      <c r="M228" s="286"/>
      <c r="N228" s="286"/>
      <c r="O228" s="286"/>
      <c r="P228" s="286"/>
      <c r="Q228" s="286"/>
      <c r="R228" s="286"/>
      <c r="S228" s="286"/>
      <c r="T228" s="286"/>
      <c r="U228" s="286"/>
      <c r="V228" s="286"/>
      <c r="W228" s="286"/>
    </row>
    <row r="229" spans="1:23" x14ac:dyDescent="0.25">
      <c r="A229" s="278"/>
      <c r="B229" s="278" t="s">
        <v>203</v>
      </c>
      <c r="C229" s="281" t="s">
        <v>202</v>
      </c>
      <c r="D229" s="285" t="s">
        <v>149</v>
      </c>
      <c r="E229" s="285" t="s">
        <v>1164</v>
      </c>
      <c r="F229" s="281" t="s">
        <v>203</v>
      </c>
      <c r="G229" s="285" t="s">
        <v>1169</v>
      </c>
      <c r="H229" s="285" t="s">
        <v>149</v>
      </c>
      <c r="I229" s="285" t="s">
        <v>1165</v>
      </c>
      <c r="J229" s="281" t="s">
        <v>203</v>
      </c>
      <c r="K229" s="285" t="s">
        <v>1169</v>
      </c>
      <c r="L229" s="285" t="s">
        <v>149</v>
      </c>
      <c r="M229" s="285" t="s">
        <v>1166</v>
      </c>
      <c r="N229" s="281" t="s">
        <v>203</v>
      </c>
      <c r="O229" s="285" t="s">
        <v>1169</v>
      </c>
      <c r="P229" s="285" t="s">
        <v>149</v>
      </c>
      <c r="Q229" s="285" t="s">
        <v>1167</v>
      </c>
      <c r="R229" s="281" t="s">
        <v>203</v>
      </c>
      <c r="S229" s="285" t="s">
        <v>1169</v>
      </c>
      <c r="T229" s="285" t="s">
        <v>149</v>
      </c>
      <c r="U229" s="285" t="s">
        <v>1168</v>
      </c>
      <c r="V229" s="281" t="s">
        <v>203</v>
      </c>
      <c r="W229" s="285" t="s">
        <v>1169</v>
      </c>
    </row>
    <row r="230" spans="1:23" x14ac:dyDescent="0.25">
      <c r="A230" s="284" t="s">
        <v>1163</v>
      </c>
      <c r="B230" s="284"/>
      <c r="C230" s="279">
        <f>((D230*G230)+(K230*H230)+(O230*L230)+(S230*P230)+(W230*T230))</f>
        <v>0</v>
      </c>
      <c r="D230" s="282">
        <v>0</v>
      </c>
      <c r="E230" s="283" t="s">
        <v>926</v>
      </c>
      <c r="F230" s="59" t="str">
        <f t="shared" ref="F230" si="160">VLOOKUP(E230,LISTAITEMS,2,FALSE)</f>
        <v>ninguno</v>
      </c>
      <c r="G230" s="280">
        <f>VLOOKUP(E230,LISTAITEMS,5,FALSE)</f>
        <v>0</v>
      </c>
      <c r="H230" s="282">
        <v>0</v>
      </c>
      <c r="I230" s="283" t="s">
        <v>926</v>
      </c>
      <c r="J230" s="59" t="str">
        <f t="shared" ref="J230" si="161">VLOOKUP(I230,LISTAITEMS,2,FALSE)</f>
        <v>ninguno</v>
      </c>
      <c r="K230" s="280">
        <f>VLOOKUP(I230,LISTAITEMS,5,FALSE)</f>
        <v>0</v>
      </c>
      <c r="L230" s="282">
        <v>0</v>
      </c>
      <c r="M230" s="283" t="s">
        <v>926</v>
      </c>
      <c r="N230" s="59" t="str">
        <f t="shared" ref="N230" si="162">VLOOKUP(M230,LISTAITEMS,2,FALSE)</f>
        <v>ninguno</v>
      </c>
      <c r="O230" s="280">
        <f>VLOOKUP(M230,LISTAITEMS,5,FALSE)</f>
        <v>0</v>
      </c>
      <c r="P230" s="282">
        <v>0</v>
      </c>
      <c r="Q230" s="283" t="s">
        <v>926</v>
      </c>
      <c r="R230" s="59" t="str">
        <f t="shared" ref="R230" si="163">VLOOKUP(Q230,LISTAITEMS,2,FALSE)</f>
        <v>ninguno</v>
      </c>
      <c r="S230" s="280">
        <f>VLOOKUP(Q230,LISTAITEMS,5,FALSE)</f>
        <v>0</v>
      </c>
      <c r="T230" s="282">
        <v>0</v>
      </c>
      <c r="U230" s="283" t="s">
        <v>926</v>
      </c>
      <c r="V230" s="59" t="str">
        <f t="shared" ref="V230" si="164">VLOOKUP(U230,LISTAITEMS,2,FALSE)</f>
        <v>ninguno</v>
      </c>
      <c r="W230" s="280">
        <f>VLOOKUP(U230,LISTAITEMS,5,FALSE)</f>
        <v>0</v>
      </c>
    </row>
    <row r="235" spans="1:23" x14ac:dyDescent="0.25">
      <c r="A235" s="277" t="s">
        <v>1138</v>
      </c>
      <c r="B235" s="277"/>
      <c r="C235" s="277"/>
      <c r="D235" s="277"/>
      <c r="E235" s="277"/>
      <c r="F235" s="277"/>
      <c r="G235" s="277"/>
      <c r="H235" s="277"/>
      <c r="I235" s="277"/>
      <c r="J235" s="277"/>
      <c r="K235" s="277"/>
      <c r="L235" s="277"/>
      <c r="M235" s="277"/>
      <c r="N235" s="277"/>
      <c r="O235" s="277"/>
      <c r="P235" s="277"/>
      <c r="Q235" s="277"/>
      <c r="R235" s="277"/>
      <c r="S235" s="277"/>
      <c r="T235" s="277"/>
      <c r="U235" s="277"/>
      <c r="V235" s="277"/>
      <c r="W235" s="277"/>
    </row>
    <row r="236" spans="1:23" x14ac:dyDescent="0.25">
      <c r="A236" s="277"/>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86"/>
      <c r="B237" s="286" t="s">
        <v>1010</v>
      </c>
      <c r="C237" s="286"/>
      <c r="D237" s="286"/>
      <c r="E237" s="286"/>
      <c r="F237" s="286"/>
      <c r="G237" s="286"/>
      <c r="H237" s="286"/>
      <c r="I237" s="286"/>
      <c r="J237" s="286"/>
      <c r="K237" s="286"/>
      <c r="L237" s="286"/>
      <c r="M237" s="286"/>
      <c r="N237" s="286"/>
      <c r="O237" s="286"/>
      <c r="P237" s="286"/>
      <c r="Q237" s="286"/>
      <c r="R237" s="286"/>
      <c r="S237" s="286"/>
      <c r="T237" s="286"/>
      <c r="U237" s="286"/>
      <c r="V237" s="286"/>
      <c r="W237" s="286"/>
    </row>
    <row r="238" spans="1:23" x14ac:dyDescent="0.25">
      <c r="A238" s="278"/>
      <c r="B238" s="278" t="s">
        <v>203</v>
      </c>
      <c r="C238" s="281" t="s">
        <v>202</v>
      </c>
      <c r="D238" s="285" t="s">
        <v>149</v>
      </c>
      <c r="E238" s="285" t="s">
        <v>1164</v>
      </c>
      <c r="F238" s="281" t="s">
        <v>203</v>
      </c>
      <c r="G238" s="285" t="s">
        <v>1169</v>
      </c>
      <c r="H238" s="285" t="s">
        <v>149</v>
      </c>
      <c r="I238" s="285" t="s">
        <v>1165</v>
      </c>
      <c r="J238" s="281" t="s">
        <v>203</v>
      </c>
      <c r="K238" s="285" t="s">
        <v>1169</v>
      </c>
      <c r="L238" s="285" t="s">
        <v>149</v>
      </c>
      <c r="M238" s="285" t="s">
        <v>1166</v>
      </c>
      <c r="N238" s="281" t="s">
        <v>203</v>
      </c>
      <c r="O238" s="285" t="s">
        <v>1169</v>
      </c>
      <c r="P238" s="285" t="s">
        <v>149</v>
      </c>
      <c r="Q238" s="285" t="s">
        <v>1167</v>
      </c>
      <c r="R238" s="281" t="s">
        <v>203</v>
      </c>
      <c r="S238" s="285" t="s">
        <v>1169</v>
      </c>
      <c r="T238" s="285" t="s">
        <v>149</v>
      </c>
      <c r="U238" s="285" t="s">
        <v>1168</v>
      </c>
      <c r="V238" s="281" t="s">
        <v>203</v>
      </c>
      <c r="W238" s="285" t="s">
        <v>1169</v>
      </c>
    </row>
    <row r="239" spans="1:23" x14ac:dyDescent="0.25">
      <c r="A239" s="284" t="s">
        <v>1163</v>
      </c>
      <c r="B239" s="284"/>
      <c r="C239" s="279">
        <f>((D239*G239)+(K239*H239)+(O239*L239)+(S239*P239)+(W239*T239))</f>
        <v>0</v>
      </c>
      <c r="D239" s="282">
        <v>0</v>
      </c>
      <c r="E239" s="283" t="s">
        <v>926</v>
      </c>
      <c r="F239" s="59" t="str">
        <f t="shared" ref="F239" si="165">VLOOKUP(E239,LISTAITEMS,2,FALSE)</f>
        <v>ninguno</v>
      </c>
      <c r="G239" s="280">
        <f>VLOOKUP(E239,LISTAITEMS,5,FALSE)</f>
        <v>0</v>
      </c>
      <c r="H239" s="282">
        <v>0</v>
      </c>
      <c r="I239" s="283" t="s">
        <v>926</v>
      </c>
      <c r="J239" s="59" t="str">
        <f t="shared" ref="J239" si="166">VLOOKUP(I239,LISTAITEMS,2,FALSE)</f>
        <v>ninguno</v>
      </c>
      <c r="K239" s="280">
        <f>VLOOKUP(I239,LISTAITEMS,5,FALSE)</f>
        <v>0</v>
      </c>
      <c r="L239" s="282">
        <v>0</v>
      </c>
      <c r="M239" s="283" t="s">
        <v>926</v>
      </c>
      <c r="N239" s="59" t="str">
        <f t="shared" ref="N239" si="167">VLOOKUP(M239,LISTAITEMS,2,FALSE)</f>
        <v>ninguno</v>
      </c>
      <c r="O239" s="280">
        <f>VLOOKUP(M239,LISTAITEMS,5,FALSE)</f>
        <v>0</v>
      </c>
      <c r="P239" s="282">
        <v>0</v>
      </c>
      <c r="Q239" s="283" t="s">
        <v>926</v>
      </c>
      <c r="R239" s="59" t="str">
        <f t="shared" ref="R239" si="168">VLOOKUP(Q239,LISTAITEMS,2,FALSE)</f>
        <v>ninguno</v>
      </c>
      <c r="S239" s="280">
        <f>VLOOKUP(Q239,LISTAITEMS,5,FALSE)</f>
        <v>0</v>
      </c>
      <c r="T239" s="282">
        <v>0</v>
      </c>
      <c r="U239" s="283" t="s">
        <v>926</v>
      </c>
      <c r="V239" s="59" t="str">
        <f t="shared" ref="V239" si="169">VLOOKUP(U239,LISTAITEMS,2,FALSE)</f>
        <v>ninguno</v>
      </c>
      <c r="W239" s="280">
        <f>VLOOKUP(U239,LISTAITEMS,5,FALSE)</f>
        <v>0</v>
      </c>
    </row>
    <row r="245" spans="1:23" x14ac:dyDescent="0.25">
      <c r="A245" s="277" t="s">
        <v>1113</v>
      </c>
      <c r="B245" s="277"/>
      <c r="C245" s="277"/>
      <c r="D245" s="277"/>
      <c r="E245" s="277"/>
      <c r="F245" s="277"/>
      <c r="G245" s="277"/>
      <c r="H245" s="277"/>
      <c r="I245" s="277"/>
      <c r="J245" s="277"/>
      <c r="K245" s="277"/>
      <c r="L245" s="277"/>
      <c r="M245" s="277"/>
      <c r="N245" s="277"/>
      <c r="O245" s="277"/>
      <c r="P245" s="277"/>
      <c r="Q245" s="277"/>
      <c r="R245" s="277"/>
      <c r="S245" s="277"/>
      <c r="T245" s="277"/>
      <c r="U245" s="277"/>
      <c r="V245" s="277"/>
      <c r="W245" s="277"/>
    </row>
    <row r="246" spans="1:23" x14ac:dyDescent="0.25">
      <c r="A246" s="277"/>
      <c r="B246" s="277"/>
      <c r="C246" s="277"/>
      <c r="D246" s="277"/>
      <c r="E246" s="277"/>
      <c r="F246" s="277"/>
      <c r="G246" s="277"/>
      <c r="H246" s="277"/>
      <c r="I246" s="277"/>
      <c r="J246" s="277"/>
      <c r="K246" s="277"/>
      <c r="L246" s="277"/>
      <c r="M246" s="277"/>
      <c r="N246" s="277"/>
      <c r="O246" s="277"/>
      <c r="P246" s="277"/>
      <c r="Q246" s="277"/>
      <c r="R246" s="277"/>
      <c r="S246" s="277"/>
      <c r="T246" s="277"/>
      <c r="U246" s="277"/>
      <c r="V246" s="277"/>
      <c r="W246" s="277"/>
    </row>
    <row r="247" spans="1:23" x14ac:dyDescent="0.25">
      <c r="A247" s="286"/>
      <c r="B247" s="286" t="s">
        <v>1010</v>
      </c>
      <c r="C247" s="286"/>
      <c r="D247" s="286"/>
      <c r="E247" s="286"/>
      <c r="F247" s="286"/>
      <c r="G247" s="286"/>
      <c r="H247" s="286"/>
      <c r="I247" s="286"/>
      <c r="J247" s="286"/>
      <c r="K247" s="286"/>
      <c r="L247" s="286"/>
      <c r="M247" s="286"/>
      <c r="N247" s="286"/>
      <c r="O247" s="286"/>
      <c r="P247" s="286"/>
      <c r="Q247" s="286"/>
      <c r="R247" s="286"/>
      <c r="S247" s="286"/>
      <c r="T247" s="286"/>
      <c r="U247" s="286"/>
      <c r="V247" s="286"/>
      <c r="W247" s="286"/>
    </row>
    <row r="248" spans="1:23" x14ac:dyDescent="0.25">
      <c r="A248" s="278"/>
      <c r="B248" s="278" t="s">
        <v>203</v>
      </c>
      <c r="C248" s="281" t="s">
        <v>202</v>
      </c>
      <c r="D248" s="285" t="s">
        <v>149</v>
      </c>
      <c r="E248" s="285" t="s">
        <v>1164</v>
      </c>
      <c r="F248" s="281" t="s">
        <v>203</v>
      </c>
      <c r="G248" s="285" t="s">
        <v>1169</v>
      </c>
      <c r="H248" s="285" t="s">
        <v>149</v>
      </c>
      <c r="I248" s="285" t="s">
        <v>1165</v>
      </c>
      <c r="J248" s="281" t="s">
        <v>203</v>
      </c>
      <c r="K248" s="285" t="s">
        <v>1169</v>
      </c>
      <c r="L248" s="285" t="s">
        <v>149</v>
      </c>
      <c r="M248" s="285" t="s">
        <v>1166</v>
      </c>
      <c r="N248" s="281" t="s">
        <v>203</v>
      </c>
      <c r="O248" s="285" t="s">
        <v>1169</v>
      </c>
      <c r="P248" s="285" t="s">
        <v>149</v>
      </c>
      <c r="Q248" s="285" t="s">
        <v>1167</v>
      </c>
      <c r="R248" s="281" t="s">
        <v>203</v>
      </c>
      <c r="S248" s="285" t="s">
        <v>1169</v>
      </c>
      <c r="T248" s="285" t="s">
        <v>149</v>
      </c>
      <c r="U248" s="285" t="s">
        <v>1168</v>
      </c>
      <c r="V248" s="281" t="s">
        <v>203</v>
      </c>
      <c r="W248" s="285" t="s">
        <v>1169</v>
      </c>
    </row>
    <row r="249" spans="1:23" x14ac:dyDescent="0.25">
      <c r="A249" s="284" t="s">
        <v>1163</v>
      </c>
      <c r="B249" s="284"/>
      <c r="C249" s="279">
        <f>((D249*G249)+(K249*H249)+(O249*L249)+(S249*P249)+(W249*T249))</f>
        <v>0</v>
      </c>
      <c r="D249" s="282">
        <v>0</v>
      </c>
      <c r="E249" s="283" t="s">
        <v>926</v>
      </c>
      <c r="F249" s="59" t="str">
        <f t="shared" ref="F249" si="170">VLOOKUP(E249,LISTAITEMS,2,FALSE)</f>
        <v>ninguno</v>
      </c>
      <c r="G249" s="280">
        <f>VLOOKUP(E249,LISTAITEMS,5,FALSE)</f>
        <v>0</v>
      </c>
      <c r="H249" s="282">
        <v>0</v>
      </c>
      <c r="I249" s="283" t="s">
        <v>926</v>
      </c>
      <c r="J249" s="59" t="str">
        <f t="shared" ref="J249" si="171">VLOOKUP(I249,LISTAITEMS,2,FALSE)</f>
        <v>ninguno</v>
      </c>
      <c r="K249" s="280">
        <f>VLOOKUP(I249,LISTAITEMS,5,FALSE)</f>
        <v>0</v>
      </c>
      <c r="L249" s="282">
        <v>0</v>
      </c>
      <c r="M249" s="283" t="s">
        <v>926</v>
      </c>
      <c r="N249" s="59" t="str">
        <f t="shared" ref="N249" si="172">VLOOKUP(M249,LISTAITEMS,2,FALSE)</f>
        <v>ninguno</v>
      </c>
      <c r="O249" s="280">
        <f>VLOOKUP(M249,LISTAITEMS,5,FALSE)</f>
        <v>0</v>
      </c>
      <c r="P249" s="282">
        <v>0</v>
      </c>
      <c r="Q249" s="283" t="s">
        <v>926</v>
      </c>
      <c r="R249" s="59" t="str">
        <f t="shared" ref="R249" si="173">VLOOKUP(Q249,LISTAITEMS,2,FALSE)</f>
        <v>ninguno</v>
      </c>
      <c r="S249" s="280">
        <f>VLOOKUP(Q249,LISTAITEMS,5,FALSE)</f>
        <v>0</v>
      </c>
      <c r="T249" s="282">
        <v>0</v>
      </c>
      <c r="U249" s="283" t="s">
        <v>926</v>
      </c>
      <c r="V249" s="59" t="str">
        <f t="shared" ref="V249" si="174">VLOOKUP(U249,LISTAITEMS,2,FALSE)</f>
        <v>ninguno</v>
      </c>
      <c r="W249" s="280">
        <f>VLOOKUP(U249,LISTAITEMS,5,FALSE)</f>
        <v>0</v>
      </c>
    </row>
  </sheetData>
  <mergeCells count="99">
    <mergeCell ref="R7:R11"/>
    <mergeCell ref="R12:R16"/>
    <mergeCell ref="R17:R21"/>
    <mergeCell ref="R22:R26"/>
    <mergeCell ref="R2:R6"/>
    <mergeCell ref="M25:N25"/>
    <mergeCell ref="O25:P25"/>
    <mergeCell ref="M30:N30"/>
    <mergeCell ref="O30:P30"/>
    <mergeCell ref="G25:H25"/>
    <mergeCell ref="G30:H30"/>
    <mergeCell ref="K10:L10"/>
    <mergeCell ref="K11:L11"/>
    <mergeCell ref="K12:L12"/>
    <mergeCell ref="K13:L13"/>
    <mergeCell ref="E21:F21"/>
    <mergeCell ref="O20:P20"/>
    <mergeCell ref="I11:J11"/>
    <mergeCell ref="I12:J12"/>
    <mergeCell ref="I13:J13"/>
    <mergeCell ref="I14:J14"/>
    <mergeCell ref="E22:F22"/>
    <mergeCell ref="G10:H10"/>
    <mergeCell ref="G15:H15"/>
    <mergeCell ref="G20:H20"/>
    <mergeCell ref="A25:B25"/>
    <mergeCell ref="E23:F23"/>
    <mergeCell ref="E24:F24"/>
    <mergeCell ref="A30:B30"/>
    <mergeCell ref="C10:D10"/>
    <mergeCell ref="C15:D15"/>
    <mergeCell ref="C20:D20"/>
    <mergeCell ref="C25:D25"/>
    <mergeCell ref="C30:D30"/>
    <mergeCell ref="A15:B15"/>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6:P6"/>
    <mergeCell ref="I1:L1"/>
    <mergeCell ref="I2:J2"/>
    <mergeCell ref="K2:L2"/>
    <mergeCell ref="I3:J3"/>
    <mergeCell ref="K3:L3"/>
    <mergeCell ref="E1:H1"/>
    <mergeCell ref="E2:F2"/>
    <mergeCell ref="G2:H2"/>
    <mergeCell ref="E3:F3"/>
    <mergeCell ref="G3:H3"/>
    <mergeCell ref="A5:B5"/>
    <mergeCell ref="A6:B6"/>
    <mergeCell ref="A7:B7"/>
    <mergeCell ref="E4:F4"/>
    <mergeCell ref="G4:H4"/>
    <mergeCell ref="C5:D5"/>
    <mergeCell ref="C6:D6"/>
    <mergeCell ref="C7:D7"/>
    <mergeCell ref="E5:F5"/>
    <mergeCell ref="G5:H5"/>
    <mergeCell ref="E6:F6"/>
    <mergeCell ref="G6:H6"/>
    <mergeCell ref="E7:F7"/>
    <mergeCell ref="G7:H7"/>
    <mergeCell ref="C3:D3"/>
    <mergeCell ref="A2:B2"/>
    <mergeCell ref="C2:D2"/>
    <mergeCell ref="A1:D1"/>
    <mergeCell ref="C4:D4"/>
    <mergeCell ref="A3:B3"/>
    <mergeCell ref="A4:B4"/>
  </mergeCells>
  <dataValidations count="2">
    <dataValidation type="list" allowBlank="1" showInputMessage="1" showErrorMessage="1" sqref="E41:E42 I41:I42 M41:M42 Q41:Q42 U41:U42 E49 I49 M49 Q49 U49 E52 I52 M52 Q52 U52 E55:E57 I55:I57 M55:M57 Q55:Q57 U55:U57 E61 I61 M61 Q61 U61 E66 I66 M66 Q66 U66 E80 I80 M80 Q80 U80 E92 I92 M92 Q92 U92 E105 I105 M105 Q105 U105 U249 E127:E128 I127:I128 M127:M128 Q127:Q128 U127:U128 E140 I140 M140 Q140 U140 E153 I153 M153 Q153 U153 E158 I158 M158 Q158 U158 E169 I169 M169 Q169 U169 Q117:Q122 E185 I185 M185 Q185 U185 E199 I199 M199 Q199 U199 E192 I192 M192 Q192 U192 E207 I207 M207 Q207 U207 E214 I214 M214 Q214 U214 E222 I222 M222 Q222 U222 E230 I230 M230 Q230 U230 E239 I239 M239 Q239 U239 E249 I249 M249 Q249 U117:U122 E117:E122 I117:I122 M117:M122 E175:E180 U175:U180 Q175:Q180 M175:M180 I175:I180">
      <formula1>IDS</formula1>
    </dataValidation>
    <dataValidation type="list" allowBlank="1" showInputMessage="1" showErrorMessage="1" sqref="E45:E46 H45:H46 K45:K46 N45:N46 Q45:Q46 V2:V26 Q146 E146 H146 K146 N146 Y2:Y26 AB2:AB26">
      <formula1>craftspar</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1192</v>
      </c>
      <c r="D11" s="37">
        <v>1</v>
      </c>
      <c r="E11" s="28"/>
      <c r="G11" s="2"/>
    </row>
    <row r="12" spans="1:10" x14ac:dyDescent="0.25">
      <c r="C12" s="37" t="s">
        <v>1191</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6" t="s">
        <v>39</v>
      </c>
      <c r="B17" s="356"/>
      <c r="C17" s="3" t="s">
        <v>35</v>
      </c>
      <c r="D17" s="3" t="s">
        <v>51</v>
      </c>
      <c r="E17" s="3" t="s">
        <v>52</v>
      </c>
      <c r="F17" s="3" t="s">
        <v>53</v>
      </c>
      <c r="G17" s="3" t="s">
        <v>54</v>
      </c>
    </row>
    <row r="18" spans="1:9" x14ac:dyDescent="0.25">
      <c r="A18" s="348" t="s">
        <v>73</v>
      </c>
      <c r="B18" s="348"/>
      <c r="C18" s="37">
        <v>0</v>
      </c>
      <c r="D18" s="28">
        <f>$C$18+1</f>
        <v>1</v>
      </c>
      <c r="E18" s="28">
        <f>$D$18+1</f>
        <v>2</v>
      </c>
      <c r="F18" s="28">
        <f>$E$18+1</f>
        <v>3</v>
      </c>
      <c r="G18" s="28">
        <f>$F$18+1</f>
        <v>4</v>
      </c>
    </row>
    <row r="19" spans="1:9" x14ac:dyDescent="0.25">
      <c r="A19" s="348" t="s">
        <v>74</v>
      </c>
      <c r="B19" s="348"/>
      <c r="C19" s="37">
        <v>0</v>
      </c>
      <c r="D19" s="28">
        <f>$C$19+1</f>
        <v>1</v>
      </c>
      <c r="E19" s="28">
        <f>$D$19+2</f>
        <v>3</v>
      </c>
      <c r="F19" s="28">
        <f>$E$19+2</f>
        <v>5</v>
      </c>
      <c r="G19" s="28">
        <f>$F$19+2</f>
        <v>7</v>
      </c>
    </row>
    <row r="20" spans="1:9" x14ac:dyDescent="0.25">
      <c r="A20" s="348" t="s">
        <v>40</v>
      </c>
      <c r="B20" s="348"/>
      <c r="C20" s="37">
        <v>0</v>
      </c>
      <c r="D20" s="28">
        <f>$C$20+1</f>
        <v>1</v>
      </c>
      <c r="E20" s="28">
        <f>$D$20+1</f>
        <v>2</v>
      </c>
      <c r="F20" s="28">
        <f>$E$20+1</f>
        <v>3</v>
      </c>
      <c r="G20" s="28">
        <f>$F$20+1</f>
        <v>4</v>
      </c>
    </row>
    <row r="21" spans="1:9" x14ac:dyDescent="0.25">
      <c r="A21" s="348" t="s">
        <v>41</v>
      </c>
      <c r="B21" s="348"/>
      <c r="C21" s="37">
        <v>0</v>
      </c>
      <c r="D21" s="28">
        <f>$C$21+2</f>
        <v>2</v>
      </c>
      <c r="E21" s="28">
        <f>$D$21+1</f>
        <v>3</v>
      </c>
      <c r="F21" s="28">
        <f>$E$21+1</f>
        <v>4</v>
      </c>
      <c r="G21" s="28">
        <f>$F$21+1</f>
        <v>5</v>
      </c>
    </row>
    <row r="22" spans="1:9" x14ac:dyDescent="0.25">
      <c r="A22" s="348" t="s">
        <v>44</v>
      </c>
      <c r="B22" s="348"/>
      <c r="C22" s="37">
        <v>0</v>
      </c>
      <c r="D22" s="28">
        <f>$C$22+1</f>
        <v>1</v>
      </c>
      <c r="E22" s="28">
        <f>$D$22+1</f>
        <v>2</v>
      </c>
      <c r="F22" s="28">
        <f>$E$22+1</f>
        <v>3</v>
      </c>
      <c r="G22" s="28">
        <f>$F$22+1</f>
        <v>4</v>
      </c>
    </row>
    <row r="23" spans="1:9" x14ac:dyDescent="0.25">
      <c r="A23" s="348" t="s">
        <v>42</v>
      </c>
      <c r="B23" s="348"/>
      <c r="C23" s="37">
        <v>0</v>
      </c>
      <c r="D23" s="28">
        <f>C23</f>
        <v>0</v>
      </c>
      <c r="E23" s="28">
        <f>$D$23+1</f>
        <v>1</v>
      </c>
      <c r="F23" s="28">
        <f>$E$23+1</f>
        <v>2</v>
      </c>
      <c r="G23" s="28">
        <f>$F$23+1</f>
        <v>3</v>
      </c>
    </row>
    <row r="24" spans="1:9" x14ac:dyDescent="0.25">
      <c r="A24" s="348" t="s">
        <v>43</v>
      </c>
      <c r="B24" s="348"/>
      <c r="C24" s="37">
        <v>0</v>
      </c>
      <c r="D24" s="28">
        <f>$C$24+1</f>
        <v>1</v>
      </c>
      <c r="E24" s="28">
        <f>$D$24+1</f>
        <v>2</v>
      </c>
      <c r="F24" s="28">
        <f>$E$24+1</f>
        <v>3</v>
      </c>
      <c r="G24" s="28">
        <f>$F$24+1</f>
        <v>4</v>
      </c>
    </row>
    <row r="25" spans="1:9" x14ac:dyDescent="0.25">
      <c r="A25" s="348" t="s">
        <v>45</v>
      </c>
      <c r="B25" s="348"/>
      <c r="C25" s="37">
        <v>5</v>
      </c>
      <c r="D25" s="28">
        <f>$C$25+1</f>
        <v>6</v>
      </c>
      <c r="E25" s="28">
        <f>$D$25+1</f>
        <v>7</v>
      </c>
      <c r="F25" s="28">
        <f>$E$25+1</f>
        <v>8</v>
      </c>
      <c r="G25" s="28">
        <f>$F$25+1</f>
        <v>9</v>
      </c>
    </row>
    <row r="26" spans="1:9" x14ac:dyDescent="0.25">
      <c r="A26" s="348" t="s">
        <v>46</v>
      </c>
      <c r="B26" s="348"/>
      <c r="C26" s="37">
        <v>6</v>
      </c>
      <c r="D26" s="28">
        <f>$C$26+1</f>
        <v>7</v>
      </c>
      <c r="E26" s="28">
        <f>$D$26+1</f>
        <v>8</v>
      </c>
      <c r="F26" s="28">
        <f>$E$26+1</f>
        <v>9</v>
      </c>
      <c r="G26" s="28">
        <f>$F$26+1</f>
        <v>10</v>
      </c>
      <c r="I26" s="15" t="s">
        <v>99</v>
      </c>
    </row>
    <row r="27" spans="1:9" x14ac:dyDescent="0.25">
      <c r="A27" s="348" t="s">
        <v>47</v>
      </c>
      <c r="B27" s="348"/>
      <c r="C27" s="38">
        <v>0.7</v>
      </c>
      <c r="D27" s="28">
        <f>$C$27/2</f>
        <v>0.35</v>
      </c>
      <c r="E27" s="28">
        <f>$D$27/2</f>
        <v>0.17499999999999999</v>
      </c>
      <c r="F27" s="28">
        <f>$E$27/2</f>
        <v>8.7499999999999994E-2</v>
      </c>
      <c r="G27" s="28">
        <f>$F$27/2</f>
        <v>4.3749999999999997E-2</v>
      </c>
      <c r="I27" s="37">
        <v>5</v>
      </c>
    </row>
    <row r="28" spans="1:9" x14ac:dyDescent="0.25">
      <c r="A28" s="348" t="s">
        <v>48</v>
      </c>
      <c r="B28" s="348"/>
      <c r="C28" s="37">
        <f>C27/2</f>
        <v>0.35</v>
      </c>
      <c r="D28" s="28">
        <f>$D$27/2</f>
        <v>0.17499999999999999</v>
      </c>
      <c r="E28" s="28">
        <f>$E$27/2</f>
        <v>8.7499999999999994E-2</v>
      </c>
      <c r="F28" s="28">
        <f>$F$27/2</f>
        <v>4.3749999999999997E-2</v>
      </c>
      <c r="G28" s="28">
        <f>$G$27/2</f>
        <v>2.1874999999999999E-2</v>
      </c>
    </row>
    <row r="29" spans="1:9" x14ac:dyDescent="0.25">
      <c r="A29" s="348" t="s">
        <v>75</v>
      </c>
      <c r="B29" s="348"/>
      <c r="C29" s="37">
        <v>0</v>
      </c>
      <c r="D29" s="105">
        <v>1</v>
      </c>
      <c r="E29" s="105">
        <v>1</v>
      </c>
      <c r="F29" s="105">
        <v>2</v>
      </c>
      <c r="G29" s="105">
        <v>2</v>
      </c>
    </row>
    <row r="30" spans="1:9" x14ac:dyDescent="0.25">
      <c r="A30" s="348" t="s">
        <v>76</v>
      </c>
      <c r="B30" s="348"/>
      <c r="C30" s="37">
        <v>0</v>
      </c>
      <c r="D30" s="105">
        <v>1</v>
      </c>
      <c r="E30" s="105">
        <v>2</v>
      </c>
      <c r="F30" s="105">
        <v>3</v>
      </c>
      <c r="G30" s="105">
        <v>4</v>
      </c>
    </row>
    <row r="31" spans="1:9" x14ac:dyDescent="0.25">
      <c r="A31" s="355" t="s">
        <v>49</v>
      </c>
      <c r="B31" s="355"/>
      <c r="C31" s="355"/>
      <c r="D31" s="355"/>
      <c r="E31" s="355"/>
      <c r="F31" s="355"/>
      <c r="G31" s="355"/>
      <c r="H31" s="1" t="s">
        <v>65</v>
      </c>
      <c r="I31" s="15" t="s">
        <v>98</v>
      </c>
    </row>
    <row r="32" spans="1:9" x14ac:dyDescent="0.25">
      <c r="A32" s="348" t="s">
        <v>50</v>
      </c>
      <c r="B32" s="348"/>
      <c r="C32" s="37">
        <v>8.9</v>
      </c>
      <c r="D32" s="28">
        <f>C32*3</f>
        <v>26.700000000000003</v>
      </c>
      <c r="E32" s="28">
        <f>D32*3</f>
        <v>80.100000000000009</v>
      </c>
      <c r="F32" s="28">
        <f>E32*3</f>
        <v>240.3</v>
      </c>
      <c r="G32" s="28">
        <f>F32*2</f>
        <v>480.6</v>
      </c>
      <c r="H32" s="28">
        <f>ROUNDDOWN(G32/5*H64,0)</f>
        <v>768</v>
      </c>
      <c r="I32" s="28">
        <f>H32+(5*I27)</f>
        <v>793</v>
      </c>
    </row>
    <row r="33" spans="1:13" x14ac:dyDescent="0.25">
      <c r="A33" s="348" t="str">
        <f>C12</f>
        <v>Esencia</v>
      </c>
      <c r="B33" s="348"/>
      <c r="C33" s="37">
        <f>ROUNDDOWN(C32/2,0)</f>
        <v>4</v>
      </c>
      <c r="D33" s="28">
        <f>ROUNDDOWN(D32/2,0)</f>
        <v>13</v>
      </c>
      <c r="E33" s="28">
        <f t="shared" ref="D33:G35" si="0">ROUNDDOWN(E32/2,0)</f>
        <v>40</v>
      </c>
      <c r="F33" s="28">
        <f t="shared" si="0"/>
        <v>120</v>
      </c>
      <c r="G33" s="28">
        <f t="shared" si="0"/>
        <v>240</v>
      </c>
      <c r="H33" s="28"/>
      <c r="I33" s="28"/>
    </row>
    <row r="34" spans="1:13" x14ac:dyDescent="0.25">
      <c r="A34" s="348" t="str">
        <f>C12</f>
        <v>Esencia</v>
      </c>
      <c r="B34" s="348"/>
      <c r="C34" s="37">
        <f>ROUNDDOWN(C33/2,0)</f>
        <v>2</v>
      </c>
      <c r="D34" s="28">
        <f t="shared" si="0"/>
        <v>6</v>
      </c>
      <c r="E34" s="28">
        <f t="shared" si="0"/>
        <v>20</v>
      </c>
      <c r="F34" s="28">
        <f t="shared" si="0"/>
        <v>60</v>
      </c>
      <c r="G34" s="28">
        <f t="shared" si="0"/>
        <v>120</v>
      </c>
      <c r="H34" s="28"/>
      <c r="I34" s="28"/>
    </row>
    <row r="35" spans="1:13" x14ac:dyDescent="0.25">
      <c r="A35" s="353" t="str">
        <f>C11</f>
        <v>Inteligencia</v>
      </c>
      <c r="B35" s="353"/>
      <c r="C35" s="37">
        <f t="shared" ref="C35" si="1">ROUNDDOWN(C34/2,0)</f>
        <v>1</v>
      </c>
      <c r="D35" s="28">
        <f t="shared" si="0"/>
        <v>3</v>
      </c>
      <c r="E35" s="28">
        <f t="shared" si="0"/>
        <v>10</v>
      </c>
      <c r="F35" s="28">
        <f t="shared" si="0"/>
        <v>30</v>
      </c>
      <c r="G35" s="28">
        <f t="shared" si="0"/>
        <v>60</v>
      </c>
      <c r="H35" s="28"/>
      <c r="I35" s="28"/>
    </row>
    <row r="36" spans="1:13" x14ac:dyDescent="0.25">
      <c r="A36" s="355" t="s">
        <v>21</v>
      </c>
      <c r="B36" s="355"/>
      <c r="C36" s="355"/>
      <c r="D36" s="355"/>
      <c r="E36" s="355"/>
      <c r="F36" s="355"/>
      <c r="G36" s="355"/>
    </row>
    <row r="37" spans="1:13" x14ac:dyDescent="0.25">
      <c r="A37" s="357" t="s">
        <v>61</v>
      </c>
      <c r="B37" s="357"/>
      <c r="C37" s="357"/>
      <c r="D37" s="357"/>
      <c r="E37" s="357"/>
      <c r="F37" s="357"/>
      <c r="G37" s="357"/>
      <c r="H37" s="4" t="s">
        <v>82</v>
      </c>
    </row>
    <row r="38" spans="1:13" x14ac:dyDescent="0.25">
      <c r="A38" s="348" t="s">
        <v>69</v>
      </c>
      <c r="B38" s="348"/>
      <c r="C38" s="39"/>
      <c r="D38" s="28"/>
      <c r="E38" s="28"/>
      <c r="F38" s="28"/>
      <c r="G38" s="28"/>
      <c r="H38" s="28">
        <v>300</v>
      </c>
    </row>
    <row r="39" spans="1:13" x14ac:dyDescent="0.25">
      <c r="A39" s="348" t="s">
        <v>67</v>
      </c>
      <c r="B39" s="348"/>
      <c r="C39" s="105">
        <v>1800</v>
      </c>
      <c r="D39" s="28">
        <f>C39+$H$38</f>
        <v>2100</v>
      </c>
      <c r="E39" s="106">
        <f t="shared" ref="E39:G39" si="2">D39+$H$38</f>
        <v>2400</v>
      </c>
      <c r="F39" s="106">
        <f t="shared" si="2"/>
        <v>2700</v>
      </c>
      <c r="G39" s="106">
        <f t="shared" si="2"/>
        <v>3000</v>
      </c>
      <c r="H39" s="28"/>
    </row>
    <row r="40" spans="1:13" x14ac:dyDescent="0.25">
      <c r="A40" s="360" t="s">
        <v>68</v>
      </c>
      <c r="B40" s="360"/>
      <c r="C40" s="39">
        <v>1800</v>
      </c>
      <c r="D40" s="39">
        <v>1800</v>
      </c>
      <c r="E40" s="39">
        <v>1800</v>
      </c>
      <c r="F40" s="39">
        <v>1800</v>
      </c>
      <c r="G40" s="39">
        <v>1800</v>
      </c>
      <c r="H40" s="28"/>
    </row>
    <row r="41" spans="1:13" ht="27.75" customHeight="1" x14ac:dyDescent="0.25">
      <c r="A41" s="356" t="s">
        <v>38</v>
      </c>
      <c r="B41" s="356"/>
      <c r="C41" s="3" t="s">
        <v>7</v>
      </c>
      <c r="D41" s="3" t="s">
        <v>8</v>
      </c>
      <c r="E41" s="3" t="s">
        <v>83</v>
      </c>
      <c r="F41" s="3" t="s">
        <v>84</v>
      </c>
      <c r="G41" s="3" t="s">
        <v>85</v>
      </c>
      <c r="H41" s="3" t="s">
        <v>62</v>
      </c>
      <c r="I41" s="23" t="s">
        <v>119</v>
      </c>
      <c r="J41" s="356" t="s">
        <v>1194</v>
      </c>
      <c r="K41" s="356"/>
      <c r="L41" s="356" t="s">
        <v>1196</v>
      </c>
      <c r="M41" s="356"/>
    </row>
    <row r="42" spans="1:13" x14ac:dyDescent="0.25">
      <c r="A42" s="357" t="s">
        <v>20</v>
      </c>
      <c r="B42" s="357"/>
      <c r="C42" s="357"/>
      <c r="D42" s="357"/>
      <c r="E42" s="357"/>
      <c r="F42" s="357"/>
      <c r="G42" s="357"/>
      <c r="H42" s="6">
        <v>2</v>
      </c>
      <c r="I42" s="41">
        <v>1</v>
      </c>
      <c r="J42" s="298" t="s">
        <v>1197</v>
      </c>
      <c r="K42" s="298"/>
      <c r="L42" s="298">
        <v>2</v>
      </c>
      <c r="M42" s="298"/>
    </row>
    <row r="43" spans="1:13" x14ac:dyDescent="0.25">
      <c r="A43" s="348" t="str">
        <f>C8</f>
        <v>Vitalidad</v>
      </c>
      <c r="B43" s="348"/>
      <c r="C43" s="28">
        <f>D8*H42</f>
        <v>2</v>
      </c>
      <c r="D43" s="28">
        <f>C43*3</f>
        <v>6</v>
      </c>
      <c r="E43" s="28">
        <f>D43*3</f>
        <v>18</v>
      </c>
      <c r="F43" s="28">
        <f>E43*3</f>
        <v>54</v>
      </c>
      <c r="G43" s="28">
        <f>F43*3</f>
        <v>162</v>
      </c>
      <c r="H43" s="26" t="s">
        <v>120</v>
      </c>
    </row>
    <row r="44" spans="1:13" x14ac:dyDescent="0.25">
      <c r="A44" s="348" t="str">
        <f>C9</f>
        <v>Fuerza</v>
      </c>
      <c r="B44" s="348"/>
      <c r="C44" s="28">
        <f>D9*H42</f>
        <v>2</v>
      </c>
      <c r="D44" s="106">
        <f t="shared" ref="D44:G46" si="3">C44*3</f>
        <v>6</v>
      </c>
      <c r="E44" s="106">
        <f t="shared" si="3"/>
        <v>18</v>
      </c>
      <c r="F44" s="106">
        <f t="shared" si="3"/>
        <v>54</v>
      </c>
      <c r="G44" s="106">
        <f t="shared" si="3"/>
        <v>162</v>
      </c>
      <c r="H44" s="6">
        <v>2</v>
      </c>
    </row>
    <row r="45" spans="1:13" x14ac:dyDescent="0.25">
      <c r="A45" s="348" t="str">
        <f>C10</f>
        <v>Agilidad</v>
      </c>
      <c r="B45" s="348"/>
      <c r="C45" s="28">
        <f>D10*H42</f>
        <v>2</v>
      </c>
      <c r="D45" s="106">
        <f t="shared" si="3"/>
        <v>6</v>
      </c>
      <c r="E45" s="106">
        <f t="shared" si="3"/>
        <v>18</v>
      </c>
      <c r="F45" s="106">
        <f t="shared" si="3"/>
        <v>54</v>
      </c>
      <c r="G45" s="106">
        <f t="shared" si="3"/>
        <v>162</v>
      </c>
    </row>
    <row r="46" spans="1:13" x14ac:dyDescent="0.25">
      <c r="A46" s="348" t="str">
        <f>C11</f>
        <v>Inteligencia</v>
      </c>
      <c r="B46" s="348"/>
      <c r="C46" s="28">
        <f>D11*H42</f>
        <v>2</v>
      </c>
      <c r="D46" s="106">
        <f t="shared" si="3"/>
        <v>6</v>
      </c>
      <c r="E46" s="106">
        <f t="shared" si="3"/>
        <v>18</v>
      </c>
      <c r="F46" s="106">
        <f t="shared" si="3"/>
        <v>54</v>
      </c>
      <c r="G46" s="106">
        <f t="shared" si="3"/>
        <v>162</v>
      </c>
    </row>
    <row r="47" spans="1:13" x14ac:dyDescent="0.25">
      <c r="A47" s="348" t="s">
        <v>77</v>
      </c>
      <c r="B47" s="348"/>
      <c r="C47" s="28">
        <f>(C$23+C$24)/2*$H$42</f>
        <v>0</v>
      </c>
      <c r="D47" s="28">
        <f>($D$23+$D$24)/2*$H$42</f>
        <v>1</v>
      </c>
      <c r="E47" s="28">
        <f>($E$23+$E$24)/2*$H$42</f>
        <v>3</v>
      </c>
      <c r="F47" s="28">
        <f>($F$23+$F$24)/2*$H$42</f>
        <v>5</v>
      </c>
      <c r="G47" s="28">
        <f>($G$23+$G$24)/2*$H$42</f>
        <v>7</v>
      </c>
    </row>
    <row r="48" spans="1:13" x14ac:dyDescent="0.25">
      <c r="A48" s="357" t="s">
        <v>49</v>
      </c>
      <c r="B48" s="357"/>
      <c r="C48" s="357"/>
      <c r="D48" s="357"/>
      <c r="E48" s="357"/>
      <c r="F48" s="357"/>
      <c r="G48" s="357"/>
    </row>
    <row r="49" spans="1:13" x14ac:dyDescent="0.25">
      <c r="A49" s="348" t="s">
        <v>50</v>
      </c>
      <c r="B49" s="348"/>
      <c r="C49" s="40">
        <f>ROUNDDOWN(C32/5*H42,0)</f>
        <v>3</v>
      </c>
      <c r="D49" s="40">
        <f>ROUNDDOWN(D32/5*H42,0)</f>
        <v>10</v>
      </c>
      <c r="E49" s="40">
        <f>ROUNDDOWN(E32/5*H42,0)</f>
        <v>32</v>
      </c>
      <c r="F49" s="40">
        <f>ROUNDDOWN(F32/5*H42,0)</f>
        <v>96</v>
      </c>
      <c r="G49" s="40">
        <f>ROUNDDOWN(G32/5*H42,0)</f>
        <v>192</v>
      </c>
    </row>
    <row r="50" spans="1:13" x14ac:dyDescent="0.25">
      <c r="A50" s="348" t="str">
        <f>C12</f>
        <v>Esencia</v>
      </c>
      <c r="B50" s="348"/>
      <c r="C50" s="40">
        <f>ROUNDDOWN(C49/3,0)</f>
        <v>1</v>
      </c>
      <c r="D50" s="40">
        <f>ROUNDDOWN(D49/3,0)</f>
        <v>3</v>
      </c>
      <c r="E50" s="40">
        <f>ROUNDDOWN(E49/3,0)</f>
        <v>10</v>
      </c>
      <c r="F50" s="40">
        <f>ROUNDDOWN(F49/3,0)</f>
        <v>32</v>
      </c>
      <c r="G50" s="40">
        <f>ROUNDDOWN(G49/3,0)</f>
        <v>64</v>
      </c>
    </row>
    <row r="51" spans="1:13" x14ac:dyDescent="0.25">
      <c r="A51" s="348"/>
      <c r="B51" s="348"/>
    </row>
    <row r="52" spans="1:13" ht="27.75" customHeight="1" x14ac:dyDescent="0.25">
      <c r="A52" s="356" t="s">
        <v>63</v>
      </c>
      <c r="B52" s="356"/>
      <c r="C52" s="3" t="s">
        <v>0</v>
      </c>
      <c r="D52" s="3" t="s">
        <v>86</v>
      </c>
      <c r="E52" s="3" t="s">
        <v>83</v>
      </c>
      <c r="F52" s="3" t="s">
        <v>84</v>
      </c>
      <c r="G52" s="3" t="s">
        <v>85</v>
      </c>
      <c r="H52" s="3" t="s">
        <v>62</v>
      </c>
      <c r="J52" s="356" t="s">
        <v>1194</v>
      </c>
      <c r="K52" s="356"/>
      <c r="L52" s="356" t="s">
        <v>1196</v>
      </c>
      <c r="M52" s="356"/>
    </row>
    <row r="53" spans="1:13" x14ac:dyDescent="0.25">
      <c r="A53" s="357" t="s">
        <v>20</v>
      </c>
      <c r="B53" s="357"/>
      <c r="C53" s="357"/>
      <c r="D53" s="357"/>
      <c r="E53" s="357"/>
      <c r="F53" s="357"/>
      <c r="G53" s="357"/>
      <c r="H53" s="6">
        <f>$H$55*$I$42</f>
        <v>5</v>
      </c>
      <c r="J53" s="298" t="s">
        <v>1195</v>
      </c>
      <c r="K53" s="298"/>
      <c r="L53" s="298">
        <v>1</v>
      </c>
      <c r="M53" s="298"/>
    </row>
    <row r="54" spans="1:13" x14ac:dyDescent="0.25">
      <c r="A54" s="348" t="str">
        <f>C8</f>
        <v>Vitalidad</v>
      </c>
      <c r="B54" s="348"/>
      <c r="C54">
        <f>D8*H53</f>
        <v>5</v>
      </c>
      <c r="D54" s="291">
        <f>ROUNDDOWN(C54*1.7,0)</f>
        <v>8</v>
      </c>
      <c r="E54" s="291">
        <f>ROUNDDOWN(D54*1.7,0)</f>
        <v>13</v>
      </c>
      <c r="F54" s="291">
        <f>ROUNDDOWN(E54*1.7,0)</f>
        <v>22</v>
      </c>
      <c r="G54" s="291">
        <f>ROUNDDOWN(F54*1.7,0)</f>
        <v>37</v>
      </c>
      <c r="H54" s="26" t="s">
        <v>120</v>
      </c>
    </row>
    <row r="55" spans="1:13" x14ac:dyDescent="0.25">
      <c r="A55" s="348" t="str">
        <f>C9</f>
        <v>Fuerza</v>
      </c>
      <c r="B55" s="348"/>
      <c r="C55">
        <f>D9*H53</f>
        <v>5</v>
      </c>
      <c r="D55" s="291">
        <f t="shared" ref="D55:G55" si="4">ROUNDDOWN(C55*1.7,0)</f>
        <v>8</v>
      </c>
      <c r="E55" s="291">
        <f t="shared" si="4"/>
        <v>13</v>
      </c>
      <c r="F55" s="291">
        <f t="shared" si="4"/>
        <v>22</v>
      </c>
      <c r="G55" s="291">
        <f t="shared" si="4"/>
        <v>37</v>
      </c>
      <c r="H55" s="6">
        <v>5</v>
      </c>
    </row>
    <row r="56" spans="1:13" x14ac:dyDescent="0.25">
      <c r="A56" s="348" t="str">
        <f>C10</f>
        <v>Agilidad</v>
      </c>
      <c r="B56" s="348"/>
      <c r="C56">
        <f>D10*H53</f>
        <v>5</v>
      </c>
      <c r="D56" s="291">
        <f t="shared" ref="D56:G56" si="5">ROUNDDOWN(C56*1.7,0)</f>
        <v>8</v>
      </c>
      <c r="E56" s="291">
        <f t="shared" si="5"/>
        <v>13</v>
      </c>
      <c r="F56" s="291">
        <f t="shared" si="5"/>
        <v>22</v>
      </c>
      <c r="G56" s="291">
        <f t="shared" si="5"/>
        <v>37</v>
      </c>
    </row>
    <row r="57" spans="1:13" x14ac:dyDescent="0.25">
      <c r="A57" s="348" t="str">
        <f>C11</f>
        <v>Inteligencia</v>
      </c>
      <c r="B57" s="348"/>
      <c r="C57">
        <f>D11*H53</f>
        <v>5</v>
      </c>
      <c r="D57" s="291">
        <f t="shared" ref="D57:G57" si="6">ROUNDDOWN(C57*1.7,0)</f>
        <v>8</v>
      </c>
      <c r="E57" s="291">
        <f t="shared" si="6"/>
        <v>13</v>
      </c>
      <c r="F57" s="291">
        <f t="shared" si="6"/>
        <v>22</v>
      </c>
      <c r="G57" s="291">
        <f t="shared" si="6"/>
        <v>37</v>
      </c>
    </row>
    <row r="58" spans="1:13" x14ac:dyDescent="0.25">
      <c r="A58" s="348" t="s">
        <v>77</v>
      </c>
      <c r="B58" s="348"/>
      <c r="C58">
        <f>(C$23+C$24)/2*$H$53</f>
        <v>0</v>
      </c>
      <c r="D58">
        <f>(D$23+D$24)/2*$H$53</f>
        <v>2.5</v>
      </c>
      <c r="E58">
        <f>(E$23+E$24)/2*$H$53</f>
        <v>7.5</v>
      </c>
      <c r="F58">
        <f>(F$23+F$24)/2*$H$53</f>
        <v>12.5</v>
      </c>
      <c r="G58">
        <f>(G$23+G$24)/2*$H$53</f>
        <v>17.5</v>
      </c>
    </row>
    <row r="59" spans="1:13" x14ac:dyDescent="0.25">
      <c r="A59" s="357" t="s">
        <v>49</v>
      </c>
      <c r="B59" s="357"/>
      <c r="C59" s="357"/>
      <c r="D59" s="357"/>
      <c r="E59" s="357"/>
      <c r="F59" s="357"/>
      <c r="G59" s="357"/>
    </row>
    <row r="60" spans="1:13" x14ac:dyDescent="0.25">
      <c r="A60" s="348" t="s">
        <v>50</v>
      </c>
      <c r="B60" s="348"/>
      <c r="C60" s="5">
        <f>ROUNDDOWN(C32/5*H53,0)</f>
        <v>8</v>
      </c>
      <c r="D60" s="5">
        <f>ROUNDDOWN(D32/5*H53,0)</f>
        <v>26</v>
      </c>
      <c r="E60" s="5">
        <f>ROUNDDOWN(E32/5*H53,0)</f>
        <v>80</v>
      </c>
      <c r="F60" s="5">
        <f>ROUNDDOWN(F32/5*H53,0)</f>
        <v>240</v>
      </c>
      <c r="G60" s="5">
        <f>ROUNDDOWN(G32/5*H53,0)</f>
        <v>480</v>
      </c>
    </row>
    <row r="61" spans="1:13" x14ac:dyDescent="0.25">
      <c r="A61" s="348" t="str">
        <f>C12</f>
        <v>Esencia</v>
      </c>
      <c r="B61" s="348"/>
      <c r="C61" s="5">
        <f>ROUNDDOWN(C60/3,0)</f>
        <v>2</v>
      </c>
      <c r="D61" s="5">
        <f>ROUNDDOWN(D60/3,0)</f>
        <v>8</v>
      </c>
      <c r="E61" s="5">
        <f>ROUNDDOWN(E60/3,0)</f>
        <v>26</v>
      </c>
      <c r="F61" s="5">
        <f>ROUNDDOWN(F60/3,0)</f>
        <v>80</v>
      </c>
      <c r="G61" s="5">
        <f>ROUNDDOWN(G60/3,0)</f>
        <v>160</v>
      </c>
    </row>
    <row r="62" spans="1:13" x14ac:dyDescent="0.25">
      <c r="A62" s="358"/>
      <c r="B62" s="358"/>
    </row>
    <row r="63" spans="1:13" ht="27.75" customHeight="1" x14ac:dyDescent="0.25">
      <c r="A63" s="356" t="s">
        <v>64</v>
      </c>
      <c r="B63" s="356"/>
      <c r="C63" s="3" t="s">
        <v>0</v>
      </c>
      <c r="D63" s="3" t="s">
        <v>86</v>
      </c>
      <c r="E63" s="3" t="s">
        <v>83</v>
      </c>
      <c r="F63" s="3" t="s">
        <v>84</v>
      </c>
      <c r="G63" s="3" t="s">
        <v>85</v>
      </c>
      <c r="H63" s="3" t="s">
        <v>62</v>
      </c>
    </row>
    <row r="64" spans="1:13" x14ac:dyDescent="0.25">
      <c r="A64" s="357" t="s">
        <v>20</v>
      </c>
      <c r="B64" s="357"/>
      <c r="C64" s="357"/>
      <c r="D64" s="357"/>
      <c r="E64" s="357"/>
      <c r="F64" s="357"/>
      <c r="G64" s="357"/>
      <c r="H64" s="6">
        <f>$H$66*$I$42</f>
        <v>8</v>
      </c>
    </row>
    <row r="65" spans="1:8" x14ac:dyDescent="0.25">
      <c r="A65" s="348" t="str">
        <f>C8</f>
        <v>Vitalidad</v>
      </c>
      <c r="B65" s="348"/>
      <c r="C65">
        <f>D8*H64</f>
        <v>8</v>
      </c>
      <c r="D65">
        <f>ROUNDDOWN(C65*1.7,0)</f>
        <v>13</v>
      </c>
      <c r="E65">
        <f>ROUNDDOWN(D65*1.7,0)</f>
        <v>22</v>
      </c>
      <c r="F65">
        <f>ROUNDDOWN(E65*1.7,0)</f>
        <v>37</v>
      </c>
      <c r="G65">
        <f>ROUNDDOWN(F65*1.7,0)</f>
        <v>62</v>
      </c>
      <c r="H65" s="26" t="s">
        <v>120</v>
      </c>
    </row>
    <row r="66" spans="1:8" x14ac:dyDescent="0.25">
      <c r="A66" s="348" t="str">
        <f>C9</f>
        <v>Fuerza</v>
      </c>
      <c r="B66" s="348"/>
      <c r="C66">
        <f>D9*H64</f>
        <v>8</v>
      </c>
      <c r="D66" s="291">
        <f t="shared" ref="D66:G68" si="7">ROUNDDOWN(C66*1.7,0)</f>
        <v>13</v>
      </c>
      <c r="E66" s="291">
        <f t="shared" si="7"/>
        <v>22</v>
      </c>
      <c r="F66" s="291">
        <f t="shared" si="7"/>
        <v>37</v>
      </c>
      <c r="G66" s="291">
        <f t="shared" si="7"/>
        <v>62</v>
      </c>
      <c r="H66" s="6">
        <v>8</v>
      </c>
    </row>
    <row r="67" spans="1:8" x14ac:dyDescent="0.25">
      <c r="A67" s="348" t="str">
        <f>C10</f>
        <v>Agilidad</v>
      </c>
      <c r="B67" s="348"/>
      <c r="C67">
        <f>D9*H64</f>
        <v>8</v>
      </c>
      <c r="D67" s="291">
        <f t="shared" si="7"/>
        <v>13</v>
      </c>
      <c r="E67" s="291">
        <f t="shared" si="7"/>
        <v>22</v>
      </c>
      <c r="F67" s="291">
        <f t="shared" si="7"/>
        <v>37</v>
      </c>
      <c r="G67" s="291">
        <f t="shared" si="7"/>
        <v>62</v>
      </c>
    </row>
    <row r="68" spans="1:8" x14ac:dyDescent="0.25">
      <c r="A68" s="348" t="str">
        <f>C11</f>
        <v>Inteligencia</v>
      </c>
      <c r="B68" s="348"/>
      <c r="C68">
        <f>D9*H64</f>
        <v>8</v>
      </c>
      <c r="D68" s="291">
        <f t="shared" si="7"/>
        <v>13</v>
      </c>
      <c r="E68" s="291">
        <f t="shared" si="7"/>
        <v>22</v>
      </c>
      <c r="F68" s="291">
        <f t="shared" si="7"/>
        <v>37</v>
      </c>
      <c r="G68" s="291">
        <f t="shared" si="7"/>
        <v>62</v>
      </c>
    </row>
    <row r="69" spans="1:8" x14ac:dyDescent="0.25">
      <c r="A69" s="348" t="s">
        <v>77</v>
      </c>
      <c r="B69" s="348"/>
      <c r="C69">
        <f>(C$23+C$24)/2*$H$64</f>
        <v>0</v>
      </c>
      <c r="D69">
        <f>(D$23+D$24)/2*$H$64</f>
        <v>4</v>
      </c>
      <c r="E69">
        <f>(E$23+E$24)/2*$H$64</f>
        <v>12</v>
      </c>
      <c r="F69">
        <f>(F$23+F$24)/2*$H$64</f>
        <v>20</v>
      </c>
      <c r="G69">
        <f>(G$23+G$24)/2*$H$64</f>
        <v>28</v>
      </c>
    </row>
    <row r="70" spans="1:8" x14ac:dyDescent="0.25">
      <c r="A70" s="357" t="s">
        <v>49</v>
      </c>
      <c r="B70" s="357"/>
      <c r="C70" s="357"/>
      <c r="D70" s="357"/>
      <c r="E70" s="357"/>
      <c r="F70" s="357"/>
      <c r="G70" s="357"/>
    </row>
    <row r="71" spans="1:8" x14ac:dyDescent="0.25">
      <c r="A71" s="348" t="s">
        <v>50</v>
      </c>
      <c r="B71" s="348"/>
      <c r="C71" s="5">
        <f>ROUNDDOWN(C32/5*H64,0)</f>
        <v>14</v>
      </c>
      <c r="D71" s="5">
        <f>ROUNDDOWN(D32/5*H64,0)</f>
        <v>42</v>
      </c>
      <c r="E71" s="5">
        <f>ROUNDDOWN(E32/5*H64,0)</f>
        <v>128</v>
      </c>
      <c r="F71" s="5">
        <f>ROUNDDOWN(F32/5*H64,0)</f>
        <v>384</v>
      </c>
      <c r="G71" s="5">
        <f>ROUNDDOWN(G32/5*H64,0)</f>
        <v>768</v>
      </c>
    </row>
    <row r="72" spans="1:8" x14ac:dyDescent="0.25">
      <c r="A72" s="348" t="str">
        <f>C12</f>
        <v>Esencia</v>
      </c>
      <c r="B72" s="348"/>
      <c r="C72" s="5">
        <f>ROUNDDOWN(C71/3,0)</f>
        <v>4</v>
      </c>
      <c r="D72" s="5">
        <f>ROUNDDOWN(D71/3,0)</f>
        <v>14</v>
      </c>
      <c r="E72" s="5">
        <f>ROUNDDOWN(E71/3,0)</f>
        <v>42</v>
      </c>
      <c r="F72" s="5">
        <f>ROUNDDOWN(F71/3,0)</f>
        <v>128</v>
      </c>
      <c r="G72" s="5">
        <f>ROUNDDOWN(G71/3,0)</f>
        <v>256</v>
      </c>
    </row>
    <row r="73" spans="1:8" x14ac:dyDescent="0.25">
      <c r="A73" s="359"/>
      <c r="B73" s="359"/>
    </row>
    <row r="74" spans="1:8" ht="27.75" customHeight="1" x14ac:dyDescent="0.25">
      <c r="A74" s="356" t="s">
        <v>11</v>
      </c>
      <c r="B74" s="356"/>
      <c r="C74" s="3" t="s">
        <v>0</v>
      </c>
      <c r="D74" s="3" t="s">
        <v>86</v>
      </c>
      <c r="E74" s="3" t="s">
        <v>83</v>
      </c>
      <c r="F74" s="3" t="s">
        <v>84</v>
      </c>
      <c r="G74" s="3" t="s">
        <v>85</v>
      </c>
      <c r="H74" s="3" t="s">
        <v>62</v>
      </c>
    </row>
    <row r="75" spans="1:8" x14ac:dyDescent="0.25">
      <c r="A75" s="357" t="s">
        <v>20</v>
      </c>
      <c r="B75" s="357"/>
      <c r="C75" s="357"/>
      <c r="D75" s="357"/>
      <c r="E75" s="357"/>
      <c r="F75" s="357"/>
      <c r="G75" s="357"/>
      <c r="H75" s="6">
        <f>$H$77*$I$42</f>
        <v>7</v>
      </c>
    </row>
    <row r="76" spans="1:8" x14ac:dyDescent="0.25">
      <c r="A76" s="348" t="str">
        <f>C8</f>
        <v>Vitalidad</v>
      </c>
      <c r="B76" s="348"/>
      <c r="C76">
        <f>D8*H75</f>
        <v>7</v>
      </c>
      <c r="D76" s="291">
        <f>ROUNDDOWN(C76*1.7,0)</f>
        <v>11</v>
      </c>
      <c r="E76" s="291">
        <f>ROUNDDOWN(D76*1.7,0)</f>
        <v>18</v>
      </c>
      <c r="F76" s="291">
        <f>ROUNDDOWN(E76*1.7,0)</f>
        <v>30</v>
      </c>
      <c r="G76" s="291">
        <f>ROUNDDOWN(F76*1.7,0)</f>
        <v>51</v>
      </c>
      <c r="H76" s="26" t="s">
        <v>120</v>
      </c>
    </row>
    <row r="77" spans="1:8" x14ac:dyDescent="0.25">
      <c r="A77" s="348" t="str">
        <f>C9</f>
        <v>Fuerza</v>
      </c>
      <c r="B77" s="348"/>
      <c r="C77">
        <f>D9*H75</f>
        <v>7</v>
      </c>
      <c r="D77" s="291">
        <f t="shared" ref="D77:G77" si="8">ROUNDDOWN(C77*1.7,0)</f>
        <v>11</v>
      </c>
      <c r="E77" s="291">
        <f t="shared" si="8"/>
        <v>18</v>
      </c>
      <c r="F77" s="291">
        <f t="shared" si="8"/>
        <v>30</v>
      </c>
      <c r="G77" s="291">
        <f t="shared" si="8"/>
        <v>51</v>
      </c>
      <c r="H77" s="6">
        <v>7</v>
      </c>
    </row>
    <row r="78" spans="1:8" x14ac:dyDescent="0.25">
      <c r="A78" s="348" t="str">
        <f>C10</f>
        <v>Agilidad</v>
      </c>
      <c r="B78" s="348"/>
      <c r="C78">
        <f>D10*H75</f>
        <v>7</v>
      </c>
      <c r="D78" s="291">
        <f t="shared" ref="D78:G78" si="9">ROUNDDOWN(C78*1.7,0)</f>
        <v>11</v>
      </c>
      <c r="E78" s="291">
        <f t="shared" si="9"/>
        <v>18</v>
      </c>
      <c r="F78" s="291">
        <f t="shared" si="9"/>
        <v>30</v>
      </c>
      <c r="G78" s="291">
        <f t="shared" si="9"/>
        <v>51</v>
      </c>
    </row>
    <row r="79" spans="1:8" x14ac:dyDescent="0.25">
      <c r="A79" s="348" t="str">
        <f>C11</f>
        <v>Inteligencia</v>
      </c>
      <c r="B79" s="348"/>
      <c r="C79">
        <f>D11*H75</f>
        <v>7</v>
      </c>
      <c r="D79" s="291">
        <f t="shared" ref="D79:G79" si="10">ROUNDDOWN(C79*1.7,0)</f>
        <v>11</v>
      </c>
      <c r="E79" s="291">
        <f t="shared" si="10"/>
        <v>18</v>
      </c>
      <c r="F79" s="291">
        <f t="shared" si="10"/>
        <v>30</v>
      </c>
      <c r="G79" s="291">
        <f t="shared" si="10"/>
        <v>51</v>
      </c>
    </row>
    <row r="80" spans="1:8" x14ac:dyDescent="0.25">
      <c r="A80" s="348" t="s">
        <v>77</v>
      </c>
      <c r="B80" s="348"/>
      <c r="C80">
        <f>(C$23+C$24)/2*$H$75</f>
        <v>0</v>
      </c>
      <c r="D80">
        <f>(D$23+D$24)/2*$H$75</f>
        <v>3.5</v>
      </c>
      <c r="E80">
        <f>(E$23+E$24)/2*$H$75</f>
        <v>10.5</v>
      </c>
      <c r="F80">
        <f>(F$23+F$24)/2*$H$75</f>
        <v>17.5</v>
      </c>
      <c r="G80">
        <f>(G$23+G$24)/2*$H$75</f>
        <v>24.5</v>
      </c>
    </row>
    <row r="81" spans="1:8" x14ac:dyDescent="0.25">
      <c r="A81" s="357" t="s">
        <v>49</v>
      </c>
      <c r="B81" s="357"/>
      <c r="C81" s="357"/>
      <c r="D81" s="357"/>
      <c r="E81" s="357"/>
      <c r="F81" s="357"/>
      <c r="G81" s="357"/>
    </row>
    <row r="82" spans="1:8" x14ac:dyDescent="0.25">
      <c r="A82" s="348" t="s">
        <v>50</v>
      </c>
      <c r="B82" s="348"/>
      <c r="C82" s="5">
        <f>ROUNDDOWN(C32/5*H75,0)</f>
        <v>12</v>
      </c>
      <c r="D82" s="5">
        <f>ROUNDDOWN(D32/5*H75,0)</f>
        <v>37</v>
      </c>
      <c r="E82" s="5">
        <f>ROUNDDOWN(E32/5*H75,0)</f>
        <v>112</v>
      </c>
      <c r="F82" s="5">
        <f>ROUNDDOWN(F32/5*H75,0)</f>
        <v>336</v>
      </c>
      <c r="G82" s="5">
        <f>ROUNDDOWN(G32/5*H75,0)</f>
        <v>672</v>
      </c>
    </row>
    <row r="83" spans="1:8" x14ac:dyDescent="0.25">
      <c r="A83" s="348" t="str">
        <f>C12</f>
        <v>Esencia</v>
      </c>
      <c r="B83" s="348"/>
      <c r="C83" s="5">
        <f>ROUNDDOWN(C82/3,0)</f>
        <v>4</v>
      </c>
      <c r="D83" s="5">
        <f t="shared" ref="D83:G83" si="11">ROUNDDOWN(D82/3,0)</f>
        <v>12</v>
      </c>
      <c r="E83" s="5">
        <f t="shared" si="11"/>
        <v>37</v>
      </c>
      <c r="F83" s="5">
        <f t="shared" si="11"/>
        <v>112</v>
      </c>
      <c r="G83" s="5">
        <f t="shared" si="11"/>
        <v>224</v>
      </c>
    </row>
    <row r="84" spans="1:8" x14ac:dyDescent="0.25">
      <c r="A84" s="359"/>
      <c r="B84" s="359"/>
    </row>
    <row r="85" spans="1:8" ht="27.75" customHeight="1" x14ac:dyDescent="0.25">
      <c r="A85" s="356" t="s">
        <v>66</v>
      </c>
      <c r="B85" s="356"/>
      <c r="C85" s="3" t="s">
        <v>0</v>
      </c>
      <c r="D85" s="3" t="s">
        <v>86</v>
      </c>
      <c r="E85" s="3" t="s">
        <v>83</v>
      </c>
      <c r="F85" s="3" t="s">
        <v>84</v>
      </c>
      <c r="G85" s="3" t="s">
        <v>85</v>
      </c>
      <c r="H85" s="3" t="s">
        <v>62</v>
      </c>
    </row>
    <row r="86" spans="1:8" x14ac:dyDescent="0.25">
      <c r="A86" s="357" t="s">
        <v>20</v>
      </c>
      <c r="B86" s="357"/>
      <c r="C86" s="357"/>
      <c r="D86" s="357"/>
      <c r="E86" s="357"/>
      <c r="F86" s="357"/>
      <c r="G86" s="357"/>
      <c r="H86" s="6">
        <v>4</v>
      </c>
    </row>
    <row r="87" spans="1:8" x14ac:dyDescent="0.25">
      <c r="A87" s="348" t="str">
        <f>C8</f>
        <v>Vitalidad</v>
      </c>
      <c r="B87" s="348"/>
      <c r="C87">
        <f>D9*H86</f>
        <v>4</v>
      </c>
      <c r="D87" s="291">
        <f>ROUNDDOWN(C87*1.7,0)</f>
        <v>6</v>
      </c>
      <c r="E87" s="291">
        <f>ROUNDDOWN(D87*1.7,0)</f>
        <v>10</v>
      </c>
      <c r="F87" s="291">
        <f>ROUNDDOWN(E87*1.7,0)</f>
        <v>17</v>
      </c>
      <c r="G87" s="291">
        <f>ROUNDDOWN(F87*1.7,0)</f>
        <v>28</v>
      </c>
      <c r="H87" s="26" t="s">
        <v>120</v>
      </c>
    </row>
    <row r="88" spans="1:8" x14ac:dyDescent="0.25">
      <c r="A88" s="348" t="str">
        <f>C9</f>
        <v>Fuerza</v>
      </c>
      <c r="B88" s="348"/>
      <c r="C88">
        <f>D10*H86</f>
        <v>4</v>
      </c>
      <c r="D88" s="291">
        <f t="shared" ref="D88:G88" si="12">ROUNDDOWN(C88*1.7,0)</f>
        <v>6</v>
      </c>
      <c r="E88" s="291">
        <f t="shared" si="12"/>
        <v>10</v>
      </c>
      <c r="F88" s="291">
        <f t="shared" si="12"/>
        <v>17</v>
      </c>
      <c r="G88" s="291">
        <f t="shared" si="12"/>
        <v>28</v>
      </c>
      <c r="H88" s="6">
        <v>4</v>
      </c>
    </row>
    <row r="89" spans="1:8" x14ac:dyDescent="0.25">
      <c r="A89" s="348" t="str">
        <f>C10</f>
        <v>Agilidad</v>
      </c>
      <c r="B89" s="348"/>
      <c r="C89">
        <f>D11*H86</f>
        <v>4</v>
      </c>
      <c r="D89" s="291">
        <f t="shared" ref="D89:G89" si="13">ROUNDDOWN(C89*1.7,0)</f>
        <v>6</v>
      </c>
      <c r="E89" s="291">
        <f t="shared" si="13"/>
        <v>10</v>
      </c>
      <c r="F89" s="291">
        <f t="shared" si="13"/>
        <v>17</v>
      </c>
      <c r="G89" s="291">
        <f t="shared" si="13"/>
        <v>28</v>
      </c>
    </row>
    <row r="90" spans="1:8" x14ac:dyDescent="0.25">
      <c r="A90" s="348" t="str">
        <f>C11</f>
        <v>Inteligencia</v>
      </c>
      <c r="B90" s="348"/>
      <c r="C90">
        <f>D12*H86</f>
        <v>4</v>
      </c>
      <c r="D90" s="291">
        <f t="shared" ref="D90:G90" si="14">ROUNDDOWN(C90*1.7,0)</f>
        <v>6</v>
      </c>
      <c r="E90" s="291">
        <f t="shared" si="14"/>
        <v>10</v>
      </c>
      <c r="F90" s="291">
        <f t="shared" si="14"/>
        <v>17</v>
      </c>
      <c r="G90" s="291">
        <f t="shared" si="14"/>
        <v>28</v>
      </c>
    </row>
    <row r="91" spans="1:8" x14ac:dyDescent="0.25">
      <c r="A91" s="348" t="s">
        <v>77</v>
      </c>
      <c r="B91" s="348"/>
      <c r="C91">
        <f>(C$23+C$24)/2*$H$86</f>
        <v>0</v>
      </c>
      <c r="D91">
        <f>(D$23+D$24)/2*$H$86</f>
        <v>2</v>
      </c>
      <c r="E91">
        <f>(E$23+E$24)/2*$H$86</f>
        <v>6</v>
      </c>
      <c r="F91">
        <f>(F$23+F$24)/2*$H$86</f>
        <v>10</v>
      </c>
      <c r="G91">
        <f>(G$23+G$24)/2*$H$86</f>
        <v>14</v>
      </c>
    </row>
    <row r="92" spans="1:8" x14ac:dyDescent="0.25">
      <c r="A92" s="357" t="s">
        <v>49</v>
      </c>
      <c r="B92" s="357"/>
      <c r="C92" s="357"/>
      <c r="D92" s="357"/>
      <c r="E92" s="357"/>
      <c r="F92" s="357"/>
      <c r="G92" s="357"/>
    </row>
    <row r="93" spans="1:8" x14ac:dyDescent="0.25">
      <c r="A93" s="348" t="s">
        <v>50</v>
      </c>
      <c r="B93" s="348"/>
      <c r="C93" s="5">
        <f>ROUNDDOWN(C32/5*H86,0)</f>
        <v>7</v>
      </c>
      <c r="D93" s="5">
        <f>ROUNDDOWN(D32/5*H86,0)</f>
        <v>21</v>
      </c>
      <c r="E93" s="5">
        <f>ROUNDDOWN(E32/5*H86,0)</f>
        <v>64</v>
      </c>
      <c r="F93" s="5">
        <f>ROUNDDOWN(F32/5*H86,0)</f>
        <v>192</v>
      </c>
      <c r="G93" s="5">
        <f>ROUNDDOWN(G32/5*H86,0)</f>
        <v>384</v>
      </c>
    </row>
    <row r="94" spans="1:8" x14ac:dyDescent="0.25">
      <c r="A94" s="348" t="str">
        <f>C12</f>
        <v>Esencia</v>
      </c>
      <c r="B94" s="348"/>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Z148"/>
  <sheetViews>
    <sheetView topLeftCell="R1" workbookViewId="0">
      <selection activeCell="Z4" sqref="Z4:Z8"/>
    </sheetView>
  </sheetViews>
  <sheetFormatPr baseColWidth="10" defaultRowHeight="15" x14ac:dyDescent="0.25"/>
  <cols>
    <col min="22" max="26" width="17.140625" customWidth="1"/>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36</v>
      </c>
      <c r="B2" s="298"/>
      <c r="C2" s="298">
        <f>'ECONOMIA &amp; PROFESIONES'!$N$3</f>
        <v>1</v>
      </c>
      <c r="D2" s="298"/>
      <c r="E2" s="298" t="s">
        <v>81</v>
      </c>
      <c r="F2" s="298"/>
      <c r="G2" s="298" t="s">
        <v>90</v>
      </c>
      <c r="H2" s="298"/>
      <c r="I2" s="298" t="str">
        <f>MAIN!$J$42</f>
        <v>&amp;7Ataque:</v>
      </c>
      <c r="J2" s="298"/>
      <c r="K2" s="298">
        <f>MAIN!$L$42</f>
        <v>2</v>
      </c>
      <c r="L2" s="298"/>
    </row>
    <row r="3" spans="1:26" ht="29.25" customHeight="1" x14ac:dyDescent="0.25">
      <c r="A3" s="361" t="s">
        <v>7</v>
      </c>
      <c r="B3" s="361"/>
      <c r="C3" s="361"/>
      <c r="D3" s="361"/>
      <c r="E3" s="361" t="s">
        <v>8</v>
      </c>
      <c r="F3" s="361"/>
      <c r="G3" s="361"/>
      <c r="H3" s="361"/>
      <c r="I3" s="361" t="s">
        <v>83</v>
      </c>
      <c r="J3" s="361"/>
      <c r="K3" s="361"/>
      <c r="L3" s="361"/>
      <c r="M3" s="361" t="s">
        <v>84</v>
      </c>
      <c r="N3" s="361"/>
      <c r="O3" s="361"/>
      <c r="P3" s="361"/>
      <c r="Q3" s="361" t="s">
        <v>85</v>
      </c>
      <c r="R3" s="361"/>
      <c r="S3" s="361"/>
      <c r="T3" s="36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$I$2&amp;" "&amp;ROUND(MAIN!$C$44*$C$2*$K$2/5*$U$4,0)</f>
        <v>&amp;7Ataque: 1</v>
      </c>
      <c r="W4" s="291" t="str">
        <f>$I$2&amp;" "&amp;ROUND(MAIN!$D$44*$C$2*$K$2/5*$U$4,0)</f>
        <v>&amp;7Ataque: 2</v>
      </c>
      <c r="X4" s="291" t="str">
        <f>$I$2&amp;" "&amp;ROUND(MAIN!$E$44*$C$2*$K$2/5*$U$4,0)</f>
        <v>&amp;7Ataque: 7</v>
      </c>
      <c r="Y4" s="291" t="str">
        <f>$I$2&amp;" "&amp;ROUND(MAIN!$F$44*$C$2*$K$2/5*$U$4,0)</f>
        <v>&amp;7Ataque: 22</v>
      </c>
      <c r="Z4" s="291"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$I$2&amp;" "&amp;ROUND(MAIN!$C$44*$C$2*$K$2/5*$U$5,0)</f>
        <v>&amp;7Ataque: 2</v>
      </c>
      <c r="W5" s="291" t="str">
        <f>$I$2&amp;" "&amp;ROUND(MAIN!$D$44*$C$2*$K$2/5*$U$5,0)</f>
        <v>&amp;7Ataque: 5</v>
      </c>
      <c r="X5" s="291" t="str">
        <f>$I$2&amp;" "&amp;ROUND(MAIN!$E$44*$C$2*$K$2/5*$U$5,0)</f>
        <v>&amp;7Ataque: 14</v>
      </c>
      <c r="Y5" s="291" t="str">
        <f>$I$2&amp;" "&amp;ROUND(MAIN!$F$44*$C$2*$K$2/5*$U$5,0)</f>
        <v>&amp;7Ataque: 43</v>
      </c>
      <c r="Z5" s="291"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$I$2&amp;" "&amp;ROUND(MAIN!$C$44*$C$2*$K$2/5*$U$6,0)</f>
        <v>&amp;7Ataque: 2</v>
      </c>
      <c r="W6" s="291" t="str">
        <f>$I$2&amp;" "&amp;ROUND(MAIN!$D$44*$C$2*$K$2/5*$U$6,0)</f>
        <v>&amp;7Ataque: 7</v>
      </c>
      <c r="X6" s="291" t="str">
        <f>$I$2&amp;" "&amp;ROUND(MAIN!$E$44*$C$2*$K$2/5*$U$6,0)</f>
        <v>&amp;7Ataque: 22</v>
      </c>
      <c r="Y6" s="291" t="str">
        <f>$I$2&amp;" "&amp;ROUND(MAIN!$F$44*$C$2*$K$2/5*$U$6,0)</f>
        <v>&amp;7Ataque: 65</v>
      </c>
      <c r="Z6" s="291"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$I$2&amp;" "&amp;ROUND(MAIN!$C$44*$C$2*$K$2/5*$U$7,0)</f>
        <v>&amp;7Ataque: 3</v>
      </c>
      <c r="W7" s="291" t="str">
        <f>$I$2&amp;" "&amp;ROUND(MAIN!$D$44*$C$2*$K$2/5*$U$7,0)</f>
        <v>&amp;7Ataque: 10</v>
      </c>
      <c r="X7" s="291" t="str">
        <f>$I$2&amp;" "&amp;ROUND(MAIN!$E$44*$C$2*$K$2/5*$U$7,0)</f>
        <v>&amp;7Ataque: 29</v>
      </c>
      <c r="Y7" s="291" t="str">
        <f>$I$2&amp;" "&amp;ROUND(MAIN!$F$44*$C$2*$K$2/5*$U$7,0)</f>
        <v>&amp;7Ataque: 86</v>
      </c>
      <c r="Z7" s="291"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$I$2&amp;" "&amp;ROUND(MAIN!$C$44*$C$2*$K$2/5*$U$8,0)</f>
        <v>&amp;7Ataque: 4</v>
      </c>
      <c r="W8" s="291" t="str">
        <f>$I$2&amp;" "&amp;ROUND(MAIN!$D$44*$C$2*$K$2/5*$U$8,0)</f>
        <v>&amp;7Ataque: 12</v>
      </c>
      <c r="X8" s="291" t="str">
        <f>$I$2&amp;" "&amp;ROUND(MAIN!$E$44*$C$2*$K$2/5*$U$8,0)</f>
        <v>&amp;7Ataque: 36</v>
      </c>
      <c r="Y8" s="291" t="str">
        <f>$I$2&amp;" "&amp;ROUND(MAIN!$F$44*$C$2*$K$2/5*$U$8,0)</f>
        <v>&amp;7Ataque: 108</v>
      </c>
      <c r="Z8" s="291"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Z170"/>
  <sheetViews>
    <sheetView topLeftCell="A22" workbookViewId="0">
      <selection activeCell="B47" sqref="B47"/>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100</v>
      </c>
      <c r="B2" s="298"/>
      <c r="C2" s="298">
        <f>'ECONOMIA &amp; PROFESIONES'!$O$3</f>
        <v>3</v>
      </c>
      <c r="D2" s="298"/>
      <c r="E2" s="298" t="s">
        <v>81</v>
      </c>
      <c r="F2" s="298"/>
      <c r="G2" s="298" t="s">
        <v>97</v>
      </c>
      <c r="H2" s="298"/>
      <c r="I2" s="298" t="str">
        <f>MAIN!$J$42</f>
        <v>&amp;7Ataque:</v>
      </c>
      <c r="J2" s="298"/>
      <c r="K2" s="298">
        <f>MAIN!$L$42</f>
        <v>2</v>
      </c>
      <c r="L2" s="298"/>
    </row>
    <row r="3" spans="1:26" ht="29.25" customHeight="1" x14ac:dyDescent="0.25">
      <c r="A3" s="361" t="s">
        <v>7</v>
      </c>
      <c r="B3" s="361"/>
      <c r="C3" s="361"/>
      <c r="D3" s="361"/>
      <c r="E3" s="361" t="s">
        <v>8</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$I$2&amp;" "&amp;ROUND(MAIN!$C$44*$C$2*$K$2/5*$U$4,0)</f>
        <v>&amp;7Ataque: 2</v>
      </c>
      <c r="W4" s="291" t="str">
        <f>$I$2&amp;" "&amp;ROUND(MAIN!$D$44*$C$2*$K$2/5*$U$4,0)</f>
        <v>&amp;7Ataque: 7</v>
      </c>
      <c r="X4" s="291" t="str">
        <f>$I$2&amp;" "&amp;ROUND(MAIN!$E$44*$C$2*$K$2/5*$U$4,0)</f>
        <v>&amp;7Ataque: 22</v>
      </c>
      <c r="Y4" s="291" t="str">
        <f>$I$2&amp;" "&amp;ROUND(MAIN!$F$44*$C$2*$K$2/5*$U$4,0)</f>
        <v>&amp;7Ataque: 65</v>
      </c>
      <c r="Z4" s="291"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$I$2&amp;" "&amp;ROUND(MAIN!$C$44*$C$2*$K$2/5*$U$5,0)</f>
        <v>&amp;7Ataque: 5</v>
      </c>
      <c r="W5" s="291" t="str">
        <f>$I$2&amp;" "&amp;ROUND(MAIN!$D$44*$C$2*$K$2/5*$U$5,0)</f>
        <v>&amp;7Ataque: 14</v>
      </c>
      <c r="X5" s="291" t="str">
        <f>$I$2&amp;" "&amp;ROUND(MAIN!$E$44*$C$2*$K$2/5*$U$5,0)</f>
        <v>&amp;7Ataque: 43</v>
      </c>
      <c r="Y5" s="291" t="str">
        <f>$I$2&amp;" "&amp;ROUND(MAIN!$F$44*$C$2*$K$2/5*$U$5,0)</f>
        <v>&amp;7Ataque: 130</v>
      </c>
      <c r="Z5" s="291"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7</v>
      </c>
      <c r="W6" s="291" t="str">
        <f>$I$2&amp;" "&amp;ROUND(MAIN!$D$44*$C$2*$K$2/5*$U$6,0)</f>
        <v>&amp;7Ataque: 22</v>
      </c>
      <c r="X6" s="291" t="str">
        <f>$I$2&amp;" "&amp;ROUND(MAIN!$E$44*$C$2*$K$2/5*$U$6,0)</f>
        <v>&amp;7Ataque: 65</v>
      </c>
      <c r="Y6" s="291" t="str">
        <f>$I$2&amp;" "&amp;ROUND(MAIN!$F$44*$C$2*$K$2/5*$U$6,0)</f>
        <v>&amp;7Ataque: 194</v>
      </c>
      <c r="Z6" s="291"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10</v>
      </c>
      <c r="W7" s="291" t="str">
        <f>$I$2&amp;" "&amp;ROUND(MAIN!$D$44*$C$2*$K$2/5*$U$7,0)</f>
        <v>&amp;7Ataque: 29</v>
      </c>
      <c r="X7" s="291" t="str">
        <f>$I$2&amp;" "&amp;ROUND(MAIN!$E$44*$C$2*$K$2/5*$U$7,0)</f>
        <v>&amp;7Ataque: 86</v>
      </c>
      <c r="Y7" s="291" t="str">
        <f>$I$2&amp;" "&amp;ROUND(MAIN!$F$44*$C$2*$K$2/5*$U$7,0)</f>
        <v>&amp;7Ataque: 259</v>
      </c>
      <c r="Z7" s="291"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12</v>
      </c>
      <c r="W8" s="291" t="str">
        <f>$I$2&amp;" "&amp;ROUND(MAIN!$D$44*$C$2*$K$2/5*$U$8,0)</f>
        <v>&amp;7Ataque: 36</v>
      </c>
      <c r="X8" s="291" t="str">
        <f>$I$2&amp;" "&amp;ROUND(MAIN!$E$44*$C$2*$K$2/5*$U$8,0)</f>
        <v>&amp;7Ataque: 108</v>
      </c>
      <c r="Y8" s="291" t="str">
        <f>$I$2&amp;" "&amp;ROUND(MAIN!$F$44*$C$2*$K$2/5*$U$8,0)</f>
        <v>&amp;7Ataque: 324</v>
      </c>
      <c r="Z8" s="291"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1193</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102</v>
      </c>
      <c r="B2" s="298"/>
      <c r="C2" s="298">
        <f>'ECONOMIA &amp; PROFESIONES'!$P$3</f>
        <v>5</v>
      </c>
      <c r="D2" s="298"/>
      <c r="E2" s="298" t="s">
        <v>81</v>
      </c>
      <c r="F2" s="298"/>
      <c r="G2" s="298" t="s">
        <v>103</v>
      </c>
      <c r="H2" s="298"/>
      <c r="I2" s="298" t="str">
        <f>MAIN!$J$42</f>
        <v>&amp;7Ataque:</v>
      </c>
      <c r="J2" s="298"/>
      <c r="K2" s="298">
        <f>MAIN!$L$42</f>
        <v>2</v>
      </c>
      <c r="L2" s="298"/>
    </row>
    <row r="3" spans="1:26" ht="29.25" customHeight="1" x14ac:dyDescent="0.25">
      <c r="A3" s="361" t="s">
        <v>7</v>
      </c>
      <c r="B3" s="361"/>
      <c r="C3" s="361"/>
      <c r="D3" s="361"/>
      <c r="E3" s="361" t="s">
        <v>8</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$I$2&amp;" "&amp;ROUND(MAIN!$C$44*$C$2*$K$2/5*$U$4,0)</f>
        <v>&amp;7Ataque: 4</v>
      </c>
      <c r="W4" s="291" t="str">
        <f>$I$2&amp;" "&amp;ROUND(MAIN!$D$44*$C$2*$K$2/5*$U$4,0)</f>
        <v>&amp;7Ataque: 12</v>
      </c>
      <c r="X4" s="291" t="str">
        <f>$I$2&amp;" "&amp;ROUND(MAIN!$E$44*$C$2*$K$2/5*$U$4,0)</f>
        <v>&amp;7Ataque: 36</v>
      </c>
      <c r="Y4" s="291" t="str">
        <f>$I$2&amp;" "&amp;ROUND(MAIN!$F$44*$C$2*$K$2/5*$U$4,0)</f>
        <v>&amp;7Ataque: 108</v>
      </c>
      <c r="Z4" s="291"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$I$2&amp;" "&amp;ROUND(MAIN!$C$44*$C$2*$K$2/5*$U$5,0)</f>
        <v>&amp;7Ataque: 8</v>
      </c>
      <c r="W5" s="291" t="str">
        <f>$I$2&amp;" "&amp;ROUND(MAIN!$D$44*$C$2*$K$2/5*$U$5,0)</f>
        <v>&amp;7Ataque: 24</v>
      </c>
      <c r="X5" s="291" t="str">
        <f>$I$2&amp;" "&amp;ROUND(MAIN!$E$44*$C$2*$K$2/5*$U$5,0)</f>
        <v>&amp;7Ataque: 72</v>
      </c>
      <c r="Y5" s="291" t="str">
        <f>$I$2&amp;" "&amp;ROUND(MAIN!$F$44*$C$2*$K$2/5*$U$5,0)</f>
        <v>&amp;7Ataque: 216</v>
      </c>
      <c r="Z5" s="291"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12</v>
      </c>
      <c r="W6" s="291" t="str">
        <f>$I$2&amp;" "&amp;ROUND(MAIN!$D$44*$C$2*$K$2/5*$U$6,0)</f>
        <v>&amp;7Ataque: 36</v>
      </c>
      <c r="X6" s="291" t="str">
        <f>$I$2&amp;" "&amp;ROUND(MAIN!$E$44*$C$2*$K$2/5*$U$6,0)</f>
        <v>&amp;7Ataque: 108</v>
      </c>
      <c r="Y6" s="291" t="str">
        <f>$I$2&amp;" "&amp;ROUND(MAIN!$F$44*$C$2*$K$2/5*$U$6,0)</f>
        <v>&amp;7Ataque: 324</v>
      </c>
      <c r="Z6" s="291"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16</v>
      </c>
      <c r="W7" s="291" t="str">
        <f>$I$2&amp;" "&amp;ROUND(MAIN!$D$44*$C$2*$K$2/5*$U$7,0)</f>
        <v>&amp;7Ataque: 48</v>
      </c>
      <c r="X7" s="291" t="str">
        <f>$I$2&amp;" "&amp;ROUND(MAIN!$E$44*$C$2*$K$2/5*$U$7,0)</f>
        <v>&amp;7Ataque: 144</v>
      </c>
      <c r="Y7" s="291" t="str">
        <f>$I$2&amp;" "&amp;ROUND(MAIN!$F$44*$C$2*$K$2/5*$U$7,0)</f>
        <v>&amp;7Ataque: 432</v>
      </c>
      <c r="Z7" s="291"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20</v>
      </c>
      <c r="W8" s="291" t="str">
        <f>$I$2&amp;" "&amp;ROUND(MAIN!$D$44*$C$2*$K$2/5*$U$8,0)</f>
        <v>&amp;7Ataque: 60</v>
      </c>
      <c r="X8" s="291" t="str">
        <f>$I$2&amp;" "&amp;ROUND(MAIN!$E$44*$C$2*$K$2/5*$U$8,0)</f>
        <v>&amp;7Ataque: 180</v>
      </c>
      <c r="Y8" s="291" t="str">
        <f>$I$2&amp;" "&amp;ROUND(MAIN!$F$44*$C$2*$K$2/5*$U$8,0)</f>
        <v>&amp;7Ataque: 540</v>
      </c>
      <c r="Z8" s="291"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104</v>
      </c>
      <c r="B2" s="298"/>
      <c r="C2" s="298">
        <f>'ECONOMIA &amp; PROFESIONES'!$Q$3</f>
        <v>7</v>
      </c>
      <c r="D2" s="298"/>
      <c r="E2" s="298" t="s">
        <v>81</v>
      </c>
      <c r="F2" s="298"/>
      <c r="G2" s="298" t="s">
        <v>3</v>
      </c>
      <c r="H2" s="298"/>
      <c r="I2" s="298" t="str">
        <f>MAIN!$J$42</f>
        <v>&amp;7Ataque:</v>
      </c>
      <c r="J2" s="298"/>
      <c r="K2" s="298">
        <f>MAIN!$L$42</f>
        <v>2</v>
      </c>
      <c r="L2" s="298"/>
    </row>
    <row r="3" spans="1:26" ht="29.25" customHeight="1" x14ac:dyDescent="0.25">
      <c r="A3" s="361" t="s">
        <v>7</v>
      </c>
      <c r="B3" s="361"/>
      <c r="C3" s="361"/>
      <c r="D3" s="361"/>
      <c r="E3" s="361" t="s">
        <v>8</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$I$2&amp;" "&amp;ROUND(MAIN!$C$44*$C$2*$K$2/5*$U$4,0)</f>
        <v>&amp;7Ataque: 6</v>
      </c>
      <c r="W4" s="291" t="str">
        <f>$I$2&amp;" "&amp;ROUND(MAIN!$D$44*$C$2*$K$2/5*$U$4,0)</f>
        <v>&amp;7Ataque: 17</v>
      </c>
      <c r="X4" s="291" t="str">
        <f>$I$2&amp;" "&amp;ROUND(MAIN!$E$44*$C$2*$K$2/5*$U$4,0)</f>
        <v>&amp;7Ataque: 50</v>
      </c>
      <c r="Y4" s="291" t="str">
        <f>$I$2&amp;" "&amp;ROUND(MAIN!$F$44*$C$2*$K$2/5*$U$4,0)</f>
        <v>&amp;7Ataque: 151</v>
      </c>
      <c r="Z4" s="291"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$I$2&amp;" "&amp;ROUND(MAIN!$C$44*$C$2*$K$2/5*$U$5,0)</f>
        <v>&amp;7Ataque: 11</v>
      </c>
      <c r="W5" s="291" t="str">
        <f>$I$2&amp;" "&amp;ROUND(MAIN!$D$44*$C$2*$K$2/5*$U$5,0)</f>
        <v>&amp;7Ataque: 34</v>
      </c>
      <c r="X5" s="291" t="str">
        <f>$I$2&amp;" "&amp;ROUND(MAIN!$E$44*$C$2*$K$2/5*$U$5,0)</f>
        <v>&amp;7Ataque: 101</v>
      </c>
      <c r="Y5" s="291" t="str">
        <f>$I$2&amp;" "&amp;ROUND(MAIN!$F$44*$C$2*$K$2/5*$U$5,0)</f>
        <v>&amp;7Ataque: 302</v>
      </c>
      <c r="Z5" s="291"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17</v>
      </c>
      <c r="W6" s="291" t="str">
        <f>$I$2&amp;" "&amp;ROUND(MAIN!$D$44*$C$2*$K$2/5*$U$6,0)</f>
        <v>&amp;7Ataque: 50</v>
      </c>
      <c r="X6" s="291" t="str">
        <f>$I$2&amp;" "&amp;ROUND(MAIN!$E$44*$C$2*$K$2/5*$U$6,0)</f>
        <v>&amp;7Ataque: 151</v>
      </c>
      <c r="Y6" s="291" t="str">
        <f>$I$2&amp;" "&amp;ROUND(MAIN!$F$44*$C$2*$K$2/5*$U$6,0)</f>
        <v>&amp;7Ataque: 454</v>
      </c>
      <c r="Z6" s="291"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22</v>
      </c>
      <c r="W7" s="291" t="str">
        <f>$I$2&amp;" "&amp;ROUND(MAIN!$D$44*$C$2*$K$2/5*$U$7,0)</f>
        <v>&amp;7Ataque: 67</v>
      </c>
      <c r="X7" s="291" t="str">
        <f>$I$2&amp;" "&amp;ROUND(MAIN!$E$44*$C$2*$K$2/5*$U$7,0)</f>
        <v>&amp;7Ataque: 202</v>
      </c>
      <c r="Y7" s="291" t="str">
        <f>$I$2&amp;" "&amp;ROUND(MAIN!$F$44*$C$2*$K$2/5*$U$7,0)</f>
        <v>&amp;7Ataque: 605</v>
      </c>
      <c r="Z7" s="291"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28</v>
      </c>
      <c r="W8" s="291" t="str">
        <f>$I$2&amp;" "&amp;ROUND(MAIN!$D$44*$C$2*$K$2/5*$U$8,0)</f>
        <v>&amp;7Ataque: 84</v>
      </c>
      <c r="X8" s="291" t="str">
        <f>$I$2&amp;" "&amp;ROUND(MAIN!$E$44*$C$2*$K$2/5*$U$8,0)</f>
        <v>&amp;7Ataque: 252</v>
      </c>
      <c r="Y8" s="291" t="str">
        <f>$I$2&amp;" "&amp;ROUND(MAIN!$F$44*$C$2*$K$2/5*$U$8,0)</f>
        <v>&amp;7Ataque: 756</v>
      </c>
      <c r="Z8" s="291"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105</v>
      </c>
      <c r="B2" s="298"/>
      <c r="C2" s="298">
        <f>'ECONOMIA &amp; PROFESIONES'!$R$3</f>
        <v>9</v>
      </c>
      <c r="D2" s="298"/>
      <c r="E2" s="298" t="s">
        <v>107</v>
      </c>
      <c r="F2" s="298"/>
      <c r="G2" s="298" t="s">
        <v>106</v>
      </c>
      <c r="H2" s="298"/>
      <c r="I2" s="298" t="str">
        <f>MAIN!$J$42</f>
        <v>&amp;7Ataque:</v>
      </c>
      <c r="J2" s="298"/>
      <c r="K2" s="298">
        <f>MAIN!$L$42</f>
        <v>2</v>
      </c>
      <c r="L2" s="298"/>
    </row>
    <row r="3" spans="1:26" ht="29.25" customHeight="1" x14ac:dyDescent="0.25">
      <c r="A3" s="361" t="s">
        <v>7</v>
      </c>
      <c r="B3" s="361"/>
      <c r="C3" s="361"/>
      <c r="D3" s="361"/>
      <c r="E3" s="361" t="s">
        <v>8</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$I$2&amp;" "&amp;ROUND(MAIN!$C$44*$C$2*$K$2/5*$U$4,0)</f>
        <v>&amp;7Ataque: 7</v>
      </c>
      <c r="W4" s="291" t="str">
        <f>$I$2&amp;" "&amp;ROUND(MAIN!$D$44*$C$2*$K$2/5*$U$4,0)</f>
        <v>&amp;7Ataque: 22</v>
      </c>
      <c r="X4" s="291" t="str">
        <f>$I$2&amp;" "&amp;ROUND(MAIN!$E$44*$C$2*$K$2/5*$U$4,0)</f>
        <v>&amp;7Ataque: 65</v>
      </c>
      <c r="Y4" s="291" t="str">
        <f>$I$2&amp;" "&amp;ROUND(MAIN!$F$44*$C$2*$K$2/5*$U$4,0)</f>
        <v>&amp;7Ataque: 194</v>
      </c>
      <c r="Z4" s="291"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$I$2&amp;" "&amp;ROUND(MAIN!$C$44*$C$2*$K$2/5*$U$5,0)</f>
        <v>&amp;7Ataque: 14</v>
      </c>
      <c r="W5" s="291" t="str">
        <f>$I$2&amp;" "&amp;ROUND(MAIN!$D$44*$C$2*$K$2/5*$U$5,0)</f>
        <v>&amp;7Ataque: 43</v>
      </c>
      <c r="X5" s="291" t="str">
        <f>$I$2&amp;" "&amp;ROUND(MAIN!$E$44*$C$2*$K$2/5*$U$5,0)</f>
        <v>&amp;7Ataque: 130</v>
      </c>
      <c r="Y5" s="291" t="str">
        <f>$I$2&amp;" "&amp;ROUND(MAIN!$F$44*$C$2*$K$2/5*$U$5,0)</f>
        <v>&amp;7Ataque: 389</v>
      </c>
      <c r="Z5" s="291"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22</v>
      </c>
      <c r="W6" s="291" t="str">
        <f>$I$2&amp;" "&amp;ROUND(MAIN!$D$44*$C$2*$K$2/5*$U$6,0)</f>
        <v>&amp;7Ataque: 65</v>
      </c>
      <c r="X6" s="291" t="str">
        <f>$I$2&amp;" "&amp;ROUND(MAIN!$E$44*$C$2*$K$2/5*$U$6,0)</f>
        <v>&amp;7Ataque: 194</v>
      </c>
      <c r="Y6" s="291" t="str">
        <f>$I$2&amp;" "&amp;ROUND(MAIN!$F$44*$C$2*$K$2/5*$U$6,0)</f>
        <v>&amp;7Ataque: 583</v>
      </c>
      <c r="Z6" s="291"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29</v>
      </c>
      <c r="W7" s="291" t="str">
        <f>$I$2&amp;" "&amp;ROUND(MAIN!$D$44*$C$2*$K$2/5*$U$7,0)</f>
        <v>&amp;7Ataque: 86</v>
      </c>
      <c r="X7" s="291" t="str">
        <f>$I$2&amp;" "&amp;ROUND(MAIN!$E$44*$C$2*$K$2/5*$U$7,0)</f>
        <v>&amp;7Ataque: 259</v>
      </c>
      <c r="Y7" s="291" t="str">
        <f>$I$2&amp;" "&amp;ROUND(MAIN!$F$44*$C$2*$K$2/5*$U$7,0)</f>
        <v>&amp;7Ataque: 778</v>
      </c>
      <c r="Z7" s="291"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36</v>
      </c>
      <c r="W8" s="291" t="str">
        <f>$I$2&amp;" "&amp;ROUND(MAIN!$D$44*$C$2*$K$2/5*$U$8,0)</f>
        <v>&amp;7Ataque: 108</v>
      </c>
      <c r="X8" s="291" t="str">
        <f>$I$2&amp;" "&amp;ROUND(MAIN!$E$44*$C$2*$K$2/5*$U$8,0)</f>
        <v>&amp;7Ataque: 324</v>
      </c>
      <c r="Y8" s="291" t="str">
        <f>$I$2&amp;" "&amp;ROUND(MAIN!$F$44*$C$2*$K$2/5*$U$8,0)</f>
        <v>&amp;7Ataque: 972</v>
      </c>
      <c r="Z8" s="291"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6" t="s">
        <v>19</v>
      </c>
      <c r="B1" s="356"/>
      <c r="C1" s="356" t="s">
        <v>70</v>
      </c>
      <c r="D1" s="356"/>
      <c r="E1" s="356" t="s">
        <v>80</v>
      </c>
      <c r="F1" s="356"/>
      <c r="G1" s="356" t="s">
        <v>89</v>
      </c>
      <c r="H1" s="356"/>
      <c r="I1" s="356" t="s">
        <v>1194</v>
      </c>
      <c r="J1" s="356"/>
      <c r="K1" s="356" t="s">
        <v>1196</v>
      </c>
      <c r="L1" s="356"/>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61" t="s">
        <v>0</v>
      </c>
      <c r="B3" s="361"/>
      <c r="C3" s="361"/>
      <c r="D3" s="361"/>
      <c r="E3" s="361" t="s">
        <v>86</v>
      </c>
      <c r="F3" s="361"/>
      <c r="G3" s="361"/>
      <c r="H3" s="361"/>
      <c r="I3" s="361" t="s">
        <v>83</v>
      </c>
      <c r="J3" s="361"/>
      <c r="K3" s="361"/>
      <c r="L3" s="361"/>
      <c r="M3" s="361" t="s">
        <v>84</v>
      </c>
      <c r="N3" s="361"/>
      <c r="O3" s="361"/>
      <c r="P3" s="361"/>
      <c r="Q3" s="361" t="s">
        <v>85</v>
      </c>
      <c r="R3" s="361"/>
      <c r="S3" s="361"/>
      <c r="T3" s="361"/>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94396</cp:lastModifiedBy>
  <cp:lastPrinted>2018-03-18T20:50:32Z</cp:lastPrinted>
  <dcterms:created xsi:type="dcterms:W3CDTF">2017-03-19T06:56:32Z</dcterms:created>
  <dcterms:modified xsi:type="dcterms:W3CDTF">2018-03-31T21:03:44Z</dcterms:modified>
</cp:coreProperties>
</file>