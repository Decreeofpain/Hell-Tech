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9029" codeName="{320AAD7A-AEEB-3B57-35EE-6C7AAB037B02}"/>
  <workbookPr codeName="ThisWorkbook"/>
  <mc:AlternateContent xmlns:mc="http://schemas.openxmlformats.org/markup-compatibility/2006">
    <mc:Choice Requires="x15">
      <x15ac:absPath xmlns:x15ac="http://schemas.microsoft.com/office/spreadsheetml/2010/11/ac" url="C:\Users\94396\Documents\GitHub\Hell-Tech\"/>
    </mc:Choice>
  </mc:AlternateContent>
  <bookViews>
    <workbookView xWindow="0" yWindow="1800" windowWidth="20400" windowHeight="7680" tabRatio="893" firstSheet="25" activeTab="27"/>
  </bookViews>
  <sheets>
    <sheet name="Clases" sheetId="37" r:id="rId1"/>
    <sheet name="ECONOMIA &amp; PROFESIONES" sheetId="32" r:id="rId2"/>
    <sheet name="ITEM CRAFT" sheetId="33" r:id="rId3"/>
    <sheet name="ITEM CORE" sheetId="34" r:id="rId4"/>
    <sheet name="PROFESION CORE" sheetId="35" r:id="rId5"/>
    <sheet name="Crafteos ESP" sheetId="36" r:id="rId6"/>
    <sheet name="MAIN" sheetId="1" r:id="rId7"/>
    <sheet name="armas comun" sheetId="4" r:id="rId8"/>
    <sheet name="helmet comun" sheetId="5" r:id="rId9"/>
    <sheet name="chestplate comun" sheetId="6" r:id="rId10"/>
    <sheet name="leggins comun" sheetId="7" r:id="rId11"/>
    <sheet name="boots comun" sheetId="9" r:id="rId12"/>
    <sheet name="armas magico" sheetId="10" r:id="rId13"/>
    <sheet name="helmet magico" sheetId="12" r:id="rId14"/>
    <sheet name="chestplate magico" sheetId="13" r:id="rId15"/>
    <sheet name="leggins magico" sheetId="14" r:id="rId16"/>
    <sheet name="boots magico" sheetId="15" r:id="rId17"/>
    <sheet name="armas raro" sheetId="16" r:id="rId18"/>
    <sheet name="helmet raro" sheetId="17" r:id="rId19"/>
    <sheet name="chestplate raro" sheetId="18" r:id="rId20"/>
    <sheet name="leggins raro" sheetId="19" r:id="rId21"/>
    <sheet name="boots raro" sheetId="20" r:id="rId22"/>
    <sheet name="armas legendario" sheetId="21" r:id="rId23"/>
    <sheet name="helmet legendario" sheetId="22" r:id="rId24"/>
    <sheet name="chestplate legendario" sheetId="23" r:id="rId25"/>
    <sheet name="leggins legendario" sheetId="24" r:id="rId26"/>
    <sheet name="boots legendario" sheetId="25" r:id="rId27"/>
    <sheet name="armas ancestral" sheetId="26" r:id="rId28"/>
    <sheet name="helmet ancestral" sheetId="27" r:id="rId29"/>
    <sheet name="chestplate ancestral" sheetId="28" r:id="rId30"/>
    <sheet name="leggins ancestral" sheetId="29" r:id="rId31"/>
    <sheet name="boots ancestral" sheetId="31" r:id="rId32"/>
  </sheets>
  <definedNames>
    <definedName name="ACCIONES">'ECONOMIA &amp; PROFESIONES'!$C$18:$C$23</definedName>
    <definedName name="craftedesp">'Crafteos ESP'!$A$38:$C$449</definedName>
    <definedName name="craftspar">'Crafteos ESP'!$A$38:$A$434</definedName>
    <definedName name="ECONLIST">'ITEM CRAFT'!$A$4:$F$796</definedName>
    <definedName name="IDALQUIMIA">'PROFESION CORE'!$I$8:$I$187</definedName>
    <definedName name="IDCARPINTERIA">'PROFESION CORE'!$E$8:$E$187</definedName>
    <definedName name="IDCORE">'ITEM CORE'!$A$4:$A$521</definedName>
    <definedName name="IDGANADERIA">'PROFESION CORE'!$M$8:$M$187</definedName>
    <definedName name="IDMINERIA">'PROFESION CORE'!$A$8:$A$187</definedName>
    <definedName name="IDS" localSheetId="3">'ITEM CORE'!$A$3:$A$518</definedName>
    <definedName name="IDS">'ITEM CRAFT'!$A$3:$A$589</definedName>
    <definedName name="ITEMS" localSheetId="3">'ITEM CORE'!$B$4:$B$518</definedName>
    <definedName name="ITEMS">'ITEM CRAFT'!$B$4:$B$584</definedName>
    <definedName name="LISTACORE">'ITEM CORE'!$A$4:$K$521</definedName>
    <definedName name="LISTAITEMS" localSheetId="3">'ITEM CORE'!$A$1:$D$518</definedName>
    <definedName name="LISTAITEMS">'ITEM CRAFT'!$A$1:$H$588</definedName>
    <definedName name="LISTAMINERIA">'PROFESION CORE'!$A$8:$D$187</definedName>
    <definedName name="MATERIAALQ">'ECONOMIA &amp; PROFESIONES'!$H$27:$I$34</definedName>
    <definedName name="MATERIACAR">'ECONOMIA &amp; PROFESIONES'!$F$27:$G$32</definedName>
    <definedName name="MATERIAGAN">'ECONOMIA &amp; PROFESIONES'!$J$27:$K$32</definedName>
    <definedName name="MATERIAMIN">'ECONOMIA &amp; PROFESIONES'!$D$27:$E$37</definedName>
    <definedName name="PROFESIONES">'ECONOMIA &amp; PROFESIONES'!$D$17:$D$20</definedName>
    <definedName name="PROFESIONESAC">'ECONOMIA &amp; PROFESIONES'!$D$17:$I$20</definedName>
  </definedName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81" i="31" l="1"/>
  <c r="M81" i="31"/>
  <c r="I81" i="31"/>
  <c r="E81" i="31"/>
  <c r="A81" i="31"/>
  <c r="Q79" i="31"/>
  <c r="M79" i="31"/>
  <c r="I79" i="31"/>
  <c r="E79" i="31"/>
  <c r="A79" i="31"/>
  <c r="Q81" i="29"/>
  <c r="M81" i="29"/>
  <c r="I81" i="29"/>
  <c r="E81" i="29"/>
  <c r="A81" i="29"/>
  <c r="Q79" i="29"/>
  <c r="M79" i="29"/>
  <c r="I79" i="29"/>
  <c r="E79" i="29"/>
  <c r="A79" i="29"/>
  <c r="Q81" i="28"/>
  <c r="M81" i="28"/>
  <c r="I81" i="28"/>
  <c r="E81" i="28"/>
  <c r="A81" i="28"/>
  <c r="Q79" i="28"/>
  <c r="M79" i="28"/>
  <c r="I79" i="28"/>
  <c r="E79" i="28"/>
  <c r="A79" i="28"/>
  <c r="Q81" i="27"/>
  <c r="M81" i="27"/>
  <c r="I81" i="27"/>
  <c r="E81" i="27"/>
  <c r="A81" i="27"/>
  <c r="Q79" i="27"/>
  <c r="M79" i="27"/>
  <c r="I79" i="27"/>
  <c r="E79" i="27"/>
  <c r="A79" i="27"/>
  <c r="Q81" i="26"/>
  <c r="Q79" i="26"/>
  <c r="M81" i="26"/>
  <c r="M79" i="26"/>
  <c r="I81" i="26"/>
  <c r="I79" i="26"/>
  <c r="E81" i="26"/>
  <c r="E79" i="26"/>
  <c r="A81" i="26"/>
  <c r="A79" i="26"/>
  <c r="Q81" i="25"/>
  <c r="M81" i="25"/>
  <c r="I81" i="25"/>
  <c r="E81" i="25"/>
  <c r="A81" i="25"/>
  <c r="Q79" i="25"/>
  <c r="M79" i="25"/>
  <c r="I79" i="25"/>
  <c r="E79" i="25"/>
  <c r="A79" i="25"/>
  <c r="Q81" i="24"/>
  <c r="M81" i="24"/>
  <c r="I81" i="24"/>
  <c r="E81" i="24"/>
  <c r="A81" i="24"/>
  <c r="Q79" i="24"/>
  <c r="M79" i="24"/>
  <c r="I79" i="24"/>
  <c r="E79" i="24"/>
  <c r="A79" i="24"/>
  <c r="Q81" i="23"/>
  <c r="M81" i="23"/>
  <c r="I81" i="23"/>
  <c r="E81" i="23"/>
  <c r="A81" i="23"/>
  <c r="Q79" i="23"/>
  <c r="M79" i="23"/>
  <c r="I79" i="23"/>
  <c r="E79" i="23"/>
  <c r="A79" i="23"/>
  <c r="Q81" i="22"/>
  <c r="M81" i="22"/>
  <c r="I81" i="22"/>
  <c r="E81" i="22"/>
  <c r="A81" i="22"/>
  <c r="Q79" i="22"/>
  <c r="M79" i="22"/>
  <c r="I79" i="22"/>
  <c r="E79" i="22"/>
  <c r="A79" i="22"/>
  <c r="Q81" i="21"/>
  <c r="Q79" i="21"/>
  <c r="M81" i="21"/>
  <c r="M79" i="21"/>
  <c r="I81" i="21"/>
  <c r="I79" i="21"/>
  <c r="E81" i="21"/>
  <c r="E79" i="21"/>
  <c r="A81" i="21"/>
  <c r="A79" i="21"/>
  <c r="Q81" i="20"/>
  <c r="M81" i="20"/>
  <c r="I81" i="20"/>
  <c r="E81" i="20"/>
  <c r="A81" i="20"/>
  <c r="Q79" i="20"/>
  <c r="M79" i="20"/>
  <c r="I79" i="20"/>
  <c r="E79" i="20"/>
  <c r="A79" i="20"/>
  <c r="Q81" i="19"/>
  <c r="M81" i="19"/>
  <c r="I81" i="19"/>
  <c r="E81" i="19"/>
  <c r="A81" i="19"/>
  <c r="Q79" i="19"/>
  <c r="M79" i="19"/>
  <c r="I79" i="19"/>
  <c r="E79" i="19"/>
  <c r="A79" i="19"/>
  <c r="Q81" i="18"/>
  <c r="M81" i="18"/>
  <c r="I81" i="18"/>
  <c r="E81" i="18"/>
  <c r="A81" i="18"/>
  <c r="Q79" i="18"/>
  <c r="M79" i="18"/>
  <c r="I79" i="18"/>
  <c r="E79" i="18"/>
  <c r="A79" i="18"/>
  <c r="Q81" i="17"/>
  <c r="M81" i="17"/>
  <c r="I81" i="17"/>
  <c r="E81" i="17"/>
  <c r="A81" i="17"/>
  <c r="Q79" i="17"/>
  <c r="M79" i="17"/>
  <c r="I79" i="17"/>
  <c r="E79" i="17"/>
  <c r="A79" i="17"/>
  <c r="Q81" i="16"/>
  <c r="Q79" i="16"/>
  <c r="M81" i="16"/>
  <c r="M79" i="16"/>
  <c r="I81" i="16"/>
  <c r="I79" i="16"/>
  <c r="E81" i="16"/>
  <c r="E79" i="16"/>
  <c r="A81" i="16"/>
  <c r="A79" i="16"/>
  <c r="Q61" i="15"/>
  <c r="M61" i="15"/>
  <c r="I61" i="15"/>
  <c r="E61" i="15"/>
  <c r="A61" i="15"/>
  <c r="Q59" i="15"/>
  <c r="M59" i="15"/>
  <c r="I59" i="15"/>
  <c r="E59" i="15"/>
  <c r="A59" i="15"/>
  <c r="Q61" i="14"/>
  <c r="M61" i="14"/>
  <c r="I61" i="14"/>
  <c r="E61" i="14"/>
  <c r="A61" i="14"/>
  <c r="Q59" i="14"/>
  <c r="M59" i="14"/>
  <c r="I59" i="14"/>
  <c r="E59" i="14"/>
  <c r="A59" i="14"/>
  <c r="Q61" i="13"/>
  <c r="M61" i="13"/>
  <c r="I61" i="13"/>
  <c r="E61" i="13"/>
  <c r="A61" i="13"/>
  <c r="Q59" i="13"/>
  <c r="M59" i="13"/>
  <c r="I59" i="13"/>
  <c r="E59" i="13"/>
  <c r="A59" i="13"/>
  <c r="Q61" i="12"/>
  <c r="M61" i="12"/>
  <c r="I61" i="12"/>
  <c r="E61" i="12"/>
  <c r="A61" i="12"/>
  <c r="Q59" i="12"/>
  <c r="M59" i="12"/>
  <c r="I59" i="12"/>
  <c r="E59" i="12"/>
  <c r="A59" i="12"/>
  <c r="Q62" i="10"/>
  <c r="M62" i="10"/>
  <c r="I62" i="10"/>
  <c r="E62" i="10"/>
  <c r="A62" i="10"/>
  <c r="Q40" i="9"/>
  <c r="M40" i="9"/>
  <c r="I40" i="9"/>
  <c r="E40" i="9"/>
  <c r="A40" i="9"/>
  <c r="Q38" i="9"/>
  <c r="M38" i="9"/>
  <c r="I38" i="9"/>
  <c r="E38" i="9"/>
  <c r="A38" i="9"/>
  <c r="Q40" i="7"/>
  <c r="M40" i="7"/>
  <c r="I40" i="7"/>
  <c r="E40" i="7"/>
  <c r="A40" i="7"/>
  <c r="Q38" i="7"/>
  <c r="M38" i="7"/>
  <c r="I38" i="7"/>
  <c r="E38" i="7"/>
  <c r="A38" i="7"/>
  <c r="Q40" i="6"/>
  <c r="M40" i="6"/>
  <c r="I40" i="6"/>
  <c r="E40" i="6"/>
  <c r="A40" i="6"/>
  <c r="Q38" i="6"/>
  <c r="M38" i="6"/>
  <c r="I38" i="6"/>
  <c r="E38" i="6"/>
  <c r="A38" i="6"/>
  <c r="Q40" i="5"/>
  <c r="M40" i="5"/>
  <c r="I40" i="5"/>
  <c r="E40" i="5"/>
  <c r="A40" i="5"/>
  <c r="Q38" i="5"/>
  <c r="M38" i="5"/>
  <c r="I38" i="5"/>
  <c r="E38" i="5"/>
  <c r="A38" i="5"/>
  <c r="Q40" i="4"/>
  <c r="M40" i="4"/>
  <c r="I40" i="4"/>
  <c r="E40" i="4"/>
  <c r="A40" i="4"/>
  <c r="Q38" i="4"/>
  <c r="M38" i="4"/>
  <c r="I38" i="4"/>
  <c r="E38" i="4"/>
  <c r="A38" i="4"/>
  <c r="A56" i="19" l="1"/>
  <c r="D26" i="1"/>
  <c r="E26" i="1"/>
  <c r="F26" i="1" s="1"/>
  <c r="G26" i="1" s="1"/>
  <c r="A30" i="4" l="1"/>
  <c r="Z8" i="9" l="1"/>
  <c r="Z7" i="9"/>
  <c r="Z6" i="9"/>
  <c r="Z5" i="9"/>
  <c r="Z4" i="9"/>
  <c r="Y8" i="9"/>
  <c r="Y7" i="9"/>
  <c r="Y6" i="9"/>
  <c r="Y5" i="9"/>
  <c r="Y4" i="9"/>
  <c r="X8" i="9"/>
  <c r="X7" i="9"/>
  <c r="X6" i="9"/>
  <c r="X5" i="9"/>
  <c r="X4" i="9"/>
  <c r="W8" i="9"/>
  <c r="W7" i="9"/>
  <c r="W6" i="9"/>
  <c r="W5" i="9"/>
  <c r="W4" i="9"/>
  <c r="V8" i="9"/>
  <c r="V7" i="9"/>
  <c r="V6" i="9"/>
  <c r="V5" i="9"/>
  <c r="V4" i="9"/>
  <c r="Z8" i="7"/>
  <c r="Z7" i="7"/>
  <c r="Z6" i="7"/>
  <c r="Z5" i="7"/>
  <c r="Z4" i="7"/>
  <c r="Y8" i="7"/>
  <c r="Y7" i="7"/>
  <c r="Y6" i="7"/>
  <c r="Y5" i="7"/>
  <c r="Y4" i="7"/>
  <c r="X8" i="7"/>
  <c r="X7" i="7"/>
  <c r="X6" i="7"/>
  <c r="X5" i="7"/>
  <c r="X4" i="7"/>
  <c r="W8" i="7"/>
  <c r="W7" i="7"/>
  <c r="W6" i="7"/>
  <c r="W5" i="7"/>
  <c r="W4" i="7"/>
  <c r="V8" i="7"/>
  <c r="V7" i="7"/>
  <c r="V6" i="7"/>
  <c r="V5" i="7"/>
  <c r="V4" i="7"/>
  <c r="Z8" i="6"/>
  <c r="Z7" i="6"/>
  <c r="Z6" i="6"/>
  <c r="Z5" i="6"/>
  <c r="Z4" i="6"/>
  <c r="Y8" i="6"/>
  <c r="Y7" i="6"/>
  <c r="Y6" i="6"/>
  <c r="Y5" i="6"/>
  <c r="Y4" i="6"/>
  <c r="X8" i="6"/>
  <c r="X7" i="6"/>
  <c r="X6" i="6"/>
  <c r="X5" i="6"/>
  <c r="X4" i="6"/>
  <c r="W8" i="6"/>
  <c r="W7" i="6"/>
  <c r="W6" i="6"/>
  <c r="W5" i="6"/>
  <c r="W4" i="6"/>
  <c r="V8" i="6"/>
  <c r="V7" i="6"/>
  <c r="V6" i="6"/>
  <c r="V5" i="6"/>
  <c r="V4" i="6"/>
  <c r="K2" i="31"/>
  <c r="I2" i="31"/>
  <c r="K2" i="29"/>
  <c r="I2" i="29"/>
  <c r="K2" i="28"/>
  <c r="I2" i="28"/>
  <c r="K2" i="27"/>
  <c r="I2" i="27"/>
  <c r="K2" i="25"/>
  <c r="I2" i="25"/>
  <c r="K2" i="24"/>
  <c r="I2" i="24"/>
  <c r="K2" i="23"/>
  <c r="I2" i="23"/>
  <c r="K2" i="22"/>
  <c r="I2" i="22"/>
  <c r="K2" i="20"/>
  <c r="I2" i="20"/>
  <c r="K2" i="19"/>
  <c r="I2" i="19"/>
  <c r="K2" i="18"/>
  <c r="I2" i="18"/>
  <c r="K2" i="17"/>
  <c r="I2" i="17"/>
  <c r="K2" i="15"/>
  <c r="I2" i="15"/>
  <c r="K2" i="14"/>
  <c r="I2" i="14"/>
  <c r="K2" i="13"/>
  <c r="I2" i="13"/>
  <c r="K2" i="12"/>
  <c r="I2" i="12"/>
  <c r="K2" i="9"/>
  <c r="I2" i="9"/>
  <c r="K2" i="7"/>
  <c r="I2" i="7"/>
  <c r="K2" i="6"/>
  <c r="I2" i="6"/>
  <c r="K2" i="5"/>
  <c r="I2" i="5"/>
  <c r="K2" i="26"/>
  <c r="I2" i="26"/>
  <c r="K2" i="21"/>
  <c r="I2" i="21"/>
  <c r="K2" i="16"/>
  <c r="I2" i="16"/>
  <c r="K2" i="10"/>
  <c r="I2" i="10"/>
  <c r="K2" i="4"/>
  <c r="I2" i="4"/>
  <c r="Q30" i="4"/>
  <c r="E69" i="29"/>
  <c r="I69" i="29" s="1"/>
  <c r="M69" i="29" s="1"/>
  <c r="Q69" i="29" s="1"/>
  <c r="E69" i="28"/>
  <c r="I69" i="28" s="1"/>
  <c r="M69" i="28" s="1"/>
  <c r="Q69" i="28" s="1"/>
  <c r="E69" i="27"/>
  <c r="I69" i="27" s="1"/>
  <c r="M69" i="27" s="1"/>
  <c r="Q69" i="27" s="1"/>
  <c r="E69" i="26"/>
  <c r="I69" i="26" s="1"/>
  <c r="M69" i="26" s="1"/>
  <c r="Q69" i="26" s="1"/>
  <c r="E69" i="25"/>
  <c r="I69" i="25" s="1"/>
  <c r="M69" i="25" s="1"/>
  <c r="Q69" i="25" s="1"/>
  <c r="E69" i="24"/>
  <c r="I69" i="24" s="1"/>
  <c r="M69" i="24" s="1"/>
  <c r="Q69" i="24" s="1"/>
  <c r="E69" i="23"/>
  <c r="I69" i="23" s="1"/>
  <c r="M69" i="23" s="1"/>
  <c r="Q69" i="23" s="1"/>
  <c r="E69" i="22"/>
  <c r="I69" i="22" s="1"/>
  <c r="M69" i="22" s="1"/>
  <c r="Q69" i="22" s="1"/>
  <c r="E69" i="21"/>
  <c r="I69" i="21" s="1"/>
  <c r="M69" i="21" s="1"/>
  <c r="Q69" i="21" s="1"/>
  <c r="E69" i="20"/>
  <c r="I69" i="20" s="1"/>
  <c r="M69" i="20" s="1"/>
  <c r="Q69" i="20" s="1"/>
  <c r="E69" i="19"/>
  <c r="I69" i="19" s="1"/>
  <c r="M69" i="19" s="1"/>
  <c r="Q69" i="19" s="1"/>
  <c r="E69" i="18"/>
  <c r="I69" i="18" s="1"/>
  <c r="M69" i="18" s="1"/>
  <c r="Q69" i="18" s="1"/>
  <c r="E69" i="17"/>
  <c r="I69" i="17" s="1"/>
  <c r="M69" i="17" s="1"/>
  <c r="Q69" i="17" s="1"/>
  <c r="E69" i="16"/>
  <c r="I69" i="16" s="1"/>
  <c r="M69" i="16" s="1"/>
  <c r="Q69" i="16" s="1"/>
  <c r="E49" i="15"/>
  <c r="I49" i="15" s="1"/>
  <c r="M49" i="15" s="1"/>
  <c r="Q49" i="15" s="1"/>
  <c r="E49" i="14"/>
  <c r="I49" i="14" s="1"/>
  <c r="M49" i="14" s="1"/>
  <c r="Q49" i="14" s="1"/>
  <c r="E49" i="13"/>
  <c r="I49" i="13" s="1"/>
  <c r="M49" i="13" s="1"/>
  <c r="Q49" i="13" s="1"/>
  <c r="E49" i="12"/>
  <c r="I49" i="12" s="1"/>
  <c r="M49" i="12" s="1"/>
  <c r="Q49" i="12" s="1"/>
  <c r="E50" i="10"/>
  <c r="I50" i="10" s="1"/>
  <c r="M50" i="10" s="1"/>
  <c r="Q50" i="10" s="1"/>
  <c r="E28" i="9"/>
  <c r="I28" i="9" s="1"/>
  <c r="M28" i="9" s="1"/>
  <c r="Q28" i="9" s="1"/>
  <c r="E28" i="7"/>
  <c r="I28" i="7" s="1"/>
  <c r="M28" i="7" s="1"/>
  <c r="Q28" i="7" s="1"/>
  <c r="E28" i="6"/>
  <c r="I28" i="6" s="1"/>
  <c r="M28" i="6" s="1"/>
  <c r="Q28" i="6" s="1"/>
  <c r="E28" i="5"/>
  <c r="I28" i="5" s="1"/>
  <c r="M28" i="5" s="1"/>
  <c r="Q28" i="5" s="1"/>
  <c r="E28" i="4"/>
  <c r="I28" i="4" s="1"/>
  <c r="M28" i="4" s="1"/>
  <c r="Q28" i="4" s="1"/>
  <c r="E69" i="31"/>
  <c r="I69" i="31" s="1"/>
  <c r="M69" i="31" s="1"/>
  <c r="Q69" i="31" s="1"/>
  <c r="D23" i="1"/>
  <c r="D24" i="1"/>
  <c r="Q54" i="10"/>
  <c r="M54" i="10"/>
  <c r="I54" i="10"/>
  <c r="E54" i="10"/>
  <c r="A54" i="10"/>
  <c r="Q31" i="9"/>
  <c r="M31" i="9"/>
  <c r="I31" i="9"/>
  <c r="E31" i="9"/>
  <c r="A31" i="9"/>
  <c r="D90" i="1"/>
  <c r="E90" i="1" s="1"/>
  <c r="F90" i="1" s="1"/>
  <c r="G90" i="1" s="1"/>
  <c r="D89" i="1"/>
  <c r="E89" i="1" s="1"/>
  <c r="F89" i="1" s="1"/>
  <c r="G89" i="1" s="1"/>
  <c r="D88" i="1"/>
  <c r="E88" i="1" s="1"/>
  <c r="F88" i="1" s="1"/>
  <c r="G88" i="1" s="1"/>
  <c r="D87" i="1"/>
  <c r="E87" i="1" s="1"/>
  <c r="F87" i="1" s="1"/>
  <c r="G87" i="1" s="1"/>
  <c r="D79" i="1"/>
  <c r="E79" i="1" s="1"/>
  <c r="F79" i="1" s="1"/>
  <c r="G79" i="1" s="1"/>
  <c r="D78" i="1"/>
  <c r="E78" i="1" s="1"/>
  <c r="F78" i="1" s="1"/>
  <c r="G78" i="1" s="1"/>
  <c r="D77" i="1"/>
  <c r="E77" i="1" s="1"/>
  <c r="F77" i="1" s="1"/>
  <c r="G77" i="1" s="1"/>
  <c r="D76" i="1"/>
  <c r="E76" i="1" s="1"/>
  <c r="F76" i="1" s="1"/>
  <c r="G76" i="1" s="1"/>
  <c r="D54" i="1"/>
  <c r="D57" i="1"/>
  <c r="E57" i="1" s="1"/>
  <c r="F57" i="1" s="1"/>
  <c r="G57" i="1" s="1"/>
  <c r="D56" i="1"/>
  <c r="E56" i="1" s="1"/>
  <c r="F56" i="1" s="1"/>
  <c r="G56" i="1" s="1"/>
  <c r="D55" i="1"/>
  <c r="E55" i="1" s="1"/>
  <c r="F55" i="1" s="1"/>
  <c r="G55" i="1" s="1"/>
  <c r="E54" i="1"/>
  <c r="F54" i="1" s="1"/>
  <c r="G54" i="1" s="1"/>
  <c r="G66" i="1"/>
  <c r="G67" i="1"/>
  <c r="G68" i="1"/>
  <c r="F66" i="1"/>
  <c r="F67" i="1"/>
  <c r="F68" i="1"/>
  <c r="E66" i="1"/>
  <c r="E67" i="1"/>
  <c r="E68" i="1"/>
  <c r="D66" i="1"/>
  <c r="D67" i="1"/>
  <c r="D68" i="1"/>
  <c r="G65" i="1"/>
  <c r="F65" i="1"/>
  <c r="E65" i="1"/>
  <c r="D65" i="1"/>
  <c r="G44" i="1"/>
  <c r="G45" i="1"/>
  <c r="G46" i="1"/>
  <c r="F44" i="1"/>
  <c r="F45" i="1"/>
  <c r="F46" i="1"/>
  <c r="E44" i="1"/>
  <c r="E45" i="1"/>
  <c r="E46" i="1"/>
  <c r="D44" i="1"/>
  <c r="D45" i="1"/>
  <c r="D46" i="1"/>
  <c r="D47" i="1"/>
  <c r="G43" i="1"/>
  <c r="F43" i="1"/>
  <c r="E43" i="1"/>
  <c r="D43" i="1"/>
  <c r="M31" i="6"/>
  <c r="E31" i="6"/>
  <c r="A31" i="6"/>
  <c r="I31" i="6"/>
  <c r="C61" i="1"/>
  <c r="C65" i="1"/>
  <c r="C47" i="1"/>
  <c r="C43" i="1"/>
  <c r="H64" i="1"/>
  <c r="Z7" i="21" l="1"/>
  <c r="Y8" i="21"/>
  <c r="Y4" i="21"/>
  <c r="X5" i="21"/>
  <c r="W6" i="21"/>
  <c r="V7" i="21"/>
  <c r="Z6" i="21"/>
  <c r="Y7" i="21"/>
  <c r="X8" i="21"/>
  <c r="X4" i="21"/>
  <c r="W5" i="21"/>
  <c r="V6" i="21"/>
  <c r="Z5" i="21"/>
  <c r="Y6" i="21"/>
  <c r="X7" i="21"/>
  <c r="W8" i="21"/>
  <c r="W4" i="21"/>
  <c r="V5" i="21"/>
  <c r="Y5" i="21"/>
  <c r="V4" i="21"/>
  <c r="Z8" i="21"/>
  <c r="Z4" i="21"/>
  <c r="X6" i="21"/>
  <c r="W7" i="21"/>
  <c r="V8" i="21"/>
  <c r="Z5" i="10"/>
  <c r="Y6" i="10"/>
  <c r="X7" i="10"/>
  <c r="W8" i="10"/>
  <c r="W4" i="10"/>
  <c r="V5" i="10"/>
  <c r="Z8" i="10"/>
  <c r="Z4" i="10"/>
  <c r="Y5" i="10"/>
  <c r="X6" i="10"/>
  <c r="W7" i="10"/>
  <c r="V8" i="10"/>
  <c r="V4" i="10"/>
  <c r="Z7" i="10"/>
  <c r="Y8" i="10"/>
  <c r="Y4" i="10"/>
  <c r="X5" i="10"/>
  <c r="Y7" i="10"/>
  <c r="W5" i="10"/>
  <c r="X4" i="10"/>
  <c r="W6" i="10"/>
  <c r="X8" i="10"/>
  <c r="V7" i="10"/>
  <c r="V6" i="10"/>
  <c r="Z6" i="10"/>
  <c r="Z6" i="4"/>
  <c r="Y7" i="4"/>
  <c r="X8" i="4"/>
  <c r="X4" i="4"/>
  <c r="W5" i="4"/>
  <c r="V6" i="4"/>
  <c r="Z5" i="4"/>
  <c r="Y6" i="4"/>
  <c r="X7" i="4"/>
  <c r="W8" i="4"/>
  <c r="W4" i="4"/>
  <c r="V5" i="4"/>
  <c r="Z7" i="4"/>
  <c r="Y4" i="4"/>
  <c r="W6" i="4"/>
  <c r="Z4" i="4"/>
  <c r="V8" i="4"/>
  <c r="Y8" i="4"/>
  <c r="V7" i="4"/>
  <c r="Y5" i="4"/>
  <c r="V4" i="4"/>
  <c r="X6" i="4"/>
  <c r="X5" i="4"/>
  <c r="Z8" i="4"/>
  <c r="W7" i="4"/>
  <c r="Z8" i="16"/>
  <c r="Z4" i="16"/>
  <c r="Y5" i="16"/>
  <c r="X6" i="16"/>
  <c r="W7" i="16"/>
  <c r="V8" i="16"/>
  <c r="V4" i="16"/>
  <c r="Z7" i="16"/>
  <c r="Y8" i="16"/>
  <c r="Y4" i="16"/>
  <c r="X5" i="16"/>
  <c r="W6" i="16"/>
  <c r="V7" i="16"/>
  <c r="Z6" i="16"/>
  <c r="Y7" i="16"/>
  <c r="X8" i="16"/>
  <c r="X4" i="16"/>
  <c r="W5" i="16"/>
  <c r="V6" i="16"/>
  <c r="W8" i="16"/>
  <c r="Y6" i="16"/>
  <c r="X7" i="16"/>
  <c r="Z5" i="16"/>
  <c r="W4" i="16"/>
  <c r="V5" i="16"/>
  <c r="X8" i="26"/>
  <c r="Y7" i="26"/>
  <c r="Z6" i="26"/>
  <c r="V6" i="26"/>
  <c r="W5" i="26"/>
  <c r="X4" i="26"/>
  <c r="W8" i="26"/>
  <c r="X7" i="26"/>
  <c r="Y6" i="26"/>
  <c r="Z5" i="26"/>
  <c r="V5" i="26"/>
  <c r="W4" i="26"/>
  <c r="Z8" i="26"/>
  <c r="V8" i="26"/>
  <c r="W7" i="26"/>
  <c r="X6" i="26"/>
  <c r="Y5" i="26"/>
  <c r="Z4" i="26"/>
  <c r="V4" i="26"/>
  <c r="Y8" i="26"/>
  <c r="X5" i="26"/>
  <c r="Z7" i="26"/>
  <c r="Y4" i="26"/>
  <c r="V7" i="26"/>
  <c r="W6" i="26"/>
  <c r="Q31" i="6"/>
  <c r="A72" i="1"/>
  <c r="A94" i="1"/>
  <c r="A83" i="1"/>
  <c r="A61" i="1"/>
  <c r="A50" i="1"/>
  <c r="C91" i="1"/>
  <c r="C2" i="5" l="1"/>
  <c r="C2" i="4"/>
  <c r="Z7" i="5" l="1"/>
  <c r="Y8" i="5"/>
  <c r="Y4" i="5"/>
  <c r="X5" i="5"/>
  <c r="W6" i="5"/>
  <c r="V7" i="5"/>
  <c r="Z6" i="5"/>
  <c r="Y7" i="5"/>
  <c r="X8" i="5"/>
  <c r="X4" i="5"/>
  <c r="W5" i="5"/>
  <c r="V6" i="5"/>
  <c r="Z5" i="5"/>
  <c r="Y6" i="5"/>
  <c r="X7" i="5"/>
  <c r="W8" i="5"/>
  <c r="W4" i="5"/>
  <c r="V5" i="5"/>
  <c r="Z8" i="5"/>
  <c r="Z4" i="5"/>
  <c r="Y5" i="5"/>
  <c r="X6" i="5"/>
  <c r="W7" i="5"/>
  <c r="V8" i="5"/>
  <c r="V4" i="5"/>
  <c r="A32" i="4"/>
  <c r="A34" i="1"/>
  <c r="A35" i="1"/>
  <c r="A33" i="1"/>
  <c r="H53" i="1"/>
  <c r="C60" i="1" s="1"/>
  <c r="D32" i="1"/>
  <c r="E32" i="1" s="1"/>
  <c r="C33" i="1"/>
  <c r="C34" i="1" s="1"/>
  <c r="C35" i="1" s="1"/>
  <c r="A25" i="5" l="1"/>
  <c r="D33" i="1"/>
  <c r="D34" i="1" s="1"/>
  <c r="D35" i="1" s="1"/>
  <c r="W196" i="36"/>
  <c r="V196" i="36"/>
  <c r="S196" i="36"/>
  <c r="R196" i="36"/>
  <c r="O196" i="36"/>
  <c r="N196" i="36"/>
  <c r="K196" i="36"/>
  <c r="J196" i="36"/>
  <c r="F196" i="36"/>
  <c r="R57" i="36"/>
  <c r="O57" i="36"/>
  <c r="L57" i="36"/>
  <c r="W43" i="36"/>
  <c r="V43" i="36"/>
  <c r="S43" i="36"/>
  <c r="R43" i="36"/>
  <c r="N43" i="36"/>
  <c r="J43" i="36"/>
  <c r="F43" i="36"/>
  <c r="X2" i="36"/>
  <c r="X7" i="36"/>
  <c r="X12" i="36"/>
  <c r="B2" i="1"/>
  <c r="R56" i="36"/>
  <c r="O56" i="36"/>
  <c r="L56" i="36"/>
  <c r="W190" i="36"/>
  <c r="V190" i="36"/>
  <c r="S190" i="36"/>
  <c r="R190" i="36"/>
  <c r="O190" i="36"/>
  <c r="N190" i="36"/>
  <c r="K190" i="36"/>
  <c r="J190" i="36"/>
  <c r="F190" i="36"/>
  <c r="W187" i="36"/>
  <c r="V187" i="36"/>
  <c r="S187" i="36"/>
  <c r="R187" i="36"/>
  <c r="O187" i="36"/>
  <c r="N187" i="36"/>
  <c r="K187" i="36"/>
  <c r="J187" i="36"/>
  <c r="F187" i="36"/>
  <c r="W184" i="36"/>
  <c r="V184" i="36"/>
  <c r="S184" i="36"/>
  <c r="R184" i="36"/>
  <c r="O184" i="36"/>
  <c r="N184" i="36"/>
  <c r="K184" i="36"/>
  <c r="J184" i="36"/>
  <c r="F184" i="36"/>
  <c r="W181" i="36"/>
  <c r="V181" i="36"/>
  <c r="S181" i="36"/>
  <c r="R181" i="36"/>
  <c r="O181" i="36"/>
  <c r="N181" i="36"/>
  <c r="K181" i="36"/>
  <c r="J181" i="36"/>
  <c r="F181" i="36"/>
  <c r="W178" i="36"/>
  <c r="V178" i="36"/>
  <c r="S178" i="36"/>
  <c r="R178" i="36"/>
  <c r="O178" i="36"/>
  <c r="N178" i="36"/>
  <c r="K178" i="36"/>
  <c r="J178" i="36"/>
  <c r="F178" i="36"/>
  <c r="W331" i="36"/>
  <c r="V331" i="36"/>
  <c r="S331" i="36"/>
  <c r="R331" i="36"/>
  <c r="O331" i="36"/>
  <c r="N331" i="36"/>
  <c r="K331" i="36"/>
  <c r="J331" i="36"/>
  <c r="G331" i="36"/>
  <c r="F331" i="36"/>
  <c r="W321" i="36"/>
  <c r="V321" i="36"/>
  <c r="S321" i="36"/>
  <c r="R321" i="36"/>
  <c r="O321" i="36"/>
  <c r="N321" i="36"/>
  <c r="K321" i="36"/>
  <c r="J321" i="36"/>
  <c r="G321" i="36"/>
  <c r="F321" i="36"/>
  <c r="W312" i="36"/>
  <c r="V312" i="36"/>
  <c r="S312" i="36"/>
  <c r="R312" i="36"/>
  <c r="O312" i="36"/>
  <c r="N312" i="36"/>
  <c r="K312" i="36"/>
  <c r="J312" i="36"/>
  <c r="G312" i="36"/>
  <c r="F312" i="36"/>
  <c r="W304" i="36"/>
  <c r="V304" i="36"/>
  <c r="S304" i="36"/>
  <c r="R304" i="36"/>
  <c r="O304" i="36"/>
  <c r="N304" i="36"/>
  <c r="K304" i="36"/>
  <c r="J304" i="36"/>
  <c r="G304" i="36"/>
  <c r="F304" i="36"/>
  <c r="W296" i="36"/>
  <c r="V296" i="36"/>
  <c r="S296" i="36"/>
  <c r="R296" i="36"/>
  <c r="O296" i="36"/>
  <c r="N296" i="36"/>
  <c r="K296" i="36"/>
  <c r="J296" i="36"/>
  <c r="G296" i="36"/>
  <c r="F296" i="36"/>
  <c r="W289" i="36"/>
  <c r="V289" i="36"/>
  <c r="S289" i="36"/>
  <c r="R289" i="36"/>
  <c r="O289" i="36"/>
  <c r="N289" i="36"/>
  <c r="K289" i="36"/>
  <c r="J289" i="36"/>
  <c r="G289" i="36"/>
  <c r="F289" i="36"/>
  <c r="W274" i="36"/>
  <c r="V274" i="36"/>
  <c r="S274" i="36"/>
  <c r="R274" i="36"/>
  <c r="O274" i="36"/>
  <c r="N274" i="36"/>
  <c r="K274" i="36"/>
  <c r="J274" i="36"/>
  <c r="G274" i="36"/>
  <c r="F274" i="36"/>
  <c r="W281" i="36"/>
  <c r="V281" i="36"/>
  <c r="S281" i="36"/>
  <c r="R281" i="36"/>
  <c r="O281" i="36"/>
  <c r="N281" i="36"/>
  <c r="K281" i="36"/>
  <c r="J281" i="36"/>
  <c r="G281" i="36"/>
  <c r="F281" i="36"/>
  <c r="W267" i="36"/>
  <c r="V267" i="36"/>
  <c r="S267" i="36"/>
  <c r="R267" i="36"/>
  <c r="O267" i="36"/>
  <c r="N267" i="36"/>
  <c r="K267" i="36"/>
  <c r="J267" i="36"/>
  <c r="G267" i="36"/>
  <c r="F267" i="36"/>
  <c r="W259" i="36"/>
  <c r="V259" i="36"/>
  <c r="S259" i="36"/>
  <c r="R259" i="36"/>
  <c r="O259" i="36"/>
  <c r="N259" i="36"/>
  <c r="K259" i="36"/>
  <c r="J259" i="36"/>
  <c r="G259" i="36"/>
  <c r="F259" i="36"/>
  <c r="W251" i="36"/>
  <c r="V251" i="36"/>
  <c r="S251" i="36"/>
  <c r="R251" i="36"/>
  <c r="O251" i="36"/>
  <c r="N251" i="36"/>
  <c r="K251" i="36"/>
  <c r="J251" i="36"/>
  <c r="G251" i="36"/>
  <c r="F251" i="36"/>
  <c r="W240" i="36"/>
  <c r="V240" i="36"/>
  <c r="S240" i="36"/>
  <c r="R240" i="36"/>
  <c r="O240" i="36"/>
  <c r="N240" i="36"/>
  <c r="K240" i="36"/>
  <c r="J240" i="36"/>
  <c r="G240" i="36"/>
  <c r="F240" i="36"/>
  <c r="W229" i="36"/>
  <c r="V229" i="36"/>
  <c r="S229" i="36"/>
  <c r="R229" i="36"/>
  <c r="O229" i="36"/>
  <c r="N229" i="36"/>
  <c r="K229" i="36"/>
  <c r="J229" i="36"/>
  <c r="G229" i="36"/>
  <c r="F229" i="36"/>
  <c r="W218" i="36"/>
  <c r="V218" i="36"/>
  <c r="S218" i="36"/>
  <c r="R218" i="36"/>
  <c r="O218" i="36"/>
  <c r="N218" i="36"/>
  <c r="K218" i="36"/>
  <c r="J218" i="36"/>
  <c r="G218" i="36"/>
  <c r="F218" i="36"/>
  <c r="W208" i="36"/>
  <c r="V208" i="36"/>
  <c r="S208" i="36"/>
  <c r="R208" i="36"/>
  <c r="O208" i="36"/>
  <c r="N208" i="36"/>
  <c r="K208" i="36"/>
  <c r="J208" i="36"/>
  <c r="G208" i="36"/>
  <c r="F208" i="36"/>
  <c r="W195" i="36"/>
  <c r="V195" i="36"/>
  <c r="S195" i="36"/>
  <c r="R195" i="36"/>
  <c r="O195" i="36"/>
  <c r="N195" i="36"/>
  <c r="K195" i="36"/>
  <c r="J195" i="36"/>
  <c r="F195" i="36"/>
  <c r="W175" i="36"/>
  <c r="V175" i="36"/>
  <c r="S175" i="36"/>
  <c r="R175" i="36"/>
  <c r="O175" i="36"/>
  <c r="N175" i="36"/>
  <c r="K175" i="36"/>
  <c r="J175" i="36"/>
  <c r="F175" i="36"/>
  <c r="W163" i="36"/>
  <c r="V163" i="36"/>
  <c r="S163" i="36"/>
  <c r="R163" i="36"/>
  <c r="O163" i="36"/>
  <c r="N163" i="36"/>
  <c r="K163" i="36"/>
  <c r="J163" i="36"/>
  <c r="G163" i="36"/>
  <c r="F163" i="36"/>
  <c r="W150" i="36"/>
  <c r="V150" i="36"/>
  <c r="S150" i="36"/>
  <c r="R150" i="36"/>
  <c r="O150" i="36"/>
  <c r="N150" i="36"/>
  <c r="K150" i="36"/>
  <c r="J150" i="36"/>
  <c r="G150" i="36"/>
  <c r="F150" i="36"/>
  <c r="W138" i="36"/>
  <c r="V138" i="36"/>
  <c r="S138" i="36"/>
  <c r="R138" i="36"/>
  <c r="O138" i="36"/>
  <c r="N138" i="36"/>
  <c r="K138" i="36"/>
  <c r="J138" i="36"/>
  <c r="G138" i="36"/>
  <c r="F138" i="36"/>
  <c r="W124" i="36"/>
  <c r="V124" i="36"/>
  <c r="S124" i="36"/>
  <c r="R124" i="36"/>
  <c r="O124" i="36"/>
  <c r="N124" i="36"/>
  <c r="K124" i="36"/>
  <c r="J124" i="36"/>
  <c r="G124" i="36"/>
  <c r="F124" i="36"/>
  <c r="W111" i="36"/>
  <c r="V111" i="36"/>
  <c r="S111" i="36"/>
  <c r="R111" i="36"/>
  <c r="O111" i="36"/>
  <c r="N111" i="36"/>
  <c r="K111" i="36"/>
  <c r="J111" i="36"/>
  <c r="G111" i="36"/>
  <c r="F111" i="36"/>
  <c r="W96" i="36"/>
  <c r="V96" i="36"/>
  <c r="S96" i="36"/>
  <c r="R96" i="36"/>
  <c r="O96" i="36"/>
  <c r="N96" i="36"/>
  <c r="K96" i="36"/>
  <c r="J96" i="36"/>
  <c r="G96" i="36"/>
  <c r="F96" i="36"/>
  <c r="W83" i="36"/>
  <c r="V83" i="36"/>
  <c r="S83" i="36"/>
  <c r="R83" i="36"/>
  <c r="O83" i="36"/>
  <c r="N83" i="36"/>
  <c r="K83" i="36"/>
  <c r="J83" i="36"/>
  <c r="G83" i="36"/>
  <c r="F83" i="36"/>
  <c r="W69" i="36"/>
  <c r="V69" i="36"/>
  <c r="S69" i="36"/>
  <c r="R69" i="36"/>
  <c r="O69" i="36"/>
  <c r="N69" i="36"/>
  <c r="K69" i="36"/>
  <c r="J69" i="36"/>
  <c r="G69" i="36"/>
  <c r="F69" i="36"/>
  <c r="W42" i="36"/>
  <c r="V42" i="36"/>
  <c r="S42" i="36"/>
  <c r="R42" i="36"/>
  <c r="O42" i="36"/>
  <c r="N42" i="36"/>
  <c r="J42" i="36"/>
  <c r="F42" i="36"/>
  <c r="C331" i="36" l="1"/>
  <c r="C312" i="36"/>
  <c r="C321" i="36"/>
  <c r="C274" i="36"/>
  <c r="C289" i="36"/>
  <c r="C304" i="36"/>
  <c r="C296" i="36"/>
  <c r="C163" i="36"/>
  <c r="C83" i="36"/>
  <c r="C150" i="36"/>
  <c r="C229" i="36"/>
  <c r="C259" i="36"/>
  <c r="C240" i="36"/>
  <c r="C111" i="36"/>
  <c r="C124" i="36"/>
  <c r="C138" i="36"/>
  <c r="C208" i="36"/>
  <c r="C218" i="36"/>
  <c r="C281" i="36"/>
  <c r="C69" i="36"/>
  <c r="C251" i="36"/>
  <c r="C96" i="36"/>
  <c r="C267" i="36"/>
  <c r="K280" i="34"/>
  <c r="K281" i="34"/>
  <c r="K282" i="34"/>
  <c r="K283" i="34"/>
  <c r="K284" i="34"/>
  <c r="K285" i="34"/>
  <c r="K286" i="34"/>
  <c r="K287" i="34"/>
  <c r="K288" i="34"/>
  <c r="K289" i="34"/>
  <c r="K290" i="34"/>
  <c r="K291" i="34"/>
  <c r="K292" i="34"/>
  <c r="K293" i="34"/>
  <c r="K294" i="34"/>
  <c r="K295" i="34"/>
  <c r="H281" i="33"/>
  <c r="L281" i="33"/>
  <c r="P281" i="33"/>
  <c r="T281" i="33"/>
  <c r="U281" i="33"/>
  <c r="H282" i="33"/>
  <c r="L282" i="33"/>
  <c r="P282" i="33"/>
  <c r="T282" i="33"/>
  <c r="U282" i="33"/>
  <c r="H283" i="33"/>
  <c r="L283" i="33"/>
  <c r="P283" i="33"/>
  <c r="T283" i="33"/>
  <c r="U283" i="33"/>
  <c r="H284" i="33"/>
  <c r="L284" i="33"/>
  <c r="P284" i="33"/>
  <c r="T284" i="33"/>
  <c r="U284" i="33"/>
  <c r="H285" i="33"/>
  <c r="L285" i="33"/>
  <c r="P285" i="33"/>
  <c r="T285" i="33"/>
  <c r="U285" i="33"/>
  <c r="H286" i="33"/>
  <c r="L286" i="33"/>
  <c r="P286" i="33"/>
  <c r="T286" i="33"/>
  <c r="U286" i="33"/>
  <c r="H287" i="33"/>
  <c r="L287" i="33"/>
  <c r="P287" i="33"/>
  <c r="T287" i="33"/>
  <c r="U287" i="33"/>
  <c r="H288" i="33"/>
  <c r="L288" i="33"/>
  <c r="P288" i="33"/>
  <c r="T288" i="33"/>
  <c r="U288" i="33"/>
  <c r="H289" i="33"/>
  <c r="L289" i="33"/>
  <c r="P289" i="33"/>
  <c r="T289" i="33"/>
  <c r="U289" i="33"/>
  <c r="H290" i="33"/>
  <c r="L290" i="33"/>
  <c r="P290" i="33"/>
  <c r="T290" i="33"/>
  <c r="U290" i="33"/>
  <c r="H291" i="33"/>
  <c r="L291" i="33"/>
  <c r="P291" i="33"/>
  <c r="T291" i="33"/>
  <c r="U291" i="33"/>
  <c r="H292" i="33"/>
  <c r="L292" i="33"/>
  <c r="P292" i="33"/>
  <c r="T292" i="33"/>
  <c r="U292" i="33"/>
  <c r="H293" i="33"/>
  <c r="L293" i="33"/>
  <c r="P293" i="33"/>
  <c r="T293" i="33"/>
  <c r="U293" i="33"/>
  <c r="H294" i="33"/>
  <c r="L294" i="33"/>
  <c r="P294" i="33"/>
  <c r="T294" i="33"/>
  <c r="U294" i="33"/>
  <c r="H295" i="33"/>
  <c r="L295" i="33"/>
  <c r="P295" i="33"/>
  <c r="T295" i="33"/>
  <c r="U295" i="33"/>
  <c r="H296" i="33"/>
  <c r="L296" i="33"/>
  <c r="P296" i="33"/>
  <c r="T296" i="33"/>
  <c r="U296" i="33"/>
  <c r="C28" i="1" l="1"/>
  <c r="K370" i="34" l="1"/>
  <c r="K371" i="34"/>
  <c r="K372" i="34"/>
  <c r="K373" i="34"/>
  <c r="K374" i="34"/>
  <c r="K375" i="34"/>
  <c r="K376" i="34"/>
  <c r="K377" i="34"/>
  <c r="K378" i="34"/>
  <c r="K379" i="34"/>
  <c r="K380" i="34"/>
  <c r="K381" i="34"/>
  <c r="K382" i="34"/>
  <c r="K383" i="34"/>
  <c r="K384" i="34"/>
  <c r="H412" i="33"/>
  <c r="L412" i="33"/>
  <c r="P412" i="33"/>
  <c r="Q412" i="33"/>
  <c r="T412" i="33"/>
  <c r="U412" i="33"/>
  <c r="H413" i="33"/>
  <c r="L413" i="33"/>
  <c r="P413" i="33"/>
  <c r="Q413" i="33"/>
  <c r="T413" i="33"/>
  <c r="U413" i="33"/>
  <c r="H414" i="33"/>
  <c r="L414" i="33"/>
  <c r="P414" i="33"/>
  <c r="Q414" i="33"/>
  <c r="T414" i="33"/>
  <c r="U414" i="33"/>
  <c r="H415" i="33"/>
  <c r="L415" i="33"/>
  <c r="P415" i="33"/>
  <c r="Q415" i="33"/>
  <c r="T415" i="33"/>
  <c r="U415" i="33"/>
  <c r="H416" i="33"/>
  <c r="L416" i="33"/>
  <c r="P416" i="33"/>
  <c r="Q416" i="33"/>
  <c r="T416" i="33"/>
  <c r="U416" i="33"/>
  <c r="H417" i="33"/>
  <c r="L417" i="33"/>
  <c r="P417" i="33"/>
  <c r="Q417" i="33"/>
  <c r="T417" i="33"/>
  <c r="U417" i="33"/>
  <c r="H418" i="33"/>
  <c r="L418" i="33"/>
  <c r="P418" i="33"/>
  <c r="Q418" i="33"/>
  <c r="T418" i="33"/>
  <c r="U418" i="33"/>
  <c r="H419" i="33"/>
  <c r="L419" i="33"/>
  <c r="P419" i="33"/>
  <c r="Q419" i="33"/>
  <c r="T419" i="33"/>
  <c r="U419" i="33"/>
  <c r="H420" i="33"/>
  <c r="L420" i="33"/>
  <c r="P420" i="33"/>
  <c r="Q420" i="33"/>
  <c r="T420" i="33"/>
  <c r="U420" i="33"/>
  <c r="H421" i="33"/>
  <c r="L421" i="33"/>
  <c r="P421" i="33"/>
  <c r="Q421" i="33"/>
  <c r="T421" i="33"/>
  <c r="U421" i="33"/>
  <c r="H422" i="33"/>
  <c r="L422" i="33"/>
  <c r="P422" i="33"/>
  <c r="Q422" i="33"/>
  <c r="T422" i="33"/>
  <c r="U422" i="33"/>
  <c r="H423" i="33"/>
  <c r="L423" i="33"/>
  <c r="P423" i="33"/>
  <c r="Q423" i="33"/>
  <c r="T423" i="33"/>
  <c r="U423" i="33"/>
  <c r="H424" i="33"/>
  <c r="L424" i="33"/>
  <c r="P424" i="33"/>
  <c r="Q424" i="33"/>
  <c r="T424" i="33"/>
  <c r="U424" i="33"/>
  <c r="H425" i="33"/>
  <c r="L425" i="33"/>
  <c r="P425" i="33"/>
  <c r="Q425" i="33"/>
  <c r="T425" i="33"/>
  <c r="U425" i="33"/>
  <c r="H426" i="33"/>
  <c r="L426" i="33"/>
  <c r="P426" i="33"/>
  <c r="Q426" i="33"/>
  <c r="T426" i="33"/>
  <c r="U426" i="33"/>
  <c r="K264" i="34"/>
  <c r="K265" i="34"/>
  <c r="K266" i="34"/>
  <c r="K267" i="34"/>
  <c r="K268" i="34"/>
  <c r="K269" i="34"/>
  <c r="K270" i="34"/>
  <c r="K271" i="34"/>
  <c r="K272" i="34"/>
  <c r="K273" i="34"/>
  <c r="K274" i="34"/>
  <c r="K275" i="34"/>
  <c r="K276" i="34"/>
  <c r="K277" i="34"/>
  <c r="K278" i="34"/>
  <c r="K279" i="34"/>
  <c r="L266" i="33"/>
  <c r="L267" i="33"/>
  <c r="L268" i="33"/>
  <c r="L269" i="33"/>
  <c r="L270" i="33"/>
  <c r="L271" i="33"/>
  <c r="L272" i="33"/>
  <c r="L273" i="33"/>
  <c r="L274" i="33"/>
  <c r="L275" i="33"/>
  <c r="L276" i="33"/>
  <c r="L277" i="33"/>
  <c r="L278" i="33"/>
  <c r="L279" i="33"/>
  <c r="L280" i="33"/>
  <c r="H265" i="33"/>
  <c r="L265" i="33"/>
  <c r="P265" i="33"/>
  <c r="Q265" i="33"/>
  <c r="T265" i="33"/>
  <c r="U265" i="33"/>
  <c r="H266" i="33"/>
  <c r="P266" i="33"/>
  <c r="Q266" i="33"/>
  <c r="T266" i="33"/>
  <c r="U266" i="33"/>
  <c r="H267" i="33"/>
  <c r="P267" i="33"/>
  <c r="Q267" i="33"/>
  <c r="T267" i="33"/>
  <c r="U267" i="33"/>
  <c r="H268" i="33"/>
  <c r="P268" i="33"/>
  <c r="Q268" i="33"/>
  <c r="T268" i="33"/>
  <c r="U268" i="33"/>
  <c r="H269" i="33"/>
  <c r="P269" i="33"/>
  <c r="Q269" i="33"/>
  <c r="T269" i="33"/>
  <c r="U269" i="33"/>
  <c r="H270" i="33"/>
  <c r="P270" i="33"/>
  <c r="Q270" i="33"/>
  <c r="T270" i="33"/>
  <c r="U270" i="33"/>
  <c r="H271" i="33"/>
  <c r="P271" i="33"/>
  <c r="Q271" i="33"/>
  <c r="T271" i="33"/>
  <c r="U271" i="33"/>
  <c r="H272" i="33"/>
  <c r="P272" i="33"/>
  <c r="Q272" i="33"/>
  <c r="T272" i="33"/>
  <c r="U272" i="33"/>
  <c r="H273" i="33"/>
  <c r="P273" i="33"/>
  <c r="Q273" i="33"/>
  <c r="T273" i="33"/>
  <c r="U273" i="33"/>
  <c r="H274" i="33"/>
  <c r="P274" i="33"/>
  <c r="Q274" i="33"/>
  <c r="T274" i="33"/>
  <c r="U274" i="33"/>
  <c r="H275" i="33"/>
  <c r="P275" i="33"/>
  <c r="Q275" i="33"/>
  <c r="T275" i="33"/>
  <c r="U275" i="33"/>
  <c r="H276" i="33"/>
  <c r="P276" i="33"/>
  <c r="Q276" i="33"/>
  <c r="T276" i="33"/>
  <c r="U276" i="33"/>
  <c r="H277" i="33"/>
  <c r="P277" i="33"/>
  <c r="Q277" i="33"/>
  <c r="T277" i="33"/>
  <c r="U277" i="33"/>
  <c r="H278" i="33"/>
  <c r="P278" i="33"/>
  <c r="Q278" i="33"/>
  <c r="T278" i="33"/>
  <c r="U278" i="33"/>
  <c r="H279" i="33"/>
  <c r="P279" i="33"/>
  <c r="Q279" i="33"/>
  <c r="T279" i="33"/>
  <c r="U279" i="33"/>
  <c r="H280" i="33"/>
  <c r="P280" i="33"/>
  <c r="Q280" i="33"/>
  <c r="T280" i="33"/>
  <c r="U280" i="33"/>
  <c r="H264" i="33"/>
  <c r="I264" i="33"/>
  <c r="L264" i="33"/>
  <c r="M264" i="33"/>
  <c r="P264" i="33"/>
  <c r="Q264" i="33"/>
  <c r="T264" i="33"/>
  <c r="U264" i="33"/>
  <c r="H118" i="33" l="1"/>
  <c r="L118" i="33"/>
  <c r="M118" i="33"/>
  <c r="P118" i="33"/>
  <c r="Q118" i="33"/>
  <c r="T118" i="33"/>
  <c r="U118" i="33"/>
  <c r="K117" i="34"/>
  <c r="O160" i="35" l="1"/>
  <c r="O161" i="35" s="1"/>
  <c r="K160" i="35"/>
  <c r="K161" i="35" s="1"/>
  <c r="G160" i="35"/>
  <c r="G161" i="35" s="1"/>
  <c r="O131" i="35"/>
  <c r="O132" i="35" s="1"/>
  <c r="K131" i="35"/>
  <c r="K132" i="35" s="1"/>
  <c r="G131" i="35"/>
  <c r="G132" i="35" s="1"/>
  <c r="C131" i="35"/>
  <c r="C132" i="35" s="1"/>
  <c r="O90" i="35"/>
  <c r="O91" i="35" s="1"/>
  <c r="K90" i="35"/>
  <c r="K91" i="35" s="1"/>
  <c r="G90" i="35"/>
  <c r="G91" i="35" s="1"/>
  <c r="O61" i="35"/>
  <c r="O62" i="35" s="1"/>
  <c r="K61" i="35"/>
  <c r="K62" i="35" s="1"/>
  <c r="G61" i="35"/>
  <c r="G62" i="35" s="1"/>
  <c r="C61" i="35"/>
  <c r="C62" i="35" s="1"/>
  <c r="O32" i="35"/>
  <c r="O33" i="35" s="1"/>
  <c r="K32" i="35"/>
  <c r="K33" i="35" s="1"/>
  <c r="G32" i="35"/>
  <c r="G33" i="35" s="1"/>
  <c r="K366" i="34" l="1"/>
  <c r="K365" i="34"/>
  <c r="K364" i="34"/>
  <c r="K363" i="34"/>
  <c r="K341" i="34"/>
  <c r="F82" i="35" l="1"/>
  <c r="C125" i="34" l="1"/>
  <c r="D125" i="34"/>
  <c r="C470" i="34"/>
  <c r="D470" i="34"/>
  <c r="K491" i="34"/>
  <c r="U585" i="33"/>
  <c r="T585" i="33"/>
  <c r="Q585" i="33"/>
  <c r="P585" i="33"/>
  <c r="L585" i="33"/>
  <c r="H585" i="33"/>
  <c r="K519" i="34"/>
  <c r="B67" i="35" l="1"/>
  <c r="B68" i="35"/>
  <c r="B69" i="35"/>
  <c r="B70" i="35"/>
  <c r="B71" i="35"/>
  <c r="B72" i="35"/>
  <c r="B73" i="35"/>
  <c r="B38" i="35"/>
  <c r="B39" i="35"/>
  <c r="B40" i="35"/>
  <c r="B10" i="35"/>
  <c r="B11" i="35"/>
  <c r="B12" i="35"/>
  <c r="B13" i="35"/>
  <c r="B14" i="35"/>
  <c r="B15" i="35"/>
  <c r="B16" i="35"/>
  <c r="H355" i="33" l="1"/>
  <c r="L355" i="33"/>
  <c r="M355" i="33"/>
  <c r="P355" i="33"/>
  <c r="Q355" i="33"/>
  <c r="T355" i="33"/>
  <c r="U355" i="33"/>
  <c r="H392" i="33"/>
  <c r="L392" i="33"/>
  <c r="M392" i="33"/>
  <c r="P392" i="33"/>
  <c r="Q392" i="33"/>
  <c r="T392" i="33"/>
  <c r="U392" i="33"/>
  <c r="H393" i="33"/>
  <c r="L393" i="33"/>
  <c r="M393" i="33"/>
  <c r="P393" i="33"/>
  <c r="Q393" i="33"/>
  <c r="T393" i="33"/>
  <c r="U393" i="33"/>
  <c r="H394" i="33"/>
  <c r="L394" i="33"/>
  <c r="M394" i="33"/>
  <c r="P394" i="33"/>
  <c r="Q394" i="33"/>
  <c r="T394" i="33"/>
  <c r="U394" i="33"/>
  <c r="H395" i="33"/>
  <c r="L395" i="33"/>
  <c r="M395" i="33"/>
  <c r="P395" i="33"/>
  <c r="Q395" i="33"/>
  <c r="T395" i="33"/>
  <c r="U395" i="33"/>
  <c r="H396" i="33"/>
  <c r="L396" i="33"/>
  <c r="M396" i="33"/>
  <c r="P396" i="33"/>
  <c r="Q396" i="33"/>
  <c r="T396" i="33"/>
  <c r="U396" i="33"/>
  <c r="H397" i="33"/>
  <c r="L397" i="33"/>
  <c r="P397" i="33"/>
  <c r="Q397" i="33"/>
  <c r="T397" i="33"/>
  <c r="U397" i="33"/>
  <c r="H398" i="33"/>
  <c r="L398" i="33"/>
  <c r="P398" i="33"/>
  <c r="Q398" i="33"/>
  <c r="T398" i="33"/>
  <c r="U398" i="33"/>
  <c r="H399" i="33"/>
  <c r="L399" i="33"/>
  <c r="P399" i="33"/>
  <c r="Q399" i="33"/>
  <c r="T399" i="33"/>
  <c r="U399" i="33"/>
  <c r="H400" i="33"/>
  <c r="L400" i="33"/>
  <c r="P400" i="33"/>
  <c r="Q400" i="33"/>
  <c r="T400" i="33"/>
  <c r="U400" i="33"/>
  <c r="H401" i="33"/>
  <c r="L401" i="33"/>
  <c r="P401" i="33"/>
  <c r="Q401" i="33"/>
  <c r="T401" i="33"/>
  <c r="U401" i="33"/>
  <c r="H402" i="33"/>
  <c r="L402" i="33"/>
  <c r="P402" i="33"/>
  <c r="Q402" i="33"/>
  <c r="T402" i="33"/>
  <c r="U402" i="33"/>
  <c r="H403" i="33"/>
  <c r="L403" i="33"/>
  <c r="M403" i="33"/>
  <c r="P403" i="33"/>
  <c r="Q403" i="33"/>
  <c r="T403" i="33"/>
  <c r="U403" i="33"/>
  <c r="H404" i="33"/>
  <c r="L404" i="33"/>
  <c r="P404" i="33"/>
  <c r="Q404" i="33"/>
  <c r="T404" i="33"/>
  <c r="U404" i="33"/>
  <c r="H405" i="33"/>
  <c r="L405" i="33"/>
  <c r="P405" i="33"/>
  <c r="Q405" i="33"/>
  <c r="T405" i="33"/>
  <c r="U405" i="33"/>
  <c r="H406" i="33"/>
  <c r="L406" i="33"/>
  <c r="P406" i="33"/>
  <c r="Q406" i="33"/>
  <c r="T406" i="33"/>
  <c r="U406" i="33"/>
  <c r="H407" i="33"/>
  <c r="L407" i="33"/>
  <c r="M407" i="33"/>
  <c r="P407" i="33"/>
  <c r="Q407" i="33"/>
  <c r="T407" i="33"/>
  <c r="U407" i="33"/>
  <c r="F10" i="35" l="1"/>
  <c r="O171" i="35"/>
  <c r="O172" i="35"/>
  <c r="O173" i="35"/>
  <c r="O174" i="35"/>
  <c r="O175" i="35"/>
  <c r="O176" i="35"/>
  <c r="O177" i="35"/>
  <c r="O178" i="35"/>
  <c r="O179" i="35"/>
  <c r="O180" i="35"/>
  <c r="O181" i="35"/>
  <c r="O182" i="35"/>
  <c r="O183" i="35"/>
  <c r="O184" i="35"/>
  <c r="O185" i="35"/>
  <c r="O186" i="35"/>
  <c r="O187" i="35"/>
  <c r="O140" i="35"/>
  <c r="O141" i="35"/>
  <c r="O142" i="35" s="1"/>
  <c r="O143" i="35" s="1"/>
  <c r="O144" i="35" s="1"/>
  <c r="O145" i="35" s="1"/>
  <c r="O146" i="35"/>
  <c r="O147" i="35"/>
  <c r="O148" i="35"/>
  <c r="O149" i="35"/>
  <c r="O150" i="35"/>
  <c r="O151" i="35"/>
  <c r="O152" i="35"/>
  <c r="O153" i="35"/>
  <c r="O154" i="35"/>
  <c r="O155" i="35"/>
  <c r="O156" i="35"/>
  <c r="O157" i="35"/>
  <c r="O158" i="35"/>
  <c r="O129" i="35"/>
  <c r="O68" i="35"/>
  <c r="O69" i="35" s="1"/>
  <c r="O70" i="35" s="1"/>
  <c r="O71" i="35" s="1"/>
  <c r="O72" i="35" s="1"/>
  <c r="O73" i="35"/>
  <c r="O74" i="35"/>
  <c r="O75" i="35"/>
  <c r="O76" i="35"/>
  <c r="O77" i="35"/>
  <c r="O78" i="35"/>
  <c r="O79" i="35"/>
  <c r="O80" i="35"/>
  <c r="O81" i="35"/>
  <c r="O82" i="35"/>
  <c r="O83" i="35"/>
  <c r="O84" i="35"/>
  <c r="O85" i="35"/>
  <c r="O86" i="35"/>
  <c r="O87" i="35"/>
  <c r="O88" i="35"/>
  <c r="O67" i="35"/>
  <c r="O42" i="35"/>
  <c r="O43" i="35"/>
  <c r="O44" i="35"/>
  <c r="O45" i="35"/>
  <c r="O46" i="35"/>
  <c r="O47" i="35"/>
  <c r="O48" i="35"/>
  <c r="O49" i="35"/>
  <c r="O50" i="35"/>
  <c r="O51" i="35"/>
  <c r="O52" i="35"/>
  <c r="O53" i="35"/>
  <c r="O54" i="35"/>
  <c r="O55" i="35"/>
  <c r="O56" i="35"/>
  <c r="O57" i="35"/>
  <c r="O58" i="35"/>
  <c r="O59" i="35"/>
  <c r="O10" i="35"/>
  <c r="O11" i="35" s="1"/>
  <c r="O12" i="35" s="1"/>
  <c r="O13" i="35" s="1"/>
  <c r="O14" i="35" s="1"/>
  <c r="O15" i="35" s="1"/>
  <c r="O16" i="35"/>
  <c r="O17" i="35"/>
  <c r="O18" i="35"/>
  <c r="O19" i="35"/>
  <c r="O20" i="35"/>
  <c r="O21" i="35"/>
  <c r="O22" i="35"/>
  <c r="O23" i="35"/>
  <c r="O24" i="35"/>
  <c r="O25" i="35"/>
  <c r="O26" i="35"/>
  <c r="O27" i="35"/>
  <c r="O28" i="35"/>
  <c r="O29" i="35"/>
  <c r="O30" i="35"/>
  <c r="K157" i="35"/>
  <c r="K158" i="35"/>
  <c r="K129" i="35"/>
  <c r="K78" i="35"/>
  <c r="K79" i="35"/>
  <c r="K80" i="35"/>
  <c r="K81" i="35"/>
  <c r="K82" i="35"/>
  <c r="K83" i="35"/>
  <c r="K84" i="35"/>
  <c r="K85" i="35"/>
  <c r="K86" i="35"/>
  <c r="K87" i="35"/>
  <c r="K88" i="35"/>
  <c r="K50" i="35"/>
  <c r="K51" i="35"/>
  <c r="K52" i="35"/>
  <c r="K53" i="35"/>
  <c r="K54" i="35"/>
  <c r="K55" i="35"/>
  <c r="K56" i="35"/>
  <c r="K57" i="35"/>
  <c r="K58" i="35"/>
  <c r="K59" i="35"/>
  <c r="K27" i="35"/>
  <c r="K28" i="35"/>
  <c r="K29" i="35"/>
  <c r="K30" i="35"/>
  <c r="G3" i="35"/>
  <c r="G4" i="35" s="1"/>
  <c r="G8" i="35" s="1"/>
  <c r="G9" i="35" s="1"/>
  <c r="G10" i="35" s="1"/>
  <c r="G11" i="35" s="1"/>
  <c r="G12" i="35" s="1"/>
  <c r="G13" i="35" s="1"/>
  <c r="G14" i="35" s="1"/>
  <c r="G15" i="35" s="1"/>
  <c r="G16" i="35" s="1"/>
  <c r="G17" i="35" s="1"/>
  <c r="G18" i="35" s="1"/>
  <c r="G19" i="35" s="1"/>
  <c r="G20" i="35" s="1"/>
  <c r="G21" i="35" s="1"/>
  <c r="G22" i="35" s="1"/>
  <c r="G23" i="35" s="1"/>
  <c r="G24" i="35" s="1"/>
  <c r="G25" i="35" s="1"/>
  <c r="G172" i="35"/>
  <c r="G173" i="35"/>
  <c r="G174" i="35"/>
  <c r="G175" i="35"/>
  <c r="G176" i="35"/>
  <c r="G177" i="35"/>
  <c r="G178" i="35"/>
  <c r="G179" i="35"/>
  <c r="G180" i="35"/>
  <c r="G181" i="35"/>
  <c r="G182" i="35"/>
  <c r="G183" i="35"/>
  <c r="G184" i="35"/>
  <c r="G185" i="35"/>
  <c r="G186" i="35"/>
  <c r="G187" i="35"/>
  <c r="G146" i="35"/>
  <c r="G147" i="35"/>
  <c r="G148" i="35"/>
  <c r="G149" i="35"/>
  <c r="G150" i="35"/>
  <c r="G151" i="35"/>
  <c r="G152" i="35"/>
  <c r="G153" i="35"/>
  <c r="G154" i="35"/>
  <c r="G155" i="35"/>
  <c r="G156" i="35"/>
  <c r="G157" i="35"/>
  <c r="G158" i="35"/>
  <c r="G129" i="35"/>
  <c r="G82" i="35"/>
  <c r="G83" i="35"/>
  <c r="G84" i="35"/>
  <c r="G85" i="35"/>
  <c r="G86" i="35"/>
  <c r="G87" i="35"/>
  <c r="G88" i="35"/>
  <c r="G47" i="35"/>
  <c r="G48" i="35"/>
  <c r="G49" i="35"/>
  <c r="G50" i="35"/>
  <c r="G51" i="35"/>
  <c r="G52" i="35"/>
  <c r="G53" i="35"/>
  <c r="G54" i="35"/>
  <c r="G55" i="35"/>
  <c r="G56" i="35"/>
  <c r="G57" i="35"/>
  <c r="G58" i="35"/>
  <c r="G59" i="35"/>
  <c r="G26" i="35"/>
  <c r="G27" i="35"/>
  <c r="G28" i="35"/>
  <c r="G29" i="35"/>
  <c r="G30" i="35"/>
  <c r="N187" i="35"/>
  <c r="N186" i="35"/>
  <c r="N185" i="35"/>
  <c r="N184" i="35"/>
  <c r="N183" i="35"/>
  <c r="N182" i="35"/>
  <c r="N181" i="35"/>
  <c r="N180" i="35"/>
  <c r="N179" i="35"/>
  <c r="N178" i="35"/>
  <c r="N177" i="35"/>
  <c r="N176" i="35"/>
  <c r="N175" i="35"/>
  <c r="N174" i="35"/>
  <c r="N173" i="35"/>
  <c r="N172" i="35"/>
  <c r="N171" i="35"/>
  <c r="N170" i="35"/>
  <c r="N169" i="35"/>
  <c r="N168" i="35"/>
  <c r="N167" i="35"/>
  <c r="N166" i="35"/>
  <c r="N165" i="35"/>
  <c r="O165" i="35"/>
  <c r="O166" i="35" s="1"/>
  <c r="O167" i="35" s="1"/>
  <c r="O168" i="35" s="1"/>
  <c r="O169" i="35" s="1"/>
  <c r="O170" i="35" s="1"/>
  <c r="N158" i="35"/>
  <c r="N157" i="35"/>
  <c r="N156" i="35"/>
  <c r="N155" i="35"/>
  <c r="N154" i="35"/>
  <c r="N153" i="35"/>
  <c r="N152" i="35"/>
  <c r="N151" i="35"/>
  <c r="N150" i="35"/>
  <c r="N149" i="35"/>
  <c r="N148" i="35"/>
  <c r="N147" i="35"/>
  <c r="N146" i="35"/>
  <c r="N145" i="35"/>
  <c r="N144" i="35"/>
  <c r="N143" i="35"/>
  <c r="N142" i="35"/>
  <c r="N141" i="35"/>
  <c r="N140" i="35"/>
  <c r="N139" i="35"/>
  <c r="N138" i="35"/>
  <c r="N137" i="35"/>
  <c r="N136" i="35"/>
  <c r="O136" i="35"/>
  <c r="O137" i="35" s="1"/>
  <c r="O138" i="35" s="1"/>
  <c r="O139" i="35" s="1"/>
  <c r="N129" i="35"/>
  <c r="N128" i="35"/>
  <c r="N127" i="35"/>
  <c r="N126" i="35"/>
  <c r="N125" i="35"/>
  <c r="N124" i="35"/>
  <c r="N123" i="35"/>
  <c r="N122" i="35"/>
  <c r="N121" i="35"/>
  <c r="N120" i="35"/>
  <c r="N119" i="35"/>
  <c r="N118" i="35"/>
  <c r="N117" i="35"/>
  <c r="N116" i="35"/>
  <c r="N115" i="35"/>
  <c r="N114" i="35"/>
  <c r="N113" i="35"/>
  <c r="N112" i="35"/>
  <c r="N111" i="35"/>
  <c r="N110" i="35"/>
  <c r="N109" i="35"/>
  <c r="N108" i="35"/>
  <c r="N107" i="35"/>
  <c r="N106" i="35"/>
  <c r="N105" i="35"/>
  <c r="N104" i="35"/>
  <c r="N103" i="35"/>
  <c r="N102" i="35"/>
  <c r="N101" i="35"/>
  <c r="N100" i="35"/>
  <c r="N99" i="35"/>
  <c r="N98" i="35"/>
  <c r="N97" i="35"/>
  <c r="N96" i="35"/>
  <c r="N95" i="35"/>
  <c r="O95" i="35"/>
  <c r="O96" i="35" s="1"/>
  <c r="O97" i="35" s="1"/>
  <c r="O98" i="35" s="1"/>
  <c r="O99" i="35" s="1"/>
  <c r="O100" i="35" s="1"/>
  <c r="O101" i="35" s="1"/>
  <c r="O102" i="35" s="1"/>
  <c r="O103" i="35" s="1"/>
  <c r="O104" i="35" s="1"/>
  <c r="O105" i="35" s="1"/>
  <c r="O106" i="35" s="1"/>
  <c r="O107" i="35" s="1"/>
  <c r="O108" i="35" s="1"/>
  <c r="O109" i="35" s="1"/>
  <c r="O110" i="35" s="1"/>
  <c r="O111" i="35" s="1"/>
  <c r="O112" i="35" s="1"/>
  <c r="O113" i="35" s="1"/>
  <c r="O114" i="35" s="1"/>
  <c r="O115" i="35" s="1"/>
  <c r="O116" i="35" s="1"/>
  <c r="O117" i="35" s="1"/>
  <c r="O118" i="35" s="1"/>
  <c r="O119" i="35" s="1"/>
  <c r="O120" i="35" s="1"/>
  <c r="O121" i="35" s="1"/>
  <c r="O122" i="35" s="1"/>
  <c r="O123" i="35" s="1"/>
  <c r="O124" i="35" s="1"/>
  <c r="O125" i="35" s="1"/>
  <c r="O126" i="35" s="1"/>
  <c r="O127" i="35" s="1"/>
  <c r="O128" i="35" s="1"/>
  <c r="N88" i="35"/>
  <c r="N87" i="35"/>
  <c r="N86" i="35"/>
  <c r="N85" i="35"/>
  <c r="N84" i="35"/>
  <c r="N83" i="35"/>
  <c r="N82" i="35"/>
  <c r="N81" i="35"/>
  <c r="N80" i="35"/>
  <c r="N79" i="35"/>
  <c r="N78" i="35"/>
  <c r="N77" i="35"/>
  <c r="N76" i="35"/>
  <c r="N75" i="35"/>
  <c r="N74" i="35"/>
  <c r="N73" i="35"/>
  <c r="N72" i="35"/>
  <c r="N71" i="35"/>
  <c r="N70" i="35"/>
  <c r="N69" i="35"/>
  <c r="N68" i="35"/>
  <c r="N67" i="35"/>
  <c r="N66" i="35"/>
  <c r="O66" i="35"/>
  <c r="N59" i="35"/>
  <c r="N58" i="35"/>
  <c r="N57" i="35"/>
  <c r="N56" i="35"/>
  <c r="N55" i="35"/>
  <c r="N54" i="35"/>
  <c r="N53" i="35"/>
  <c r="N52" i="35"/>
  <c r="N51" i="35"/>
  <c r="N50" i="35"/>
  <c r="N49" i="35"/>
  <c r="N48" i="35"/>
  <c r="N47" i="35"/>
  <c r="N46" i="35"/>
  <c r="N45" i="35"/>
  <c r="N44" i="35"/>
  <c r="N43" i="35"/>
  <c r="N42" i="35"/>
  <c r="N41" i="35"/>
  <c r="N40" i="35"/>
  <c r="N39" i="35"/>
  <c r="N38" i="35"/>
  <c r="N37" i="35"/>
  <c r="O37" i="35"/>
  <c r="O38" i="35" s="1"/>
  <c r="O39" i="35" s="1"/>
  <c r="O40" i="35" s="1"/>
  <c r="O41" i="35" s="1"/>
  <c r="N30" i="35"/>
  <c r="N29" i="35"/>
  <c r="N28" i="35"/>
  <c r="N27" i="35"/>
  <c r="N26" i="35"/>
  <c r="N25" i="35"/>
  <c r="N24" i="35"/>
  <c r="N23" i="35"/>
  <c r="N22" i="35"/>
  <c r="N21" i="35"/>
  <c r="N20" i="35"/>
  <c r="N19" i="35"/>
  <c r="N18" i="35"/>
  <c r="N17" i="35"/>
  <c r="N16" i="35"/>
  <c r="N15" i="35"/>
  <c r="N14" i="35"/>
  <c r="N13" i="35"/>
  <c r="N12" i="35"/>
  <c r="N11" i="35"/>
  <c r="N10" i="35"/>
  <c r="N9" i="35"/>
  <c r="N8" i="35"/>
  <c r="O3" i="35"/>
  <c r="O4" i="35" s="1"/>
  <c r="O8" i="35" s="1"/>
  <c r="O9" i="35" s="1"/>
  <c r="J187" i="35"/>
  <c r="J186" i="35"/>
  <c r="J185" i="35"/>
  <c r="J184" i="35"/>
  <c r="J183" i="35"/>
  <c r="J182" i="35"/>
  <c r="J181" i="35"/>
  <c r="J180" i="35"/>
  <c r="J179" i="35"/>
  <c r="J178" i="35"/>
  <c r="J177" i="35"/>
  <c r="J176" i="35"/>
  <c r="J175" i="35"/>
  <c r="J174" i="35"/>
  <c r="J173" i="35"/>
  <c r="J172" i="35"/>
  <c r="J171" i="35"/>
  <c r="J170" i="35"/>
  <c r="J169" i="35"/>
  <c r="J168" i="35"/>
  <c r="J167" i="35"/>
  <c r="J166" i="35"/>
  <c r="J165" i="35"/>
  <c r="K165" i="35"/>
  <c r="K166" i="35" s="1"/>
  <c r="K167" i="35" s="1"/>
  <c r="K168" i="35" s="1"/>
  <c r="K169" i="35" s="1"/>
  <c r="K170" i="35" s="1"/>
  <c r="K171" i="35" s="1"/>
  <c r="K172" i="35" s="1"/>
  <c r="K173" i="35" s="1"/>
  <c r="K174" i="35" s="1"/>
  <c r="K175" i="35" s="1"/>
  <c r="K176" i="35" s="1"/>
  <c r="K177" i="35" s="1"/>
  <c r="K178" i="35" s="1"/>
  <c r="K179" i="35" s="1"/>
  <c r="K180" i="35" s="1"/>
  <c r="K181" i="35" s="1"/>
  <c r="K182" i="35" s="1"/>
  <c r="K183" i="35" s="1"/>
  <c r="K184" i="35" s="1"/>
  <c r="K185" i="35" s="1"/>
  <c r="K186" i="35" s="1"/>
  <c r="K187" i="35" s="1"/>
  <c r="J158" i="35"/>
  <c r="J157" i="35"/>
  <c r="J156" i="35"/>
  <c r="J155" i="35"/>
  <c r="J154" i="35"/>
  <c r="J153" i="35"/>
  <c r="J152" i="35"/>
  <c r="J151" i="35"/>
  <c r="J150" i="35"/>
  <c r="J149" i="35"/>
  <c r="J148" i="35"/>
  <c r="J147" i="35"/>
  <c r="J146" i="35"/>
  <c r="J145" i="35"/>
  <c r="J144" i="35"/>
  <c r="J143" i="35"/>
  <c r="J142" i="35"/>
  <c r="J141" i="35"/>
  <c r="J140" i="35"/>
  <c r="J139" i="35"/>
  <c r="J138" i="35"/>
  <c r="J137" i="35"/>
  <c r="J136" i="35"/>
  <c r="K136" i="35"/>
  <c r="K137" i="35" s="1"/>
  <c r="K138" i="35" s="1"/>
  <c r="K139" i="35" s="1"/>
  <c r="K140" i="35" s="1"/>
  <c r="K141" i="35" s="1"/>
  <c r="K142" i="35" s="1"/>
  <c r="K143" i="35" s="1"/>
  <c r="K144" i="35" s="1"/>
  <c r="K145" i="35" s="1"/>
  <c r="K146" i="35" s="1"/>
  <c r="K147" i="35" s="1"/>
  <c r="K148" i="35" s="1"/>
  <c r="K149" i="35" s="1"/>
  <c r="K150" i="35" s="1"/>
  <c r="K151" i="35" s="1"/>
  <c r="K152" i="35" s="1"/>
  <c r="K153" i="35" s="1"/>
  <c r="K154" i="35" s="1"/>
  <c r="K155" i="35" s="1"/>
  <c r="K156" i="35" s="1"/>
  <c r="J129" i="35"/>
  <c r="J128" i="35"/>
  <c r="J127" i="35"/>
  <c r="J126" i="35"/>
  <c r="J125" i="35"/>
  <c r="J124" i="35"/>
  <c r="J123" i="35"/>
  <c r="J122" i="35"/>
  <c r="J121" i="35"/>
  <c r="J120" i="35"/>
  <c r="J119" i="35"/>
  <c r="J118" i="35"/>
  <c r="J117" i="35"/>
  <c r="J116" i="35"/>
  <c r="J115" i="35"/>
  <c r="J114" i="35"/>
  <c r="J113" i="35"/>
  <c r="J112" i="35"/>
  <c r="J111" i="35"/>
  <c r="J110" i="35"/>
  <c r="J109" i="35"/>
  <c r="J108" i="35"/>
  <c r="J107" i="35"/>
  <c r="J106" i="35"/>
  <c r="J105" i="35"/>
  <c r="J104" i="35"/>
  <c r="J103" i="35"/>
  <c r="J102" i="35"/>
  <c r="J101" i="35"/>
  <c r="J100" i="35"/>
  <c r="J99" i="35"/>
  <c r="J98" i="35"/>
  <c r="J97" i="35"/>
  <c r="J96" i="35"/>
  <c r="J95" i="35"/>
  <c r="K95" i="35"/>
  <c r="K96" i="35" s="1"/>
  <c r="K97" i="35" s="1"/>
  <c r="K98" i="35" s="1"/>
  <c r="K99" i="35" s="1"/>
  <c r="K100" i="35" s="1"/>
  <c r="K101" i="35" s="1"/>
  <c r="K102" i="35" s="1"/>
  <c r="K103" i="35" s="1"/>
  <c r="K104" i="35" s="1"/>
  <c r="K105" i="35" s="1"/>
  <c r="K106" i="35" s="1"/>
  <c r="K107" i="35" s="1"/>
  <c r="K108" i="35" s="1"/>
  <c r="K109" i="35" s="1"/>
  <c r="K110" i="35" s="1"/>
  <c r="K111" i="35" s="1"/>
  <c r="K112" i="35" s="1"/>
  <c r="K113" i="35" s="1"/>
  <c r="K114" i="35" s="1"/>
  <c r="K115" i="35" s="1"/>
  <c r="K116" i="35" s="1"/>
  <c r="K117" i="35" s="1"/>
  <c r="K118" i="35" s="1"/>
  <c r="K119" i="35" s="1"/>
  <c r="K120" i="35" s="1"/>
  <c r="K121" i="35" s="1"/>
  <c r="K122" i="35" s="1"/>
  <c r="K123" i="35" s="1"/>
  <c r="K124" i="35" s="1"/>
  <c r="K125" i="35" s="1"/>
  <c r="K126" i="35" s="1"/>
  <c r="K127" i="35" s="1"/>
  <c r="K128" i="35" s="1"/>
  <c r="J88" i="35"/>
  <c r="J87" i="35"/>
  <c r="J86" i="35"/>
  <c r="J85" i="35"/>
  <c r="J84" i="35"/>
  <c r="J83" i="35"/>
  <c r="J82" i="35"/>
  <c r="J81" i="35"/>
  <c r="J80" i="35"/>
  <c r="J79" i="35"/>
  <c r="J78" i="35"/>
  <c r="J77" i="35"/>
  <c r="J76" i="35"/>
  <c r="J75" i="35"/>
  <c r="J74" i="35"/>
  <c r="J73" i="35"/>
  <c r="J72" i="35"/>
  <c r="J71" i="35"/>
  <c r="J70" i="35"/>
  <c r="J69" i="35"/>
  <c r="J68" i="35"/>
  <c r="J67" i="35"/>
  <c r="J66" i="35"/>
  <c r="K66" i="35"/>
  <c r="K67" i="35" s="1"/>
  <c r="K68" i="35" s="1"/>
  <c r="K69" i="35" s="1"/>
  <c r="K70" i="35" s="1"/>
  <c r="K71" i="35" s="1"/>
  <c r="K72" i="35" s="1"/>
  <c r="K73" i="35" s="1"/>
  <c r="K74" i="35" s="1"/>
  <c r="K75" i="35" s="1"/>
  <c r="K76" i="35" s="1"/>
  <c r="K77" i="35" s="1"/>
  <c r="J59" i="35"/>
  <c r="J58" i="35"/>
  <c r="J57" i="35"/>
  <c r="J56" i="35"/>
  <c r="J55" i="35"/>
  <c r="J54" i="35"/>
  <c r="J53" i="35"/>
  <c r="J52" i="35"/>
  <c r="J51" i="35"/>
  <c r="J50" i="35"/>
  <c r="J49" i="35"/>
  <c r="J48" i="35"/>
  <c r="J47" i="35"/>
  <c r="J46" i="35"/>
  <c r="J45" i="35"/>
  <c r="J44" i="35"/>
  <c r="J43" i="35"/>
  <c r="J42" i="35"/>
  <c r="J41" i="35"/>
  <c r="J40" i="35"/>
  <c r="J39" i="35"/>
  <c r="J38" i="35"/>
  <c r="J37" i="35"/>
  <c r="K37" i="35"/>
  <c r="K38" i="35" s="1"/>
  <c r="K39" i="35" s="1"/>
  <c r="K40" i="35" s="1"/>
  <c r="K41" i="35" s="1"/>
  <c r="K42" i="35" s="1"/>
  <c r="K43" i="35" s="1"/>
  <c r="K44" i="35" s="1"/>
  <c r="K45" i="35" s="1"/>
  <c r="K46" i="35" s="1"/>
  <c r="K47" i="35" s="1"/>
  <c r="K48" i="35" s="1"/>
  <c r="K49" i="35" s="1"/>
  <c r="J30" i="35"/>
  <c r="J29" i="35"/>
  <c r="J28" i="35"/>
  <c r="J27" i="35"/>
  <c r="J26" i="35"/>
  <c r="J25" i="35"/>
  <c r="J24" i="35"/>
  <c r="J23" i="35"/>
  <c r="J22" i="35"/>
  <c r="J21" i="35"/>
  <c r="J20" i="35"/>
  <c r="J19" i="35"/>
  <c r="J18" i="35"/>
  <c r="J17" i="35"/>
  <c r="J16" i="35"/>
  <c r="J15" i="35"/>
  <c r="J14" i="35"/>
  <c r="J13" i="35"/>
  <c r="J12" i="35"/>
  <c r="J11" i="35"/>
  <c r="J10" i="35"/>
  <c r="J9" i="35"/>
  <c r="J8" i="35"/>
  <c r="K3" i="35"/>
  <c r="K4" i="35" s="1"/>
  <c r="K8" i="35" s="1"/>
  <c r="K9" i="35" s="1"/>
  <c r="K10" i="35" s="1"/>
  <c r="K11" i="35" s="1"/>
  <c r="K12" i="35" s="1"/>
  <c r="K13" i="35" s="1"/>
  <c r="K14" i="35" s="1"/>
  <c r="K15" i="35" s="1"/>
  <c r="K16" i="35" s="1"/>
  <c r="K17" i="35" s="1"/>
  <c r="K18" i="35" s="1"/>
  <c r="K19" i="35" s="1"/>
  <c r="K20" i="35" s="1"/>
  <c r="K21" i="35" s="1"/>
  <c r="K22" i="35" s="1"/>
  <c r="K23" i="35" s="1"/>
  <c r="K24" i="35" s="1"/>
  <c r="K25" i="35" s="1"/>
  <c r="K26" i="35" s="1"/>
  <c r="F187" i="35"/>
  <c r="F186" i="35"/>
  <c r="F185" i="35"/>
  <c r="F184" i="35"/>
  <c r="F183" i="35"/>
  <c r="F182" i="35"/>
  <c r="F181" i="35"/>
  <c r="F180" i="35"/>
  <c r="F179" i="35"/>
  <c r="F178" i="35"/>
  <c r="F177" i="35"/>
  <c r="F176" i="35"/>
  <c r="F175" i="35"/>
  <c r="F174" i="35"/>
  <c r="F173" i="35"/>
  <c r="F172" i="35"/>
  <c r="F171" i="35"/>
  <c r="F170" i="35"/>
  <c r="F169" i="35"/>
  <c r="F168" i="35"/>
  <c r="F167" i="35"/>
  <c r="F166" i="35"/>
  <c r="F165" i="35"/>
  <c r="G165" i="35"/>
  <c r="G166" i="35" s="1"/>
  <c r="G167" i="35" s="1"/>
  <c r="G168" i="35" s="1"/>
  <c r="G169" i="35" s="1"/>
  <c r="G170" i="35" s="1"/>
  <c r="G171" i="35" s="1"/>
  <c r="F158" i="35"/>
  <c r="F157" i="35"/>
  <c r="F156" i="35"/>
  <c r="F155" i="35"/>
  <c r="F154" i="35"/>
  <c r="F153" i="35"/>
  <c r="F152" i="35"/>
  <c r="F151" i="35"/>
  <c r="F150" i="35"/>
  <c r="F149" i="35"/>
  <c r="F148" i="35"/>
  <c r="F147" i="35"/>
  <c r="F146" i="35"/>
  <c r="F145" i="35"/>
  <c r="F144" i="35"/>
  <c r="F143" i="35"/>
  <c r="F142" i="35"/>
  <c r="F141" i="35"/>
  <c r="F140" i="35"/>
  <c r="F139" i="35"/>
  <c r="F138" i="35"/>
  <c r="F137" i="35"/>
  <c r="F136" i="35"/>
  <c r="G136" i="35"/>
  <c r="G137" i="35" s="1"/>
  <c r="G138" i="35" s="1"/>
  <c r="G139" i="35" s="1"/>
  <c r="G140" i="35" s="1"/>
  <c r="G141" i="35" s="1"/>
  <c r="G142" i="35" s="1"/>
  <c r="G143" i="35" s="1"/>
  <c r="G144" i="35" s="1"/>
  <c r="G145" i="35" s="1"/>
  <c r="F129" i="35"/>
  <c r="F128" i="35"/>
  <c r="F127" i="35"/>
  <c r="F126" i="35"/>
  <c r="F125" i="35"/>
  <c r="F124" i="35"/>
  <c r="F123" i="35"/>
  <c r="F122" i="35"/>
  <c r="F121" i="35"/>
  <c r="F120" i="35"/>
  <c r="F119" i="35"/>
  <c r="F118" i="35"/>
  <c r="F117" i="35"/>
  <c r="F116" i="35"/>
  <c r="F115" i="35"/>
  <c r="F114" i="35"/>
  <c r="F113" i="35"/>
  <c r="F112" i="35"/>
  <c r="F111" i="35"/>
  <c r="F110" i="35"/>
  <c r="F109" i="35"/>
  <c r="F108" i="35"/>
  <c r="F107" i="35"/>
  <c r="F106" i="35"/>
  <c r="F105" i="35"/>
  <c r="F104" i="35"/>
  <c r="F103" i="35"/>
  <c r="F102" i="35"/>
  <c r="F101" i="35"/>
  <c r="F100" i="35"/>
  <c r="F99" i="35"/>
  <c r="F98" i="35"/>
  <c r="F97" i="35"/>
  <c r="F96" i="35"/>
  <c r="F95" i="35"/>
  <c r="G95" i="35"/>
  <c r="G96" i="35" s="1"/>
  <c r="G97" i="35" s="1"/>
  <c r="G98" i="35" s="1"/>
  <c r="G99" i="35" s="1"/>
  <c r="G100" i="35" s="1"/>
  <c r="G101" i="35" s="1"/>
  <c r="G102" i="35" s="1"/>
  <c r="G103" i="35" s="1"/>
  <c r="G104" i="35" s="1"/>
  <c r="G105" i="35" s="1"/>
  <c r="G106" i="35" s="1"/>
  <c r="G107" i="35" s="1"/>
  <c r="G108" i="35" s="1"/>
  <c r="G109" i="35" s="1"/>
  <c r="G110" i="35" s="1"/>
  <c r="G111" i="35" s="1"/>
  <c r="G112" i="35" s="1"/>
  <c r="G113" i="35" s="1"/>
  <c r="G114" i="35" s="1"/>
  <c r="G115" i="35" s="1"/>
  <c r="G116" i="35" s="1"/>
  <c r="G117" i="35" s="1"/>
  <c r="G118" i="35" s="1"/>
  <c r="G119" i="35" s="1"/>
  <c r="G120" i="35" s="1"/>
  <c r="G121" i="35" s="1"/>
  <c r="G122" i="35" s="1"/>
  <c r="G123" i="35" s="1"/>
  <c r="G124" i="35" s="1"/>
  <c r="G125" i="35" s="1"/>
  <c r="G126" i="35" s="1"/>
  <c r="G127" i="35" s="1"/>
  <c r="G128" i="35" s="1"/>
  <c r="F88" i="35"/>
  <c r="F87" i="35"/>
  <c r="F86" i="35"/>
  <c r="F85" i="35"/>
  <c r="F84" i="35"/>
  <c r="F83" i="35"/>
  <c r="F81" i="35"/>
  <c r="F80" i="35"/>
  <c r="F79" i="35"/>
  <c r="F78" i="35"/>
  <c r="F77" i="35"/>
  <c r="F76" i="35"/>
  <c r="F75" i="35"/>
  <c r="F74" i="35"/>
  <c r="F73" i="35"/>
  <c r="F72" i="35"/>
  <c r="F71" i="35"/>
  <c r="F70" i="35"/>
  <c r="F69" i="35"/>
  <c r="F68" i="35"/>
  <c r="F67" i="35"/>
  <c r="F66" i="35"/>
  <c r="G66" i="35"/>
  <c r="G67" i="35" s="1"/>
  <c r="G68" i="35" s="1"/>
  <c r="G69" i="35" s="1"/>
  <c r="G70" i="35" s="1"/>
  <c r="G71" i="35" s="1"/>
  <c r="G72" i="35" s="1"/>
  <c r="G73" i="35" s="1"/>
  <c r="G74" i="35" s="1"/>
  <c r="G75" i="35" s="1"/>
  <c r="G76" i="35" s="1"/>
  <c r="G77" i="35" s="1"/>
  <c r="G78" i="35" s="1"/>
  <c r="G79" i="35" s="1"/>
  <c r="G80" i="35" s="1"/>
  <c r="G81" i="35" s="1"/>
  <c r="F59" i="35"/>
  <c r="F58" i="35"/>
  <c r="F57" i="35"/>
  <c r="F56" i="35"/>
  <c r="F55" i="35"/>
  <c r="F54" i="35"/>
  <c r="F53" i="35"/>
  <c r="F52" i="35"/>
  <c r="F51" i="35"/>
  <c r="F50" i="35"/>
  <c r="F49" i="35"/>
  <c r="F48" i="35"/>
  <c r="F47" i="35"/>
  <c r="F46" i="35"/>
  <c r="F45" i="35"/>
  <c r="F44" i="35"/>
  <c r="F43" i="35"/>
  <c r="F42" i="35"/>
  <c r="F41" i="35"/>
  <c r="F40" i="35"/>
  <c r="F39" i="35"/>
  <c r="F38" i="35"/>
  <c r="F37" i="35"/>
  <c r="G37" i="35"/>
  <c r="G38" i="35" s="1"/>
  <c r="G39" i="35" s="1"/>
  <c r="G40" i="35" s="1"/>
  <c r="G41" i="35" s="1"/>
  <c r="G42" i="35" s="1"/>
  <c r="G43" i="35" s="1"/>
  <c r="G44" i="35" s="1"/>
  <c r="F30" i="35"/>
  <c r="F29" i="35"/>
  <c r="F28" i="35"/>
  <c r="F27" i="35"/>
  <c r="F26" i="35"/>
  <c r="F25" i="35"/>
  <c r="F24" i="35"/>
  <c r="F23" i="35"/>
  <c r="F22" i="35"/>
  <c r="F21" i="35"/>
  <c r="F20" i="35"/>
  <c r="F19" i="35"/>
  <c r="F18" i="35"/>
  <c r="F17" i="35"/>
  <c r="F16" i="35"/>
  <c r="F15" i="35"/>
  <c r="F14" i="35"/>
  <c r="F13" i="35"/>
  <c r="F12" i="35"/>
  <c r="F11" i="35"/>
  <c r="F9" i="35"/>
  <c r="F8" i="35"/>
  <c r="C177" i="35"/>
  <c r="C178" i="35"/>
  <c r="C179" i="35"/>
  <c r="C180" i="35"/>
  <c r="C181" i="35"/>
  <c r="C182" i="35"/>
  <c r="C183" i="35"/>
  <c r="C184" i="35"/>
  <c r="C185" i="35"/>
  <c r="C186" i="35"/>
  <c r="C187" i="35"/>
  <c r="C160" i="35"/>
  <c r="C161" i="35" s="1"/>
  <c r="C165" i="35" s="1"/>
  <c r="C166" i="35" s="1"/>
  <c r="C167" i="35" s="1"/>
  <c r="C168" i="35" s="1"/>
  <c r="C169" i="35" s="1"/>
  <c r="C170" i="35" s="1"/>
  <c r="C171" i="35" s="1"/>
  <c r="C172" i="35" s="1"/>
  <c r="C173" i="35" s="1"/>
  <c r="C174" i="35" s="1"/>
  <c r="C175" i="35" s="1"/>
  <c r="C176" i="35" s="1"/>
  <c r="C156" i="35"/>
  <c r="C157" i="35"/>
  <c r="C158" i="35"/>
  <c r="F34" i="33"/>
  <c r="F77" i="33"/>
  <c r="F126" i="33"/>
  <c r="F365" i="33"/>
  <c r="F370" i="33"/>
  <c r="F522" i="33"/>
  <c r="K11" i="34"/>
  <c r="C136" i="35"/>
  <c r="C137" i="35" s="1"/>
  <c r="C138" i="35" s="1"/>
  <c r="C139" i="35" s="1"/>
  <c r="C140" i="35" s="1"/>
  <c r="C141" i="35" s="1"/>
  <c r="C142" i="35" s="1"/>
  <c r="C143" i="35" s="1"/>
  <c r="C144" i="35" s="1"/>
  <c r="C145" i="35" s="1"/>
  <c r="C146" i="35" s="1"/>
  <c r="C147" i="35" s="1"/>
  <c r="C148" i="35" s="1"/>
  <c r="C149" i="35" s="1"/>
  <c r="C150" i="35" s="1"/>
  <c r="C151" i="35" s="1"/>
  <c r="C152" i="35" s="1"/>
  <c r="C153" i="35" s="1"/>
  <c r="C154" i="35" s="1"/>
  <c r="C155" i="35" s="1"/>
  <c r="C90" i="35"/>
  <c r="C91" i="35" s="1"/>
  <c r="C95" i="35" s="1"/>
  <c r="C96" i="35" s="1"/>
  <c r="C97" i="35" s="1"/>
  <c r="C98" i="35" s="1"/>
  <c r="C99" i="35" s="1"/>
  <c r="C100" i="35" s="1"/>
  <c r="C101" i="35" s="1"/>
  <c r="C102" i="35" s="1"/>
  <c r="C103" i="35" s="1"/>
  <c r="C104" i="35" s="1"/>
  <c r="C105" i="35" s="1"/>
  <c r="C106" i="35" s="1"/>
  <c r="C107" i="35" s="1"/>
  <c r="C108" i="35" s="1"/>
  <c r="C109" i="35" s="1"/>
  <c r="C110" i="35" s="1"/>
  <c r="C111" i="35" s="1"/>
  <c r="C112" i="35" s="1"/>
  <c r="C113" i="35" s="1"/>
  <c r="C114" i="35" s="1"/>
  <c r="C115" i="35" s="1"/>
  <c r="C116" i="35" s="1"/>
  <c r="C117" i="35" s="1"/>
  <c r="C118" i="35" s="1"/>
  <c r="C119" i="35" s="1"/>
  <c r="C120" i="35" s="1"/>
  <c r="B125" i="35"/>
  <c r="B126" i="35"/>
  <c r="B127" i="35"/>
  <c r="B128" i="35"/>
  <c r="B129" i="35"/>
  <c r="B121" i="35"/>
  <c r="B122" i="35"/>
  <c r="B123" i="35"/>
  <c r="B124" i="35"/>
  <c r="B118" i="35"/>
  <c r="B119" i="35"/>
  <c r="B120" i="35"/>
  <c r="C42" i="35"/>
  <c r="C43" i="35"/>
  <c r="C44" i="35"/>
  <c r="C45" i="35"/>
  <c r="C46" i="35"/>
  <c r="C47" i="35"/>
  <c r="C48" i="35"/>
  <c r="C49" i="35"/>
  <c r="C50" i="35"/>
  <c r="C51" i="35"/>
  <c r="C52" i="35"/>
  <c r="C53" i="35"/>
  <c r="C54" i="35"/>
  <c r="C55" i="35"/>
  <c r="C56" i="35"/>
  <c r="C57" i="35"/>
  <c r="C58" i="35"/>
  <c r="C59" i="35"/>
  <c r="B187" i="35"/>
  <c r="B186" i="35"/>
  <c r="B185" i="35"/>
  <c r="B184" i="35"/>
  <c r="B183" i="35"/>
  <c r="B182" i="35"/>
  <c r="B181" i="35"/>
  <c r="B180" i="35"/>
  <c r="B179" i="35"/>
  <c r="B178" i="35"/>
  <c r="B177" i="35"/>
  <c r="B176" i="35"/>
  <c r="B175" i="35"/>
  <c r="B174" i="35"/>
  <c r="B173" i="35"/>
  <c r="B172" i="35"/>
  <c r="B171" i="35"/>
  <c r="B170" i="35"/>
  <c r="B169" i="35"/>
  <c r="B168" i="35"/>
  <c r="B167" i="35"/>
  <c r="B166" i="35"/>
  <c r="B165" i="35"/>
  <c r="B158" i="35"/>
  <c r="B157" i="35"/>
  <c r="B156" i="35"/>
  <c r="B155" i="35"/>
  <c r="B154" i="35"/>
  <c r="B153" i="35"/>
  <c r="B152" i="35"/>
  <c r="B151" i="35"/>
  <c r="B150" i="35"/>
  <c r="B149" i="35"/>
  <c r="B148" i="35"/>
  <c r="B147" i="35"/>
  <c r="B146" i="35"/>
  <c r="B145" i="35"/>
  <c r="B144" i="35"/>
  <c r="B143" i="35"/>
  <c r="B142" i="35"/>
  <c r="B141" i="35"/>
  <c r="B140" i="35"/>
  <c r="B139" i="35"/>
  <c r="B138" i="35"/>
  <c r="B137" i="35"/>
  <c r="B136" i="35"/>
  <c r="B117" i="35"/>
  <c r="B116" i="35"/>
  <c r="B115" i="35"/>
  <c r="B114" i="35"/>
  <c r="B113" i="35"/>
  <c r="B112" i="35"/>
  <c r="B111" i="35"/>
  <c r="B110" i="35"/>
  <c r="B109" i="35"/>
  <c r="B108" i="35"/>
  <c r="B107" i="35"/>
  <c r="B106" i="35"/>
  <c r="B105" i="35"/>
  <c r="B104" i="35"/>
  <c r="B103" i="35"/>
  <c r="B102" i="35"/>
  <c r="B101" i="35"/>
  <c r="B100" i="35"/>
  <c r="B99" i="35"/>
  <c r="B98" i="35"/>
  <c r="B97" i="35"/>
  <c r="B96" i="35"/>
  <c r="B95" i="35"/>
  <c r="B88" i="35"/>
  <c r="B87" i="35"/>
  <c r="B86" i="35"/>
  <c r="B85" i="35"/>
  <c r="B84" i="35"/>
  <c r="B83" i="35"/>
  <c r="B82" i="35"/>
  <c r="B81" i="35"/>
  <c r="B80" i="35"/>
  <c r="B79" i="35"/>
  <c r="B78" i="35"/>
  <c r="B77" i="35"/>
  <c r="B76" i="35"/>
  <c r="B75" i="35"/>
  <c r="B74" i="35"/>
  <c r="B66" i="35"/>
  <c r="C66" i="35"/>
  <c r="C67" i="35" s="1"/>
  <c r="C68" i="35" s="1"/>
  <c r="C69" i="35" s="1"/>
  <c r="C70" i="35" s="1"/>
  <c r="C71" i="35" s="1"/>
  <c r="C72" i="35" s="1"/>
  <c r="C73" i="35" s="1"/>
  <c r="C74" i="35" s="1"/>
  <c r="C75" i="35" s="1"/>
  <c r="C76" i="35" s="1"/>
  <c r="C77" i="35" s="1"/>
  <c r="C78" i="35" s="1"/>
  <c r="C79" i="35" s="1"/>
  <c r="C80" i="35" s="1"/>
  <c r="C81" i="35" s="1"/>
  <c r="C82" i="35" s="1"/>
  <c r="C83" i="35" s="1"/>
  <c r="C84" i="35" s="1"/>
  <c r="C85" i="35" s="1"/>
  <c r="C86" i="35" s="1"/>
  <c r="C87" i="35" s="1"/>
  <c r="C88" i="35" s="1"/>
  <c r="B59" i="35"/>
  <c r="B58" i="35"/>
  <c r="B57" i="35"/>
  <c r="B56" i="35"/>
  <c r="B55" i="35"/>
  <c r="B54" i="35"/>
  <c r="B53" i="35"/>
  <c r="B52" i="35"/>
  <c r="B51" i="35"/>
  <c r="B50" i="35"/>
  <c r="B49" i="35"/>
  <c r="B48" i="35"/>
  <c r="B47" i="35"/>
  <c r="B46" i="35"/>
  <c r="B45" i="35"/>
  <c r="B44" i="35"/>
  <c r="B43" i="35"/>
  <c r="B42" i="35"/>
  <c r="B41" i="35"/>
  <c r="B37" i="35"/>
  <c r="C32" i="35"/>
  <c r="C33" i="35" s="1"/>
  <c r="C37" i="35" s="1"/>
  <c r="C3" i="35"/>
  <c r="C24" i="35"/>
  <c r="C25" i="35"/>
  <c r="C26" i="35"/>
  <c r="C27" i="35"/>
  <c r="C28" i="35"/>
  <c r="C29" i="35"/>
  <c r="C30" i="35"/>
  <c r="B9" i="35"/>
  <c r="B17" i="35"/>
  <c r="B18" i="35"/>
  <c r="B19" i="35"/>
  <c r="B20" i="35"/>
  <c r="B21" i="35"/>
  <c r="B22" i="35"/>
  <c r="B23" i="35"/>
  <c r="B24" i="35"/>
  <c r="B25" i="35"/>
  <c r="B26" i="35"/>
  <c r="B27" i="35"/>
  <c r="B28" i="35"/>
  <c r="B29" i="35"/>
  <c r="B30" i="35"/>
  <c r="B8" i="35"/>
  <c r="K496" i="34"/>
  <c r="E44" i="32"/>
  <c r="C38" i="35" l="1"/>
  <c r="C39" i="35" s="1"/>
  <c r="C40" i="35" s="1"/>
  <c r="C41" i="35" s="1"/>
  <c r="G45" i="35"/>
  <c r="G46" i="35" s="1"/>
  <c r="C121" i="35"/>
  <c r="C122" i="35" s="1"/>
  <c r="C123" i="35" s="1"/>
  <c r="C124" i="35" s="1"/>
  <c r="C125" i="35" s="1"/>
  <c r="C126" i="35" s="1"/>
  <c r="C127" i="35" s="1"/>
  <c r="C128" i="35" s="1"/>
  <c r="C129" i="35" s="1"/>
  <c r="C4" i="35"/>
  <c r="G44" i="32"/>
  <c r="E436" i="33" s="1"/>
  <c r="F436" i="33" s="1"/>
  <c r="K21" i="34"/>
  <c r="K20" i="34"/>
  <c r="K81" i="34"/>
  <c r="C8" i="35" l="1"/>
  <c r="K22" i="34"/>
  <c r="K518" i="34"/>
  <c r="H583" i="33"/>
  <c r="L583" i="33"/>
  <c r="M583" i="33"/>
  <c r="P583" i="33"/>
  <c r="Q583" i="33"/>
  <c r="T583" i="33"/>
  <c r="U583" i="33"/>
  <c r="K19" i="34"/>
  <c r="K5" i="34"/>
  <c r="K6" i="34"/>
  <c r="K7" i="34"/>
  <c r="K8" i="34"/>
  <c r="K9" i="34"/>
  <c r="K10" i="34"/>
  <c r="K12" i="34"/>
  <c r="K13" i="34"/>
  <c r="K14" i="34"/>
  <c r="K15" i="34"/>
  <c r="K16" i="34"/>
  <c r="K17" i="34"/>
  <c r="K18" i="34"/>
  <c r="K23" i="34"/>
  <c r="K24" i="34"/>
  <c r="K25" i="34"/>
  <c r="K26" i="34"/>
  <c r="K27" i="34"/>
  <c r="K28" i="34"/>
  <c r="K29" i="34"/>
  <c r="K30" i="34"/>
  <c r="K31" i="34"/>
  <c r="K32" i="34"/>
  <c r="K33" i="34"/>
  <c r="K34" i="34"/>
  <c r="K35" i="34"/>
  <c r="K36" i="34"/>
  <c r="K37" i="34"/>
  <c r="K38" i="34"/>
  <c r="K39" i="34"/>
  <c r="K40" i="34"/>
  <c r="K41" i="34"/>
  <c r="K42" i="34"/>
  <c r="K43" i="34"/>
  <c r="K44" i="34"/>
  <c r="K45" i="34"/>
  <c r="K46" i="34"/>
  <c r="K47" i="34"/>
  <c r="K48" i="34"/>
  <c r="K49" i="34"/>
  <c r="K50" i="34"/>
  <c r="K51" i="34"/>
  <c r="K52" i="34"/>
  <c r="K53" i="34"/>
  <c r="K54" i="34"/>
  <c r="K55" i="34"/>
  <c r="K56" i="34"/>
  <c r="K57" i="34"/>
  <c r="K58" i="34"/>
  <c r="K59" i="34"/>
  <c r="K60" i="34"/>
  <c r="K61" i="34"/>
  <c r="K62" i="34"/>
  <c r="K63" i="34"/>
  <c r="K64" i="34"/>
  <c r="K65" i="34"/>
  <c r="K66" i="34"/>
  <c r="K67" i="34"/>
  <c r="K68" i="34"/>
  <c r="K69" i="34"/>
  <c r="K70" i="34"/>
  <c r="K71" i="34"/>
  <c r="K72" i="34"/>
  <c r="K73" i="34"/>
  <c r="K74" i="34"/>
  <c r="K75" i="34"/>
  <c r="K76" i="34"/>
  <c r="K77" i="34"/>
  <c r="K78" i="34"/>
  <c r="K79" i="34"/>
  <c r="K80" i="34"/>
  <c r="K82" i="34"/>
  <c r="K83" i="34"/>
  <c r="K84" i="34"/>
  <c r="K85" i="34"/>
  <c r="K86" i="34"/>
  <c r="K87" i="34"/>
  <c r="K88" i="34"/>
  <c r="K89" i="34"/>
  <c r="K90" i="34"/>
  <c r="K91" i="34"/>
  <c r="K92" i="34"/>
  <c r="K93" i="34"/>
  <c r="K94" i="34"/>
  <c r="K95" i="34"/>
  <c r="K96" i="34"/>
  <c r="K97" i="34"/>
  <c r="K98" i="34"/>
  <c r="K99" i="34"/>
  <c r="K100" i="34"/>
  <c r="K101" i="34"/>
  <c r="K102" i="34"/>
  <c r="K103" i="34"/>
  <c r="K104" i="34"/>
  <c r="K105" i="34"/>
  <c r="K106" i="34"/>
  <c r="K107" i="34"/>
  <c r="K108" i="34"/>
  <c r="K109" i="34"/>
  <c r="K110" i="34"/>
  <c r="K111" i="34"/>
  <c r="K112" i="34"/>
  <c r="K113" i="34"/>
  <c r="K114" i="34"/>
  <c r="K115" i="34"/>
  <c r="K116" i="34"/>
  <c r="K118" i="34"/>
  <c r="K119" i="34"/>
  <c r="K120" i="34"/>
  <c r="K121" i="34"/>
  <c r="K122" i="34"/>
  <c r="K123" i="34"/>
  <c r="K124" i="34"/>
  <c r="K125" i="34"/>
  <c r="K126" i="34"/>
  <c r="K127" i="34"/>
  <c r="K128" i="34"/>
  <c r="K129" i="34"/>
  <c r="K130" i="34"/>
  <c r="K131" i="34"/>
  <c r="K132" i="34"/>
  <c r="K133" i="34"/>
  <c r="K134" i="34"/>
  <c r="K135" i="34"/>
  <c r="K136" i="34"/>
  <c r="K137" i="34"/>
  <c r="K138" i="34"/>
  <c r="K139" i="34"/>
  <c r="K140" i="34"/>
  <c r="K141" i="34"/>
  <c r="K142" i="34"/>
  <c r="K143" i="34"/>
  <c r="K144" i="34"/>
  <c r="K145" i="34"/>
  <c r="K146" i="34"/>
  <c r="K147" i="34"/>
  <c r="K148" i="34"/>
  <c r="K149" i="34"/>
  <c r="K150" i="34"/>
  <c r="K151" i="34"/>
  <c r="K152" i="34"/>
  <c r="K153" i="34"/>
  <c r="K154" i="34"/>
  <c r="K155" i="34"/>
  <c r="K156" i="34"/>
  <c r="K157" i="34"/>
  <c r="K158" i="34"/>
  <c r="K159" i="34"/>
  <c r="K160" i="34"/>
  <c r="K161" i="34"/>
  <c r="K162" i="34"/>
  <c r="K163" i="34"/>
  <c r="K164" i="34"/>
  <c r="K165" i="34"/>
  <c r="K166" i="34"/>
  <c r="K167" i="34"/>
  <c r="K168" i="34"/>
  <c r="K169" i="34"/>
  <c r="K170" i="34"/>
  <c r="K171" i="34"/>
  <c r="K172" i="34"/>
  <c r="K173" i="34"/>
  <c r="K174" i="34"/>
  <c r="K175" i="34"/>
  <c r="K176" i="34"/>
  <c r="K177" i="34"/>
  <c r="K178" i="34"/>
  <c r="K179" i="34"/>
  <c r="K180" i="34"/>
  <c r="K181" i="34"/>
  <c r="K182" i="34"/>
  <c r="K183" i="34"/>
  <c r="K184" i="34"/>
  <c r="K185" i="34"/>
  <c r="K186" i="34"/>
  <c r="K187" i="34"/>
  <c r="K188" i="34"/>
  <c r="K189" i="34"/>
  <c r="K190" i="34"/>
  <c r="K191" i="34"/>
  <c r="K192" i="34"/>
  <c r="K193" i="34"/>
  <c r="K194" i="34"/>
  <c r="K195" i="34"/>
  <c r="K196" i="34"/>
  <c r="K197" i="34"/>
  <c r="K198" i="34"/>
  <c r="K199" i="34"/>
  <c r="K200" i="34"/>
  <c r="K201" i="34"/>
  <c r="K202" i="34"/>
  <c r="K203" i="34"/>
  <c r="K204" i="34"/>
  <c r="K205" i="34"/>
  <c r="K206" i="34"/>
  <c r="K207" i="34"/>
  <c r="K208" i="34"/>
  <c r="K209" i="34"/>
  <c r="K210" i="34"/>
  <c r="K211" i="34"/>
  <c r="K212" i="34"/>
  <c r="K213" i="34"/>
  <c r="K214" i="34"/>
  <c r="K215" i="34"/>
  <c r="K216" i="34"/>
  <c r="K217" i="34"/>
  <c r="K218" i="34"/>
  <c r="K219" i="34"/>
  <c r="K220" i="34"/>
  <c r="K221" i="34"/>
  <c r="K222" i="34"/>
  <c r="K223" i="34"/>
  <c r="K224" i="34"/>
  <c r="K225" i="34"/>
  <c r="K226" i="34"/>
  <c r="K227" i="34"/>
  <c r="K228" i="34"/>
  <c r="K229" i="34"/>
  <c r="K230" i="34"/>
  <c r="K231" i="34"/>
  <c r="K232" i="34"/>
  <c r="K233" i="34"/>
  <c r="K234" i="34"/>
  <c r="K235" i="34"/>
  <c r="K236" i="34"/>
  <c r="K237" i="34"/>
  <c r="K238" i="34"/>
  <c r="K239" i="34"/>
  <c r="K240" i="34"/>
  <c r="K241" i="34"/>
  <c r="K242" i="34"/>
  <c r="K243" i="34"/>
  <c r="K244" i="34"/>
  <c r="K245" i="34"/>
  <c r="K246" i="34"/>
  <c r="K247" i="34"/>
  <c r="K248" i="34"/>
  <c r="K249" i="34"/>
  <c r="K250" i="34"/>
  <c r="K251" i="34"/>
  <c r="K252" i="34"/>
  <c r="K253" i="34"/>
  <c r="K254" i="34"/>
  <c r="K255" i="34"/>
  <c r="K256" i="34"/>
  <c r="K257" i="34"/>
  <c r="K258" i="34"/>
  <c r="K259" i="34"/>
  <c r="K260" i="34"/>
  <c r="K261" i="34"/>
  <c r="K262" i="34"/>
  <c r="K263" i="34"/>
  <c r="K296" i="34"/>
  <c r="K297" i="34"/>
  <c r="K298" i="34"/>
  <c r="K299" i="34"/>
  <c r="K300" i="34"/>
  <c r="K301" i="34"/>
  <c r="K302" i="34"/>
  <c r="K303" i="34"/>
  <c r="K304" i="34"/>
  <c r="K305" i="34"/>
  <c r="K306" i="34"/>
  <c r="K307" i="34"/>
  <c r="K308" i="34"/>
  <c r="K309" i="34"/>
  <c r="K310" i="34"/>
  <c r="K311" i="34"/>
  <c r="K312" i="34"/>
  <c r="K313" i="34"/>
  <c r="K314" i="34"/>
  <c r="K315" i="34"/>
  <c r="K316" i="34"/>
  <c r="K317" i="34"/>
  <c r="K318" i="34"/>
  <c r="K319" i="34"/>
  <c r="K320" i="34"/>
  <c r="K321" i="34"/>
  <c r="K322" i="34"/>
  <c r="K323" i="34"/>
  <c r="K324" i="34"/>
  <c r="K325" i="34"/>
  <c r="K326" i="34"/>
  <c r="K327" i="34"/>
  <c r="K328" i="34"/>
  <c r="K329" i="34"/>
  <c r="K330" i="34"/>
  <c r="K331" i="34"/>
  <c r="K332" i="34"/>
  <c r="K333" i="34"/>
  <c r="K334" i="34"/>
  <c r="K335" i="34"/>
  <c r="K336" i="34"/>
  <c r="K337" i="34"/>
  <c r="K338" i="34"/>
  <c r="K339" i="34"/>
  <c r="K340" i="34"/>
  <c r="K342" i="34"/>
  <c r="K343" i="34"/>
  <c r="K344" i="34"/>
  <c r="K345" i="34"/>
  <c r="K346" i="34"/>
  <c r="K347" i="34"/>
  <c r="K348" i="34"/>
  <c r="K349" i="34"/>
  <c r="K350" i="34"/>
  <c r="K351" i="34"/>
  <c r="K352" i="34"/>
  <c r="K353" i="34"/>
  <c r="K354" i="34"/>
  <c r="K355" i="34"/>
  <c r="K356" i="34"/>
  <c r="K357" i="34"/>
  <c r="K358" i="34"/>
  <c r="K359" i="34"/>
  <c r="K360" i="34"/>
  <c r="K361" i="34"/>
  <c r="K362" i="34"/>
  <c r="K367" i="34"/>
  <c r="K368" i="34"/>
  <c r="K369" i="34"/>
  <c r="K385" i="34"/>
  <c r="K386" i="34"/>
  <c r="K387" i="34"/>
  <c r="K388" i="34"/>
  <c r="K389" i="34"/>
  <c r="K390" i="34"/>
  <c r="K391" i="34"/>
  <c r="K392" i="34"/>
  <c r="K393" i="34"/>
  <c r="K394" i="34"/>
  <c r="K395" i="34"/>
  <c r="K396" i="34"/>
  <c r="K397" i="34"/>
  <c r="K398" i="34"/>
  <c r="K399" i="34"/>
  <c r="K400" i="34"/>
  <c r="K401" i="34"/>
  <c r="K402" i="34"/>
  <c r="K403" i="34"/>
  <c r="K404" i="34"/>
  <c r="K405" i="34"/>
  <c r="K406" i="34"/>
  <c r="K407" i="34"/>
  <c r="K408" i="34"/>
  <c r="K409" i="34"/>
  <c r="K410" i="34"/>
  <c r="K411" i="34"/>
  <c r="K412" i="34"/>
  <c r="K413" i="34"/>
  <c r="K414" i="34"/>
  <c r="K415" i="34"/>
  <c r="K416" i="34"/>
  <c r="K417" i="34"/>
  <c r="K418" i="34"/>
  <c r="K419" i="34"/>
  <c r="K420" i="34"/>
  <c r="K421" i="34"/>
  <c r="K422" i="34"/>
  <c r="K423" i="34"/>
  <c r="K424" i="34"/>
  <c r="K425" i="34"/>
  <c r="K426" i="34"/>
  <c r="K427" i="34"/>
  <c r="K428" i="34"/>
  <c r="K429" i="34"/>
  <c r="K430" i="34"/>
  <c r="K431" i="34"/>
  <c r="K432" i="34"/>
  <c r="K433" i="34"/>
  <c r="K434" i="34"/>
  <c r="K435" i="34"/>
  <c r="K436" i="34"/>
  <c r="K437" i="34"/>
  <c r="K438" i="34"/>
  <c r="K439" i="34"/>
  <c r="K440" i="34"/>
  <c r="K441" i="34"/>
  <c r="K442" i="34"/>
  <c r="K443" i="34"/>
  <c r="K444" i="34"/>
  <c r="K445" i="34"/>
  <c r="K446" i="34"/>
  <c r="K447" i="34"/>
  <c r="K448" i="34"/>
  <c r="K449" i="34"/>
  <c r="K450" i="34"/>
  <c r="K451" i="34"/>
  <c r="K452" i="34"/>
  <c r="K453" i="34"/>
  <c r="K454" i="34"/>
  <c r="K455" i="34"/>
  <c r="K456" i="34"/>
  <c r="K457" i="34"/>
  <c r="K458" i="34"/>
  <c r="K459" i="34"/>
  <c r="K460" i="34"/>
  <c r="K461" i="34"/>
  <c r="K462" i="34"/>
  <c r="K463" i="34"/>
  <c r="K464" i="34"/>
  <c r="K465" i="34"/>
  <c r="K466" i="34"/>
  <c r="K467" i="34"/>
  <c r="K468" i="34"/>
  <c r="K469" i="34"/>
  <c r="K470" i="34"/>
  <c r="K471" i="34"/>
  <c r="K472" i="34"/>
  <c r="K473" i="34"/>
  <c r="K474" i="34"/>
  <c r="K475" i="34"/>
  <c r="K476" i="34"/>
  <c r="K477" i="34"/>
  <c r="K478" i="34"/>
  <c r="K479" i="34"/>
  <c r="K480" i="34"/>
  <c r="K481" i="34"/>
  <c r="K482" i="34"/>
  <c r="K483" i="34"/>
  <c r="K484" i="34"/>
  <c r="K485" i="34"/>
  <c r="K486" i="34"/>
  <c r="K487" i="34"/>
  <c r="K488" i="34"/>
  <c r="K489" i="34"/>
  <c r="K490" i="34"/>
  <c r="K492" i="34"/>
  <c r="K493" i="34"/>
  <c r="K494" i="34"/>
  <c r="K495" i="34"/>
  <c r="K497" i="34"/>
  <c r="K498" i="34"/>
  <c r="K499" i="34"/>
  <c r="K500" i="34"/>
  <c r="K501" i="34"/>
  <c r="K502" i="34"/>
  <c r="K503" i="34"/>
  <c r="K504" i="34"/>
  <c r="K505" i="34"/>
  <c r="K506" i="34"/>
  <c r="K507" i="34"/>
  <c r="K508" i="34"/>
  <c r="K509" i="34"/>
  <c r="K510" i="34"/>
  <c r="K511" i="34"/>
  <c r="K512" i="34"/>
  <c r="K513" i="34"/>
  <c r="K514" i="34"/>
  <c r="K515" i="34"/>
  <c r="K516" i="34"/>
  <c r="K517" i="34"/>
  <c r="K520" i="34"/>
  <c r="K521" i="34"/>
  <c r="K4" i="34"/>
  <c r="I18" i="32"/>
  <c r="I19" i="32"/>
  <c r="I20" i="32"/>
  <c r="I17" i="32"/>
  <c r="C9" i="35" l="1"/>
  <c r="C10" i="35" s="1"/>
  <c r="C11" i="35" s="1"/>
  <c r="C12" i="35" s="1"/>
  <c r="C13" i="35" s="1"/>
  <c r="C14" i="35" s="1"/>
  <c r="C15" i="35" s="1"/>
  <c r="C16" i="35" s="1"/>
  <c r="C17" i="35" s="1"/>
  <c r="C18" i="35" s="1"/>
  <c r="C19" i="35" s="1"/>
  <c r="C20" i="35" s="1"/>
  <c r="C21" i="35" s="1"/>
  <c r="C22" i="35" s="1"/>
  <c r="C23" i="35" s="1"/>
  <c r="U587" i="33" l="1"/>
  <c r="T587" i="33"/>
  <c r="Q587" i="33"/>
  <c r="P587" i="33"/>
  <c r="L587" i="33"/>
  <c r="H587" i="33"/>
  <c r="U586" i="33"/>
  <c r="T586" i="33"/>
  <c r="Q586" i="33"/>
  <c r="P586" i="33"/>
  <c r="L586" i="33"/>
  <c r="H586" i="33"/>
  <c r="U380" i="33"/>
  <c r="T380" i="33"/>
  <c r="Q380" i="33"/>
  <c r="P380" i="33"/>
  <c r="L380" i="33"/>
  <c r="H380" i="33"/>
  <c r="U581" i="33" l="1"/>
  <c r="T581" i="33"/>
  <c r="Q581" i="33"/>
  <c r="P581" i="33"/>
  <c r="M581" i="33"/>
  <c r="L581" i="33"/>
  <c r="H581" i="33"/>
  <c r="U580" i="33"/>
  <c r="T580" i="33"/>
  <c r="Q580" i="33"/>
  <c r="P580" i="33"/>
  <c r="M580" i="33"/>
  <c r="L580" i="33"/>
  <c r="H580" i="33"/>
  <c r="U579" i="33"/>
  <c r="T579" i="33"/>
  <c r="Q579" i="33"/>
  <c r="P579" i="33"/>
  <c r="M579" i="33"/>
  <c r="L579" i="33"/>
  <c r="H579" i="33"/>
  <c r="U578" i="33"/>
  <c r="T578" i="33"/>
  <c r="Q578" i="33"/>
  <c r="P578" i="33"/>
  <c r="M578" i="33"/>
  <c r="L578" i="33"/>
  <c r="H578" i="33"/>
  <c r="U577" i="33"/>
  <c r="T577" i="33"/>
  <c r="Q577" i="33"/>
  <c r="P577" i="33"/>
  <c r="M577" i="33"/>
  <c r="L577" i="33"/>
  <c r="H577" i="33"/>
  <c r="U576" i="33"/>
  <c r="T576" i="33"/>
  <c r="Q576" i="33"/>
  <c r="P576" i="33"/>
  <c r="L576" i="33"/>
  <c r="H576" i="33"/>
  <c r="U575" i="33"/>
  <c r="T575" i="33"/>
  <c r="Q575" i="33"/>
  <c r="P575" i="33"/>
  <c r="L575" i="33"/>
  <c r="H575" i="33"/>
  <c r="U574" i="33"/>
  <c r="T574" i="33"/>
  <c r="Q574" i="33"/>
  <c r="P574" i="33"/>
  <c r="L574" i="33"/>
  <c r="H574" i="33"/>
  <c r="U573" i="33"/>
  <c r="T573" i="33"/>
  <c r="Q573" i="33"/>
  <c r="P573" i="33"/>
  <c r="L573" i="33"/>
  <c r="H573" i="33"/>
  <c r="U572" i="33"/>
  <c r="T572" i="33"/>
  <c r="Q572" i="33"/>
  <c r="P572" i="33"/>
  <c r="L572" i="33"/>
  <c r="H572" i="33"/>
  <c r="U571" i="33"/>
  <c r="T571" i="33"/>
  <c r="Q571" i="33"/>
  <c r="P571" i="33"/>
  <c r="L571" i="33"/>
  <c r="H571" i="33"/>
  <c r="U570" i="33"/>
  <c r="T570" i="33"/>
  <c r="Q570" i="33"/>
  <c r="P570" i="33"/>
  <c r="L570" i="33"/>
  <c r="H570" i="33"/>
  <c r="U569" i="33"/>
  <c r="T569" i="33"/>
  <c r="Q569" i="33"/>
  <c r="P569" i="33"/>
  <c r="L569" i="33"/>
  <c r="H569" i="33"/>
  <c r="U568" i="33"/>
  <c r="T568" i="33"/>
  <c r="Q568" i="33"/>
  <c r="P568" i="33"/>
  <c r="L568" i="33"/>
  <c r="H568" i="33"/>
  <c r="U567" i="33"/>
  <c r="T567" i="33"/>
  <c r="Q567" i="33"/>
  <c r="P567" i="33"/>
  <c r="L567" i="33"/>
  <c r="H567" i="33"/>
  <c r="U566" i="33"/>
  <c r="T566" i="33"/>
  <c r="Q566" i="33"/>
  <c r="P566" i="33"/>
  <c r="L566" i="33"/>
  <c r="H566" i="33"/>
  <c r="U565" i="33"/>
  <c r="T565" i="33"/>
  <c r="Q565" i="33"/>
  <c r="P565" i="33"/>
  <c r="L565" i="33"/>
  <c r="H565" i="33"/>
  <c r="U564" i="33"/>
  <c r="T564" i="33"/>
  <c r="Q564" i="33"/>
  <c r="P564" i="33"/>
  <c r="L564" i="33"/>
  <c r="H564" i="33"/>
  <c r="U563" i="33"/>
  <c r="T563" i="33"/>
  <c r="Q563" i="33"/>
  <c r="P563" i="33"/>
  <c r="L563" i="33"/>
  <c r="H563" i="33"/>
  <c r="U562" i="33"/>
  <c r="T562" i="33"/>
  <c r="Q562" i="33"/>
  <c r="P562" i="33"/>
  <c r="L562" i="33"/>
  <c r="H562" i="33"/>
  <c r="U561" i="33"/>
  <c r="T561" i="33"/>
  <c r="Q561" i="33"/>
  <c r="P561" i="33"/>
  <c r="L561" i="33"/>
  <c r="H561" i="33"/>
  <c r="U560" i="33"/>
  <c r="T560" i="33"/>
  <c r="Q560" i="33"/>
  <c r="P560" i="33"/>
  <c r="M560" i="33"/>
  <c r="L560" i="33"/>
  <c r="H560" i="33"/>
  <c r="U558" i="33"/>
  <c r="T558" i="33"/>
  <c r="Q558" i="33"/>
  <c r="P558" i="33"/>
  <c r="M558" i="33"/>
  <c r="L558" i="33"/>
  <c r="I558" i="33"/>
  <c r="H558" i="33"/>
  <c r="U557" i="33"/>
  <c r="T557" i="33"/>
  <c r="Q557" i="33"/>
  <c r="P557" i="33"/>
  <c r="M557" i="33"/>
  <c r="L557" i="33"/>
  <c r="I557" i="33"/>
  <c r="H557" i="33"/>
  <c r="U556" i="33"/>
  <c r="T556" i="33"/>
  <c r="Q556" i="33"/>
  <c r="P556" i="33"/>
  <c r="L556" i="33"/>
  <c r="H556" i="33"/>
  <c r="U555" i="33"/>
  <c r="T555" i="33"/>
  <c r="Q555" i="33"/>
  <c r="P555" i="33"/>
  <c r="M555" i="33"/>
  <c r="L555" i="33"/>
  <c r="I555" i="33"/>
  <c r="H555" i="33"/>
  <c r="U554" i="33"/>
  <c r="T554" i="33"/>
  <c r="Q554" i="33"/>
  <c r="P554" i="33"/>
  <c r="M554" i="33"/>
  <c r="L554" i="33"/>
  <c r="I554" i="33"/>
  <c r="H554" i="33"/>
  <c r="U553" i="33"/>
  <c r="T553" i="33"/>
  <c r="Q553" i="33"/>
  <c r="P553" i="33"/>
  <c r="M553" i="33"/>
  <c r="L553" i="33"/>
  <c r="I553" i="33"/>
  <c r="H553" i="33"/>
  <c r="U552" i="33"/>
  <c r="T552" i="33"/>
  <c r="Q552" i="33"/>
  <c r="P552" i="33"/>
  <c r="L552" i="33"/>
  <c r="H552" i="33"/>
  <c r="T549" i="33"/>
  <c r="P549" i="33"/>
  <c r="L549" i="33"/>
  <c r="H549" i="33"/>
  <c r="U548" i="33"/>
  <c r="T548" i="33"/>
  <c r="Q548" i="33"/>
  <c r="P548" i="33"/>
  <c r="M548" i="33"/>
  <c r="L548" i="33"/>
  <c r="H548" i="33"/>
  <c r="U544" i="33"/>
  <c r="T544" i="33"/>
  <c r="Q544" i="33"/>
  <c r="P544" i="33"/>
  <c r="L544" i="33"/>
  <c r="H544" i="33"/>
  <c r="U543" i="33"/>
  <c r="T543" i="33"/>
  <c r="Q543" i="33"/>
  <c r="P543" i="33"/>
  <c r="L543" i="33"/>
  <c r="H543" i="33"/>
  <c r="U541" i="33"/>
  <c r="T541" i="33"/>
  <c r="Q541" i="33"/>
  <c r="P541" i="33"/>
  <c r="M541" i="33"/>
  <c r="L541" i="33"/>
  <c r="H541" i="33"/>
  <c r="U540" i="33"/>
  <c r="T540" i="33"/>
  <c r="P540" i="33"/>
  <c r="L540" i="33"/>
  <c r="H540" i="33"/>
  <c r="U539" i="33"/>
  <c r="T539" i="33"/>
  <c r="Q539" i="33"/>
  <c r="P539" i="33"/>
  <c r="M539" i="33"/>
  <c r="L539" i="33"/>
  <c r="I539" i="33"/>
  <c r="H539" i="33"/>
  <c r="U538" i="33"/>
  <c r="T538" i="33"/>
  <c r="Q538" i="33"/>
  <c r="P538" i="33"/>
  <c r="M538" i="33"/>
  <c r="L538" i="33"/>
  <c r="I538" i="33"/>
  <c r="H538" i="33"/>
  <c r="U537" i="33"/>
  <c r="T537" i="33"/>
  <c r="P537" i="33"/>
  <c r="L537" i="33"/>
  <c r="H537" i="33"/>
  <c r="U536" i="33"/>
  <c r="T536" i="33"/>
  <c r="P536" i="33"/>
  <c r="L536" i="33"/>
  <c r="H536" i="33"/>
  <c r="U535" i="33"/>
  <c r="T535" i="33"/>
  <c r="Q535" i="33"/>
  <c r="P535" i="33"/>
  <c r="M535" i="33"/>
  <c r="L535" i="33"/>
  <c r="I535" i="33"/>
  <c r="H535" i="33"/>
  <c r="U534" i="33"/>
  <c r="T534" i="33"/>
  <c r="Q534" i="33"/>
  <c r="P534" i="33"/>
  <c r="L534" i="33"/>
  <c r="H534" i="33"/>
  <c r="U533" i="33"/>
  <c r="T533" i="33"/>
  <c r="Q533" i="33"/>
  <c r="P533" i="33"/>
  <c r="L533" i="33"/>
  <c r="H533" i="33"/>
  <c r="U532" i="33"/>
  <c r="T532" i="33"/>
  <c r="Q532" i="33"/>
  <c r="P532" i="33"/>
  <c r="L532" i="33"/>
  <c r="H532" i="33"/>
  <c r="U531" i="33"/>
  <c r="T531" i="33"/>
  <c r="Q531" i="33"/>
  <c r="P531" i="33"/>
  <c r="M531" i="33"/>
  <c r="L531" i="33"/>
  <c r="I531" i="33"/>
  <c r="H531" i="33"/>
  <c r="U530" i="33"/>
  <c r="T530" i="33"/>
  <c r="Q530" i="33"/>
  <c r="P530" i="33"/>
  <c r="M530" i="33"/>
  <c r="L530" i="33"/>
  <c r="H530" i="33"/>
  <c r="U527" i="33"/>
  <c r="T527" i="33"/>
  <c r="Q527" i="33"/>
  <c r="P527" i="33"/>
  <c r="M527" i="33"/>
  <c r="L527" i="33"/>
  <c r="H527" i="33"/>
  <c r="U526" i="33"/>
  <c r="T526" i="33"/>
  <c r="Q526" i="33"/>
  <c r="P526" i="33"/>
  <c r="L526" i="33"/>
  <c r="H526" i="33"/>
  <c r="U524" i="33"/>
  <c r="T524" i="33"/>
  <c r="P524" i="33"/>
  <c r="L524" i="33"/>
  <c r="H524" i="33"/>
  <c r="U523" i="33"/>
  <c r="T523" i="33"/>
  <c r="P523" i="33"/>
  <c r="L523" i="33"/>
  <c r="H523" i="33"/>
  <c r="U522" i="33"/>
  <c r="T522" i="33"/>
  <c r="Q522" i="33"/>
  <c r="P522" i="33"/>
  <c r="M522" i="33"/>
  <c r="L522" i="33"/>
  <c r="I522" i="33"/>
  <c r="H522" i="33"/>
  <c r="U521" i="33"/>
  <c r="T521" i="33"/>
  <c r="Q521" i="33"/>
  <c r="P521" i="33"/>
  <c r="L521" i="33"/>
  <c r="H521" i="33"/>
  <c r="U520" i="33"/>
  <c r="T520" i="33"/>
  <c r="Q520" i="33"/>
  <c r="P520" i="33"/>
  <c r="L520" i="33"/>
  <c r="H520" i="33"/>
  <c r="U519" i="33"/>
  <c r="T519" i="33"/>
  <c r="Q519" i="33"/>
  <c r="P519" i="33"/>
  <c r="M519" i="33"/>
  <c r="L519" i="33"/>
  <c r="H519" i="33"/>
  <c r="U518" i="33"/>
  <c r="T518" i="33"/>
  <c r="Q518" i="33"/>
  <c r="P518" i="33"/>
  <c r="L518" i="33"/>
  <c r="H518" i="33"/>
  <c r="U517" i="33"/>
  <c r="T517" i="33"/>
  <c r="Q517" i="33"/>
  <c r="P517" i="33"/>
  <c r="L517" i="33"/>
  <c r="H517" i="33"/>
  <c r="U516" i="33"/>
  <c r="T516" i="33"/>
  <c r="Q516" i="33"/>
  <c r="P516" i="33"/>
  <c r="M516" i="33"/>
  <c r="L516" i="33"/>
  <c r="H516" i="33"/>
  <c r="U515" i="33"/>
  <c r="T515" i="33"/>
  <c r="P515" i="33"/>
  <c r="L515" i="33"/>
  <c r="H515" i="33"/>
  <c r="U514" i="33"/>
  <c r="T514" i="33"/>
  <c r="Q514" i="33"/>
  <c r="P514" i="33"/>
  <c r="M514" i="33"/>
  <c r="L514" i="33"/>
  <c r="I514" i="33"/>
  <c r="H514" i="33"/>
  <c r="U513" i="33"/>
  <c r="T513" i="33"/>
  <c r="Q513" i="33"/>
  <c r="P513" i="33"/>
  <c r="M513" i="33"/>
  <c r="L513" i="33"/>
  <c r="H513" i="33"/>
  <c r="U512" i="33"/>
  <c r="T512" i="33"/>
  <c r="Q512" i="33"/>
  <c r="P512" i="33"/>
  <c r="L512" i="33"/>
  <c r="H512" i="33"/>
  <c r="U511" i="33"/>
  <c r="T511" i="33"/>
  <c r="Q511" i="33"/>
  <c r="P511" i="33"/>
  <c r="L511" i="33"/>
  <c r="H511" i="33"/>
  <c r="U510" i="33"/>
  <c r="T510" i="33"/>
  <c r="Q510" i="33"/>
  <c r="P510" i="33"/>
  <c r="L510" i="33"/>
  <c r="H510" i="33"/>
  <c r="U509" i="33"/>
  <c r="T509" i="33"/>
  <c r="Q509" i="33"/>
  <c r="P509" i="33"/>
  <c r="L509" i="33"/>
  <c r="H509" i="33"/>
  <c r="U508" i="33"/>
  <c r="T508" i="33"/>
  <c r="Q508" i="33"/>
  <c r="P508" i="33"/>
  <c r="L508" i="33"/>
  <c r="H508" i="33"/>
  <c r="U507" i="33"/>
  <c r="T507" i="33"/>
  <c r="Q507" i="33"/>
  <c r="P507" i="33"/>
  <c r="L507" i="33"/>
  <c r="H507" i="33"/>
  <c r="U506" i="33"/>
  <c r="T506" i="33"/>
  <c r="Q506" i="33"/>
  <c r="P506" i="33"/>
  <c r="L506" i="33"/>
  <c r="H506" i="33"/>
  <c r="U505" i="33"/>
  <c r="T505" i="33"/>
  <c r="Q505" i="33"/>
  <c r="P505" i="33"/>
  <c r="L505" i="33"/>
  <c r="H505" i="33"/>
  <c r="U504" i="33"/>
  <c r="T504" i="33"/>
  <c r="Q504" i="33"/>
  <c r="P504" i="33"/>
  <c r="L504" i="33"/>
  <c r="H504" i="33"/>
  <c r="U503" i="33"/>
  <c r="T503" i="33"/>
  <c r="Q503" i="33"/>
  <c r="P503" i="33"/>
  <c r="L503" i="33"/>
  <c r="H503" i="33"/>
  <c r="U502" i="33"/>
  <c r="T502" i="33"/>
  <c r="Q502" i="33"/>
  <c r="P502" i="33"/>
  <c r="L502" i="33"/>
  <c r="H502" i="33"/>
  <c r="U501" i="33"/>
  <c r="T501" i="33"/>
  <c r="Q501" i="33"/>
  <c r="P501" i="33"/>
  <c r="L501" i="33"/>
  <c r="H501" i="33"/>
  <c r="U500" i="33"/>
  <c r="T500" i="33"/>
  <c r="Q500" i="33"/>
  <c r="P500" i="33"/>
  <c r="L500" i="33"/>
  <c r="H500" i="33"/>
  <c r="U499" i="33"/>
  <c r="T499" i="33"/>
  <c r="Q499" i="33"/>
  <c r="P499" i="33"/>
  <c r="L499" i="33"/>
  <c r="H499" i="33"/>
  <c r="U498" i="33"/>
  <c r="T498" i="33"/>
  <c r="Q498" i="33"/>
  <c r="P498" i="33"/>
  <c r="L498" i="33"/>
  <c r="H498" i="33"/>
  <c r="U497" i="33"/>
  <c r="T497" i="33"/>
  <c r="Q497" i="33"/>
  <c r="P497" i="33"/>
  <c r="L497" i="33"/>
  <c r="H497" i="33"/>
  <c r="U496" i="33"/>
  <c r="T496" i="33"/>
  <c r="Q496" i="33"/>
  <c r="P496" i="33"/>
  <c r="L496" i="33"/>
  <c r="H496" i="33"/>
  <c r="U495" i="33"/>
  <c r="T495" i="33"/>
  <c r="Q495" i="33"/>
  <c r="P495" i="33"/>
  <c r="L495" i="33"/>
  <c r="H495" i="33"/>
  <c r="U494" i="33"/>
  <c r="T494" i="33"/>
  <c r="Q494" i="33"/>
  <c r="P494" i="33"/>
  <c r="L494" i="33"/>
  <c r="H494" i="33"/>
  <c r="U493" i="33"/>
  <c r="T493" i="33"/>
  <c r="Q493" i="33"/>
  <c r="P493" i="33"/>
  <c r="L493" i="33"/>
  <c r="H493" i="33"/>
  <c r="U492" i="33"/>
  <c r="T492" i="33"/>
  <c r="Q492" i="33"/>
  <c r="P492" i="33"/>
  <c r="L492" i="33"/>
  <c r="H492" i="33"/>
  <c r="U491" i="33"/>
  <c r="T491" i="33"/>
  <c r="Q491" i="33"/>
  <c r="P491" i="33"/>
  <c r="L491" i="33"/>
  <c r="H491" i="33"/>
  <c r="U490" i="33"/>
  <c r="T490" i="33"/>
  <c r="Q490" i="33"/>
  <c r="P490" i="33"/>
  <c r="L490" i="33"/>
  <c r="H490" i="33"/>
  <c r="U489" i="33"/>
  <c r="T489" i="33"/>
  <c r="Q489" i="33"/>
  <c r="P489" i="33"/>
  <c r="L489" i="33"/>
  <c r="H489" i="33"/>
  <c r="U488" i="33"/>
  <c r="T488" i="33"/>
  <c r="Q488" i="33"/>
  <c r="P488" i="33"/>
  <c r="L488" i="33"/>
  <c r="H488" i="33"/>
  <c r="U487" i="33"/>
  <c r="T487" i="33"/>
  <c r="Q487" i="33"/>
  <c r="P487" i="33"/>
  <c r="L487" i="33"/>
  <c r="H487" i="33"/>
  <c r="U486" i="33"/>
  <c r="T486" i="33"/>
  <c r="Q486" i="33"/>
  <c r="P486" i="33"/>
  <c r="L486" i="33"/>
  <c r="H486" i="33"/>
  <c r="U485" i="33"/>
  <c r="T485" i="33"/>
  <c r="Q485" i="33"/>
  <c r="P485" i="33"/>
  <c r="L485" i="33"/>
  <c r="H485" i="33"/>
  <c r="U484" i="33"/>
  <c r="T484" i="33"/>
  <c r="Q484" i="33"/>
  <c r="P484" i="33"/>
  <c r="L484" i="33"/>
  <c r="H484" i="33"/>
  <c r="U483" i="33"/>
  <c r="T483" i="33"/>
  <c r="Q483" i="33"/>
  <c r="P483" i="33"/>
  <c r="L483" i="33"/>
  <c r="H483" i="33"/>
  <c r="U482" i="33"/>
  <c r="T482" i="33"/>
  <c r="Q482" i="33"/>
  <c r="P482" i="33"/>
  <c r="L482" i="33"/>
  <c r="H482" i="33"/>
  <c r="U481" i="33"/>
  <c r="T481" i="33"/>
  <c r="Q481" i="33"/>
  <c r="P481" i="33"/>
  <c r="L481" i="33"/>
  <c r="H481" i="33"/>
  <c r="U480" i="33"/>
  <c r="T480" i="33"/>
  <c r="Q480" i="33"/>
  <c r="P480" i="33"/>
  <c r="L480" i="33"/>
  <c r="H480" i="33"/>
  <c r="U479" i="33"/>
  <c r="T479" i="33"/>
  <c r="Q479" i="33"/>
  <c r="P479" i="33"/>
  <c r="L479" i="33"/>
  <c r="H479" i="33"/>
  <c r="U478" i="33"/>
  <c r="T478" i="33"/>
  <c r="Q478" i="33"/>
  <c r="P478" i="33"/>
  <c r="L478" i="33"/>
  <c r="H478" i="33"/>
  <c r="U477" i="33"/>
  <c r="T477" i="33"/>
  <c r="Q477" i="33"/>
  <c r="P477" i="33"/>
  <c r="L477" i="33"/>
  <c r="H477" i="33"/>
  <c r="U476" i="33"/>
  <c r="T476" i="33"/>
  <c r="Q476" i="33"/>
  <c r="P476" i="33"/>
  <c r="L476" i="33"/>
  <c r="H476" i="33"/>
  <c r="U475" i="33"/>
  <c r="T475" i="33"/>
  <c r="Q475" i="33"/>
  <c r="P475" i="33"/>
  <c r="L475" i="33"/>
  <c r="H475" i="33"/>
  <c r="U474" i="33"/>
  <c r="T474" i="33"/>
  <c r="Q474" i="33"/>
  <c r="P474" i="33"/>
  <c r="L474" i="33"/>
  <c r="H474" i="33"/>
  <c r="U473" i="33"/>
  <c r="T473" i="33"/>
  <c r="Q473" i="33"/>
  <c r="P473" i="33"/>
  <c r="L473" i="33"/>
  <c r="H473" i="33"/>
  <c r="U472" i="33"/>
  <c r="T472" i="33"/>
  <c r="Q472" i="33"/>
  <c r="P472" i="33"/>
  <c r="L472" i="33"/>
  <c r="H472" i="33"/>
  <c r="U471" i="33"/>
  <c r="T471" i="33"/>
  <c r="Q471" i="33"/>
  <c r="P471" i="33"/>
  <c r="L471" i="33"/>
  <c r="H471" i="33"/>
  <c r="U470" i="33"/>
  <c r="T470" i="33"/>
  <c r="Q470" i="33"/>
  <c r="P470" i="33"/>
  <c r="L470" i="33"/>
  <c r="H470" i="33"/>
  <c r="U469" i="33"/>
  <c r="T469" i="33"/>
  <c r="Q469" i="33"/>
  <c r="P469" i="33"/>
  <c r="L469" i="33"/>
  <c r="H469" i="33"/>
  <c r="U468" i="33"/>
  <c r="T468" i="33"/>
  <c r="Q468" i="33"/>
  <c r="P468" i="33"/>
  <c r="L468" i="33"/>
  <c r="H468" i="33"/>
  <c r="U467" i="33"/>
  <c r="T467" i="33"/>
  <c r="Q467" i="33"/>
  <c r="P467" i="33"/>
  <c r="L467" i="33"/>
  <c r="H467" i="33"/>
  <c r="U466" i="33"/>
  <c r="T466" i="33"/>
  <c r="Q466" i="33"/>
  <c r="P466" i="33"/>
  <c r="L466" i="33"/>
  <c r="H466" i="33"/>
  <c r="U465" i="33"/>
  <c r="T465" i="33"/>
  <c r="Q465" i="33"/>
  <c r="P465" i="33"/>
  <c r="L465" i="33"/>
  <c r="H465" i="33"/>
  <c r="U464" i="33"/>
  <c r="T464" i="33"/>
  <c r="Q464" i="33"/>
  <c r="P464" i="33"/>
  <c r="L464" i="33"/>
  <c r="H464" i="33"/>
  <c r="U463" i="33"/>
  <c r="T463" i="33"/>
  <c r="Q463" i="33"/>
  <c r="P463" i="33"/>
  <c r="L463" i="33"/>
  <c r="H463" i="33"/>
  <c r="U462" i="33"/>
  <c r="T462" i="33"/>
  <c r="Q462" i="33"/>
  <c r="P462" i="33"/>
  <c r="L462" i="33"/>
  <c r="H462" i="33"/>
  <c r="U461" i="33"/>
  <c r="T461" i="33"/>
  <c r="Q461" i="33"/>
  <c r="P461" i="33"/>
  <c r="L461" i="33"/>
  <c r="H461" i="33"/>
  <c r="U460" i="33"/>
  <c r="T460" i="33"/>
  <c r="Q460" i="33"/>
  <c r="P460" i="33"/>
  <c r="L460" i="33"/>
  <c r="H460" i="33"/>
  <c r="U459" i="33"/>
  <c r="T459" i="33"/>
  <c r="Q459" i="33"/>
  <c r="P459" i="33"/>
  <c r="L459" i="33"/>
  <c r="H459" i="33"/>
  <c r="U458" i="33"/>
  <c r="T458" i="33"/>
  <c r="Q458" i="33"/>
  <c r="P458" i="33"/>
  <c r="L458" i="33"/>
  <c r="H458" i="33"/>
  <c r="U457" i="33"/>
  <c r="T457" i="33"/>
  <c r="Q457" i="33"/>
  <c r="P457" i="33"/>
  <c r="L457" i="33"/>
  <c r="H457" i="33"/>
  <c r="U456" i="33"/>
  <c r="T456" i="33"/>
  <c r="Q456" i="33"/>
  <c r="P456" i="33"/>
  <c r="L456" i="33"/>
  <c r="H456" i="33"/>
  <c r="U455" i="33"/>
  <c r="T455" i="33"/>
  <c r="Q455" i="33"/>
  <c r="P455" i="33"/>
  <c r="L455" i="33"/>
  <c r="H455" i="33"/>
  <c r="U454" i="33"/>
  <c r="T454" i="33"/>
  <c r="Q454" i="33"/>
  <c r="P454" i="33"/>
  <c r="L454" i="33"/>
  <c r="H454" i="33"/>
  <c r="U453" i="33"/>
  <c r="T453" i="33"/>
  <c r="Q453" i="33"/>
  <c r="P453" i="33"/>
  <c r="L453" i="33"/>
  <c r="H453" i="33"/>
  <c r="U452" i="33"/>
  <c r="T452" i="33"/>
  <c r="Q452" i="33"/>
  <c r="P452" i="33"/>
  <c r="L452" i="33"/>
  <c r="H452" i="33"/>
  <c r="U451" i="33"/>
  <c r="T451" i="33"/>
  <c r="Q451" i="33"/>
  <c r="P451" i="33"/>
  <c r="L451" i="33"/>
  <c r="H451" i="33"/>
  <c r="U450" i="33"/>
  <c r="T450" i="33"/>
  <c r="Q450" i="33"/>
  <c r="P450" i="33"/>
  <c r="L450" i="33"/>
  <c r="H450" i="33"/>
  <c r="U449" i="33"/>
  <c r="T449" i="33"/>
  <c r="Q449" i="33"/>
  <c r="P449" i="33"/>
  <c r="L449" i="33"/>
  <c r="H449" i="33"/>
  <c r="U448" i="33"/>
  <c r="T448" i="33"/>
  <c r="Q448" i="33"/>
  <c r="P448" i="33"/>
  <c r="L448" i="33"/>
  <c r="H448" i="33"/>
  <c r="U447" i="33"/>
  <c r="T447" i="33"/>
  <c r="Q447" i="33"/>
  <c r="P447" i="33"/>
  <c r="L447" i="33"/>
  <c r="H447" i="33"/>
  <c r="U446" i="33"/>
  <c r="T446" i="33"/>
  <c r="Q446" i="33"/>
  <c r="P446" i="33"/>
  <c r="L446" i="33"/>
  <c r="H446" i="33"/>
  <c r="U445" i="33"/>
  <c r="T445" i="33"/>
  <c r="Q445" i="33"/>
  <c r="P445" i="33"/>
  <c r="L445" i="33"/>
  <c r="H445" i="33"/>
  <c r="U444" i="33"/>
  <c r="T444" i="33"/>
  <c r="Q444" i="33"/>
  <c r="P444" i="33"/>
  <c r="M444" i="33"/>
  <c r="L444" i="33"/>
  <c r="H444" i="33"/>
  <c r="U443" i="33"/>
  <c r="T443" i="33"/>
  <c r="Q443" i="33"/>
  <c r="P443" i="33"/>
  <c r="M443" i="33"/>
  <c r="L443" i="33"/>
  <c r="H443" i="33"/>
  <c r="U442" i="33"/>
  <c r="T442" i="33"/>
  <c r="Q442" i="33"/>
  <c r="P442" i="33"/>
  <c r="M442" i="33"/>
  <c r="L442" i="33"/>
  <c r="H442" i="33"/>
  <c r="U441" i="33"/>
  <c r="T441" i="33"/>
  <c r="Q441" i="33"/>
  <c r="P441" i="33"/>
  <c r="M441" i="33"/>
  <c r="L441" i="33"/>
  <c r="I441" i="33"/>
  <c r="H441" i="33"/>
  <c r="U440" i="33"/>
  <c r="T440" i="33"/>
  <c r="Q440" i="33"/>
  <c r="P440" i="33"/>
  <c r="M440" i="33"/>
  <c r="L440" i="33"/>
  <c r="I440" i="33"/>
  <c r="H440" i="33"/>
  <c r="U439" i="33"/>
  <c r="T439" i="33"/>
  <c r="Q439" i="33"/>
  <c r="P439" i="33"/>
  <c r="M439" i="33"/>
  <c r="L439" i="33"/>
  <c r="I439" i="33"/>
  <c r="H439" i="33"/>
  <c r="U438" i="33"/>
  <c r="T438" i="33"/>
  <c r="Q438" i="33"/>
  <c r="P438" i="33"/>
  <c r="M438" i="33"/>
  <c r="L438" i="33"/>
  <c r="I438" i="33"/>
  <c r="H438" i="33"/>
  <c r="U437" i="33"/>
  <c r="T437" i="33"/>
  <c r="Q437" i="33"/>
  <c r="P437" i="33"/>
  <c r="M437" i="33"/>
  <c r="L437" i="33"/>
  <c r="I437" i="33"/>
  <c r="H437" i="33"/>
  <c r="U436" i="33"/>
  <c r="T436" i="33"/>
  <c r="Q436" i="33"/>
  <c r="P436" i="33"/>
  <c r="M436" i="33"/>
  <c r="L436" i="33"/>
  <c r="I436" i="33"/>
  <c r="H436" i="33"/>
  <c r="U435" i="33"/>
  <c r="T435" i="33"/>
  <c r="Q435" i="33"/>
  <c r="P435" i="33"/>
  <c r="M435" i="33"/>
  <c r="L435" i="33"/>
  <c r="H435" i="33"/>
  <c r="U433" i="33"/>
  <c r="T433" i="33"/>
  <c r="Q433" i="33"/>
  <c r="P433" i="33"/>
  <c r="M433" i="33"/>
  <c r="L433" i="33"/>
  <c r="H433" i="33"/>
  <c r="U431" i="33"/>
  <c r="T431" i="33"/>
  <c r="Q431" i="33"/>
  <c r="P431" i="33"/>
  <c r="M431" i="33"/>
  <c r="L431" i="33"/>
  <c r="I431" i="33"/>
  <c r="H431" i="33"/>
  <c r="U430" i="33"/>
  <c r="T430" i="33"/>
  <c r="Q430" i="33"/>
  <c r="P430" i="33"/>
  <c r="M430" i="33"/>
  <c r="L430" i="33"/>
  <c r="H430" i="33"/>
  <c r="U429" i="33"/>
  <c r="T429" i="33"/>
  <c r="Q429" i="33"/>
  <c r="P429" i="33"/>
  <c r="M429" i="33"/>
  <c r="L429" i="33"/>
  <c r="I429" i="33"/>
  <c r="H429" i="33"/>
  <c r="U428" i="33"/>
  <c r="T428" i="33"/>
  <c r="Q428" i="33"/>
  <c r="P428" i="33"/>
  <c r="L428" i="33"/>
  <c r="H428" i="33"/>
  <c r="U427" i="33"/>
  <c r="T427" i="33"/>
  <c r="P427" i="33"/>
  <c r="L427" i="33"/>
  <c r="H427" i="33"/>
  <c r="U411" i="33"/>
  <c r="T411" i="33"/>
  <c r="Q411" i="33"/>
  <c r="P411" i="33"/>
  <c r="L411" i="33"/>
  <c r="H411" i="33"/>
  <c r="T410" i="33"/>
  <c r="P410" i="33"/>
  <c r="L410" i="33"/>
  <c r="H410" i="33"/>
  <c r="U409" i="33"/>
  <c r="T409" i="33"/>
  <c r="Q409" i="33"/>
  <c r="P409" i="33"/>
  <c r="M409" i="33"/>
  <c r="L409" i="33"/>
  <c r="H409" i="33"/>
  <c r="U391" i="33"/>
  <c r="T391" i="33"/>
  <c r="Q391" i="33"/>
  <c r="P391" i="33"/>
  <c r="M391" i="33"/>
  <c r="L391" i="33"/>
  <c r="H391" i="33"/>
  <c r="U390" i="33"/>
  <c r="T390" i="33"/>
  <c r="Q390" i="33"/>
  <c r="P390" i="33"/>
  <c r="M390" i="33"/>
  <c r="L390" i="33"/>
  <c r="H390" i="33"/>
  <c r="U389" i="33"/>
  <c r="T389" i="33"/>
  <c r="Q389" i="33"/>
  <c r="P389" i="33"/>
  <c r="M389" i="33"/>
  <c r="L389" i="33"/>
  <c r="H389" i="33"/>
  <c r="U388" i="33"/>
  <c r="T388" i="33"/>
  <c r="Q388" i="33"/>
  <c r="P388" i="33"/>
  <c r="M388" i="33"/>
  <c r="L388" i="33"/>
  <c r="H388" i="33"/>
  <c r="U382" i="33"/>
  <c r="T382" i="33"/>
  <c r="Q382" i="33"/>
  <c r="P382" i="33"/>
  <c r="L382" i="33"/>
  <c r="H382" i="33"/>
  <c r="U381" i="33"/>
  <c r="T381" i="33"/>
  <c r="Q381" i="33"/>
  <c r="P381" i="33"/>
  <c r="L381" i="33"/>
  <c r="H381" i="33"/>
  <c r="U379" i="33"/>
  <c r="T379" i="33"/>
  <c r="Q379" i="33"/>
  <c r="P379" i="33"/>
  <c r="M379" i="33"/>
  <c r="L379" i="33"/>
  <c r="I379" i="33"/>
  <c r="H379" i="33"/>
  <c r="U378" i="33"/>
  <c r="T378" i="33"/>
  <c r="Q378" i="33"/>
  <c r="P378" i="33"/>
  <c r="L378" i="33"/>
  <c r="H378" i="33"/>
  <c r="U377" i="33"/>
  <c r="T377" i="33"/>
  <c r="Q377" i="33"/>
  <c r="P377" i="33"/>
  <c r="L377" i="33"/>
  <c r="H377" i="33"/>
  <c r="U376" i="33"/>
  <c r="T376" i="33"/>
  <c r="Q376" i="33"/>
  <c r="P376" i="33"/>
  <c r="M376" i="33"/>
  <c r="L376" i="33"/>
  <c r="I376" i="33"/>
  <c r="H376" i="33"/>
  <c r="U375" i="33"/>
  <c r="T375" i="33"/>
  <c r="Q375" i="33"/>
  <c r="P375" i="33"/>
  <c r="L375" i="33"/>
  <c r="H375" i="33"/>
  <c r="U374" i="33"/>
  <c r="T374" i="33"/>
  <c r="Q374" i="33"/>
  <c r="P374" i="33"/>
  <c r="M374" i="33"/>
  <c r="L374" i="33"/>
  <c r="H374" i="33"/>
  <c r="U371" i="33"/>
  <c r="T371" i="33"/>
  <c r="Q371" i="33"/>
  <c r="P371" i="33"/>
  <c r="M371" i="33"/>
  <c r="L371" i="33"/>
  <c r="H371" i="33"/>
  <c r="U369" i="33"/>
  <c r="T369" i="33"/>
  <c r="Q369" i="33"/>
  <c r="P369" i="33"/>
  <c r="M369" i="33"/>
  <c r="L369" i="33"/>
  <c r="H369" i="33"/>
  <c r="U368" i="33"/>
  <c r="T368" i="33"/>
  <c r="Q368" i="33"/>
  <c r="P368" i="33"/>
  <c r="M368" i="33"/>
  <c r="L368" i="33"/>
  <c r="H368" i="33"/>
  <c r="U366" i="33"/>
  <c r="T366" i="33"/>
  <c r="Q366" i="33"/>
  <c r="P366" i="33"/>
  <c r="M366" i="33"/>
  <c r="L366" i="33"/>
  <c r="H366" i="33"/>
  <c r="U365" i="33"/>
  <c r="T365" i="33"/>
  <c r="Q365" i="33"/>
  <c r="P365" i="33"/>
  <c r="M365" i="33"/>
  <c r="L365" i="33"/>
  <c r="H365" i="33"/>
  <c r="U364" i="33"/>
  <c r="T364" i="33"/>
  <c r="Q364" i="33"/>
  <c r="P364" i="33"/>
  <c r="M364" i="33"/>
  <c r="L364" i="33"/>
  <c r="H364" i="33"/>
  <c r="U363" i="33"/>
  <c r="T363" i="33"/>
  <c r="Q363" i="33"/>
  <c r="P363" i="33"/>
  <c r="M363" i="33"/>
  <c r="L363" i="33"/>
  <c r="H363" i="33"/>
  <c r="U362" i="33"/>
  <c r="T362" i="33"/>
  <c r="Q362" i="33"/>
  <c r="P362" i="33"/>
  <c r="M362" i="33"/>
  <c r="L362" i="33"/>
  <c r="H362" i="33"/>
  <c r="U361" i="33"/>
  <c r="T361" i="33"/>
  <c r="Q361" i="33"/>
  <c r="P361" i="33"/>
  <c r="L361" i="33"/>
  <c r="H361" i="33"/>
  <c r="U360" i="33"/>
  <c r="T360" i="33"/>
  <c r="Q360" i="33"/>
  <c r="P360" i="33"/>
  <c r="L360" i="33"/>
  <c r="H360" i="33"/>
  <c r="U359" i="33"/>
  <c r="T359" i="33"/>
  <c r="Q359" i="33"/>
  <c r="P359" i="33"/>
  <c r="L359" i="33"/>
  <c r="H359" i="33"/>
  <c r="U358" i="33"/>
  <c r="T358" i="33"/>
  <c r="Q358" i="33"/>
  <c r="P358" i="33"/>
  <c r="L358" i="33"/>
  <c r="H358" i="33"/>
  <c r="U357" i="33"/>
  <c r="T357" i="33"/>
  <c r="Q357" i="33"/>
  <c r="P357" i="33"/>
  <c r="M357" i="33"/>
  <c r="L357" i="33"/>
  <c r="H357" i="33"/>
  <c r="U354" i="33"/>
  <c r="T354" i="33"/>
  <c r="Q354" i="33"/>
  <c r="P354" i="33"/>
  <c r="M354" i="33"/>
  <c r="L354" i="33"/>
  <c r="H354" i="33"/>
  <c r="U353" i="33"/>
  <c r="T353" i="33"/>
  <c r="Q353" i="33"/>
  <c r="P353" i="33"/>
  <c r="M353" i="33"/>
  <c r="L353" i="33"/>
  <c r="H353" i="33"/>
  <c r="U352" i="33"/>
  <c r="T352" i="33"/>
  <c r="Q352" i="33"/>
  <c r="P352" i="33"/>
  <c r="M352" i="33"/>
  <c r="L352" i="33"/>
  <c r="H352" i="33"/>
  <c r="U351" i="33"/>
  <c r="T351" i="33"/>
  <c r="Q351" i="33"/>
  <c r="P351" i="33"/>
  <c r="M351" i="33"/>
  <c r="L351" i="33"/>
  <c r="H351" i="33"/>
  <c r="U350" i="33"/>
  <c r="T350" i="33"/>
  <c r="Q350" i="33"/>
  <c r="P350" i="33"/>
  <c r="M350" i="33"/>
  <c r="L350" i="33"/>
  <c r="H350" i="33"/>
  <c r="U349" i="33"/>
  <c r="T349" i="33"/>
  <c r="Q349" i="33"/>
  <c r="P349" i="33"/>
  <c r="M349" i="33"/>
  <c r="L349" i="33"/>
  <c r="H349" i="33"/>
  <c r="U348" i="33"/>
  <c r="T348" i="33"/>
  <c r="Q348" i="33"/>
  <c r="P348" i="33"/>
  <c r="M348" i="33"/>
  <c r="L348" i="33"/>
  <c r="H348" i="33"/>
  <c r="U347" i="33"/>
  <c r="T347" i="33"/>
  <c r="Q347" i="33"/>
  <c r="P347" i="33"/>
  <c r="M347" i="33"/>
  <c r="L347" i="33"/>
  <c r="H347" i="33"/>
  <c r="U346" i="33"/>
  <c r="T346" i="33"/>
  <c r="Q346" i="33"/>
  <c r="P346" i="33"/>
  <c r="M346" i="33"/>
  <c r="L346" i="33"/>
  <c r="H346" i="33"/>
  <c r="U345" i="33"/>
  <c r="T345" i="33"/>
  <c r="Q345" i="33"/>
  <c r="P345" i="33"/>
  <c r="M345" i="33"/>
  <c r="L345" i="33"/>
  <c r="H345" i="33"/>
  <c r="U344" i="33"/>
  <c r="T344" i="33"/>
  <c r="Q344" i="33"/>
  <c r="P344" i="33"/>
  <c r="M344" i="33"/>
  <c r="L344" i="33"/>
  <c r="H344" i="33"/>
  <c r="U343" i="33"/>
  <c r="T343" i="33"/>
  <c r="Q343" i="33"/>
  <c r="P343" i="33"/>
  <c r="M343" i="33"/>
  <c r="L343" i="33"/>
  <c r="H343" i="33"/>
  <c r="U342" i="33"/>
  <c r="T342" i="33"/>
  <c r="Q342" i="33"/>
  <c r="P342" i="33"/>
  <c r="M342" i="33"/>
  <c r="L342" i="33"/>
  <c r="H342" i="33"/>
  <c r="U341" i="33"/>
  <c r="T341" i="33"/>
  <c r="Q341" i="33"/>
  <c r="P341" i="33"/>
  <c r="M341" i="33"/>
  <c r="L341" i="33"/>
  <c r="H341" i="33"/>
  <c r="U340" i="33"/>
  <c r="T340" i="33"/>
  <c r="Q340" i="33"/>
  <c r="P340" i="33"/>
  <c r="M340" i="33"/>
  <c r="L340" i="33"/>
  <c r="H340" i="33"/>
  <c r="U339" i="33"/>
  <c r="T339" i="33"/>
  <c r="Q339" i="33"/>
  <c r="P339" i="33"/>
  <c r="M339" i="33"/>
  <c r="L339" i="33"/>
  <c r="H339" i="33"/>
  <c r="U338" i="33"/>
  <c r="T338" i="33"/>
  <c r="Q338" i="33"/>
  <c r="P338" i="33"/>
  <c r="M338" i="33"/>
  <c r="L338" i="33"/>
  <c r="H338" i="33"/>
  <c r="U336" i="33"/>
  <c r="T336" i="33"/>
  <c r="Q336" i="33"/>
  <c r="P336" i="33"/>
  <c r="L336" i="33"/>
  <c r="H336" i="33"/>
  <c r="U335" i="33"/>
  <c r="T335" i="33"/>
  <c r="Q335" i="33"/>
  <c r="P335" i="33"/>
  <c r="L335" i="33"/>
  <c r="H335" i="33"/>
  <c r="U334" i="33"/>
  <c r="T334" i="33"/>
  <c r="Q334" i="33"/>
  <c r="P334" i="33"/>
  <c r="L334" i="33"/>
  <c r="H334" i="33"/>
  <c r="U333" i="33"/>
  <c r="T333" i="33"/>
  <c r="Q333" i="33"/>
  <c r="P333" i="33"/>
  <c r="L333" i="33"/>
  <c r="H333" i="33"/>
  <c r="U332" i="33"/>
  <c r="T332" i="33"/>
  <c r="Q332" i="33"/>
  <c r="P332" i="33"/>
  <c r="L332" i="33"/>
  <c r="H332" i="33"/>
  <c r="U330" i="33"/>
  <c r="T330" i="33"/>
  <c r="Q330" i="33"/>
  <c r="P330" i="33"/>
  <c r="M330" i="33"/>
  <c r="L330" i="33"/>
  <c r="H330" i="33"/>
  <c r="U328" i="33"/>
  <c r="T328" i="33"/>
  <c r="Q328" i="33"/>
  <c r="P328" i="33"/>
  <c r="L328" i="33"/>
  <c r="H328" i="33"/>
  <c r="U327" i="33"/>
  <c r="T327" i="33"/>
  <c r="Q327" i="33"/>
  <c r="P327" i="33"/>
  <c r="L327" i="33"/>
  <c r="H327" i="33"/>
  <c r="U326" i="33"/>
  <c r="T326" i="33"/>
  <c r="Q326" i="33"/>
  <c r="P326" i="33"/>
  <c r="L326" i="33"/>
  <c r="H326" i="33"/>
  <c r="U325" i="33"/>
  <c r="T325" i="33"/>
  <c r="Q325" i="33"/>
  <c r="P325" i="33"/>
  <c r="L325" i="33"/>
  <c r="H325" i="33"/>
  <c r="U324" i="33"/>
  <c r="T324" i="33"/>
  <c r="P324" i="33"/>
  <c r="L324" i="33"/>
  <c r="H324" i="33"/>
  <c r="U323" i="33"/>
  <c r="T323" i="33"/>
  <c r="Q323" i="33"/>
  <c r="P323" i="33"/>
  <c r="M323" i="33"/>
  <c r="L323" i="33"/>
  <c r="H323" i="33"/>
  <c r="U322" i="33"/>
  <c r="T322" i="33"/>
  <c r="Q322" i="33"/>
  <c r="P322" i="33"/>
  <c r="M322" i="33"/>
  <c r="L322" i="33"/>
  <c r="H322" i="33"/>
  <c r="U321" i="33"/>
  <c r="T321" i="33"/>
  <c r="Q321" i="33"/>
  <c r="P321" i="33"/>
  <c r="L321" i="33"/>
  <c r="H321" i="33"/>
  <c r="U320" i="33"/>
  <c r="T320" i="33"/>
  <c r="Q320" i="33"/>
  <c r="P320" i="33"/>
  <c r="L320" i="33"/>
  <c r="H320" i="33"/>
  <c r="U319" i="33"/>
  <c r="T319" i="33"/>
  <c r="Q319" i="33"/>
  <c r="P319" i="33"/>
  <c r="L319" i="33"/>
  <c r="H319" i="33"/>
  <c r="U318" i="33"/>
  <c r="T318" i="33"/>
  <c r="Q318" i="33"/>
  <c r="P318" i="33"/>
  <c r="L318" i="33"/>
  <c r="H318" i="33"/>
  <c r="U317" i="33"/>
  <c r="T317" i="33"/>
  <c r="Q317" i="33"/>
  <c r="P317" i="33"/>
  <c r="L317" i="33"/>
  <c r="H317" i="33"/>
  <c r="U316" i="33"/>
  <c r="T316" i="33"/>
  <c r="Q316" i="33"/>
  <c r="P316" i="33"/>
  <c r="L316" i="33"/>
  <c r="H316" i="33"/>
  <c r="U315" i="33"/>
  <c r="T315" i="33"/>
  <c r="Q315" i="33"/>
  <c r="P315" i="33"/>
  <c r="L315" i="33"/>
  <c r="H315" i="33"/>
  <c r="U314" i="33"/>
  <c r="T314" i="33"/>
  <c r="Q314" i="33"/>
  <c r="P314" i="33"/>
  <c r="L314" i="33"/>
  <c r="H314" i="33"/>
  <c r="U313" i="33"/>
  <c r="T313" i="33"/>
  <c r="Q313" i="33"/>
  <c r="P313" i="33"/>
  <c r="L313" i="33"/>
  <c r="H313" i="33"/>
  <c r="U312" i="33"/>
  <c r="T312" i="33"/>
  <c r="Q312" i="33"/>
  <c r="P312" i="33"/>
  <c r="L312" i="33"/>
  <c r="H312" i="33"/>
  <c r="U311" i="33"/>
  <c r="T311" i="33"/>
  <c r="Q311" i="33"/>
  <c r="P311" i="33"/>
  <c r="L311" i="33"/>
  <c r="H311" i="33"/>
  <c r="U310" i="33"/>
  <c r="T310" i="33"/>
  <c r="Q310" i="33"/>
  <c r="P310" i="33"/>
  <c r="L310" i="33"/>
  <c r="H310" i="33"/>
  <c r="U309" i="33"/>
  <c r="T309" i="33"/>
  <c r="Q309" i="33"/>
  <c r="P309" i="33"/>
  <c r="L309" i="33"/>
  <c r="H309" i="33"/>
  <c r="U303" i="33"/>
  <c r="T303" i="33"/>
  <c r="P303" i="33"/>
  <c r="L303" i="33"/>
  <c r="H303" i="33"/>
  <c r="U302" i="33"/>
  <c r="T302" i="33"/>
  <c r="Q302" i="33"/>
  <c r="P302" i="33"/>
  <c r="L302" i="33"/>
  <c r="H302" i="33"/>
  <c r="U300" i="33"/>
  <c r="T300" i="33"/>
  <c r="Q300" i="33"/>
  <c r="P300" i="33"/>
  <c r="L300" i="33"/>
  <c r="H300" i="33"/>
  <c r="U299" i="33"/>
  <c r="T299" i="33"/>
  <c r="Q299" i="33"/>
  <c r="P299" i="33"/>
  <c r="L299" i="33"/>
  <c r="H299" i="33"/>
  <c r="U298" i="33"/>
  <c r="T298" i="33"/>
  <c r="Q298" i="33"/>
  <c r="P298" i="33"/>
  <c r="L298" i="33"/>
  <c r="H298" i="33"/>
  <c r="U297" i="33"/>
  <c r="T297" i="33"/>
  <c r="Q297" i="33"/>
  <c r="P297" i="33"/>
  <c r="L297" i="33"/>
  <c r="H297" i="33"/>
  <c r="U263" i="33"/>
  <c r="T263" i="33"/>
  <c r="Q263" i="33"/>
  <c r="P263" i="33"/>
  <c r="M263" i="33"/>
  <c r="L263" i="33"/>
  <c r="H263" i="33"/>
  <c r="U262" i="33"/>
  <c r="T262" i="33"/>
  <c r="Q262" i="33"/>
  <c r="P262" i="33"/>
  <c r="M262" i="33"/>
  <c r="L262" i="33"/>
  <c r="H262" i="33"/>
  <c r="U261" i="33"/>
  <c r="T261" i="33"/>
  <c r="Q261" i="33"/>
  <c r="P261" i="33"/>
  <c r="M261" i="33"/>
  <c r="L261" i="33"/>
  <c r="H261" i="33"/>
  <c r="U260" i="33"/>
  <c r="T260" i="33"/>
  <c r="Q260" i="33"/>
  <c r="P260" i="33"/>
  <c r="M260" i="33"/>
  <c r="L260" i="33"/>
  <c r="H260" i="33"/>
  <c r="U259" i="33"/>
  <c r="T259" i="33"/>
  <c r="Q259" i="33"/>
  <c r="P259" i="33"/>
  <c r="M259" i="33"/>
  <c r="L259" i="33"/>
  <c r="H259" i="33"/>
  <c r="U258" i="33"/>
  <c r="T258" i="33"/>
  <c r="Q258" i="33"/>
  <c r="P258" i="33"/>
  <c r="M258" i="33"/>
  <c r="L258" i="33"/>
  <c r="H258" i="33"/>
  <c r="U257" i="33"/>
  <c r="T257" i="33"/>
  <c r="Q257" i="33"/>
  <c r="P257" i="33"/>
  <c r="M257" i="33"/>
  <c r="L257" i="33"/>
  <c r="H257" i="33"/>
  <c r="U256" i="33"/>
  <c r="T256" i="33"/>
  <c r="Q256" i="33"/>
  <c r="P256" i="33"/>
  <c r="M256" i="33"/>
  <c r="L256" i="33"/>
  <c r="I256" i="33"/>
  <c r="H256" i="33"/>
  <c r="U255" i="33"/>
  <c r="T255" i="33"/>
  <c r="Q255" i="33"/>
  <c r="P255" i="33"/>
  <c r="M255" i="33"/>
  <c r="L255" i="33"/>
  <c r="H255" i="33"/>
  <c r="U254" i="33"/>
  <c r="T254" i="33"/>
  <c r="Q254" i="33"/>
  <c r="P254" i="33"/>
  <c r="M254" i="33"/>
  <c r="L254" i="33"/>
  <c r="H254" i="33"/>
  <c r="U253" i="33"/>
  <c r="T253" i="33"/>
  <c r="Q253" i="33"/>
  <c r="P253" i="33"/>
  <c r="M253" i="33"/>
  <c r="L253" i="33"/>
  <c r="H253" i="33"/>
  <c r="U252" i="33"/>
  <c r="T252" i="33"/>
  <c r="Q252" i="33"/>
  <c r="P252" i="33"/>
  <c r="M252" i="33"/>
  <c r="L252" i="33"/>
  <c r="H252" i="33"/>
  <c r="U251" i="33"/>
  <c r="T251" i="33"/>
  <c r="Q251" i="33"/>
  <c r="P251" i="33"/>
  <c r="M251" i="33"/>
  <c r="L251" i="33"/>
  <c r="H251" i="33"/>
  <c r="U250" i="33"/>
  <c r="T250" i="33"/>
  <c r="Q250" i="33"/>
  <c r="P250" i="33"/>
  <c r="M250" i="33"/>
  <c r="L250" i="33"/>
  <c r="H250" i="33"/>
  <c r="U249" i="33"/>
  <c r="T249" i="33"/>
  <c r="Q249" i="33"/>
  <c r="P249" i="33"/>
  <c r="M249" i="33"/>
  <c r="L249" i="33"/>
  <c r="H249" i="33"/>
  <c r="U248" i="33"/>
  <c r="T248" i="33"/>
  <c r="P248" i="33"/>
  <c r="L248" i="33"/>
  <c r="H248" i="33"/>
  <c r="U247" i="33"/>
  <c r="T247" i="33"/>
  <c r="Q247" i="33"/>
  <c r="P247" i="33"/>
  <c r="M247" i="33"/>
  <c r="L247" i="33"/>
  <c r="H247" i="33"/>
  <c r="U246" i="33"/>
  <c r="T246" i="33"/>
  <c r="Q246" i="33"/>
  <c r="P246" i="33"/>
  <c r="L246" i="33"/>
  <c r="H246" i="33"/>
  <c r="U245" i="33"/>
  <c r="T245" i="33"/>
  <c r="Q245" i="33"/>
  <c r="P245" i="33"/>
  <c r="M245" i="33"/>
  <c r="L245" i="33"/>
  <c r="H245" i="33"/>
  <c r="U244" i="33"/>
  <c r="T244" i="33"/>
  <c r="Q244" i="33"/>
  <c r="P244" i="33"/>
  <c r="M244" i="33"/>
  <c r="L244" i="33"/>
  <c r="H244" i="33"/>
  <c r="U243" i="33"/>
  <c r="T243" i="33"/>
  <c r="Q243" i="33"/>
  <c r="P243" i="33"/>
  <c r="M243" i="33"/>
  <c r="L243" i="33"/>
  <c r="H243" i="33"/>
  <c r="U242" i="33"/>
  <c r="T242" i="33"/>
  <c r="Q242" i="33"/>
  <c r="P242" i="33"/>
  <c r="M242" i="33"/>
  <c r="L242" i="33"/>
  <c r="H242" i="33"/>
  <c r="U241" i="33"/>
  <c r="T241" i="33"/>
  <c r="Q241" i="33"/>
  <c r="P241" i="33"/>
  <c r="M241" i="33"/>
  <c r="L241" i="33"/>
  <c r="H241" i="33"/>
  <c r="U240" i="33"/>
  <c r="T240" i="33"/>
  <c r="Q240" i="33"/>
  <c r="P240" i="33"/>
  <c r="M240" i="33"/>
  <c r="L240" i="33"/>
  <c r="H240" i="33"/>
  <c r="U239" i="33"/>
  <c r="T239" i="33"/>
  <c r="Q239" i="33"/>
  <c r="P239" i="33"/>
  <c r="M239" i="33"/>
  <c r="L239" i="33"/>
  <c r="H239" i="33"/>
  <c r="U238" i="33"/>
  <c r="T238" i="33"/>
  <c r="Q238" i="33"/>
  <c r="P238" i="33"/>
  <c r="L238" i="33"/>
  <c r="H238" i="33"/>
  <c r="U237" i="33"/>
  <c r="T237" i="33"/>
  <c r="Q237" i="33"/>
  <c r="P237" i="33"/>
  <c r="L237" i="33"/>
  <c r="H237" i="33"/>
  <c r="U236" i="33"/>
  <c r="T236" i="33"/>
  <c r="Q236" i="33"/>
  <c r="P236" i="33"/>
  <c r="L236" i="33"/>
  <c r="H236" i="33"/>
  <c r="U235" i="33"/>
  <c r="T235" i="33"/>
  <c r="Q235" i="33"/>
  <c r="P235" i="33"/>
  <c r="L235" i="33"/>
  <c r="H235" i="33"/>
  <c r="U234" i="33"/>
  <c r="T234" i="33"/>
  <c r="Q234" i="33"/>
  <c r="P234" i="33"/>
  <c r="L234" i="33"/>
  <c r="H234" i="33"/>
  <c r="U233" i="33"/>
  <c r="T233" i="33"/>
  <c r="Q233" i="33"/>
  <c r="P233" i="33"/>
  <c r="L233" i="33"/>
  <c r="H233" i="33"/>
  <c r="U232" i="33"/>
  <c r="T232" i="33"/>
  <c r="Q232" i="33"/>
  <c r="P232" i="33"/>
  <c r="L232" i="33"/>
  <c r="H232" i="33"/>
  <c r="U231" i="33"/>
  <c r="T231" i="33"/>
  <c r="Q231" i="33"/>
  <c r="P231" i="33"/>
  <c r="L231" i="33"/>
  <c r="H231" i="33"/>
  <c r="U230" i="33"/>
  <c r="T230" i="33"/>
  <c r="Q230" i="33"/>
  <c r="P230" i="33"/>
  <c r="L230" i="33"/>
  <c r="H230" i="33"/>
  <c r="U229" i="33"/>
  <c r="T229" i="33"/>
  <c r="Q229" i="33"/>
  <c r="P229" i="33"/>
  <c r="L229" i="33"/>
  <c r="H229" i="33"/>
  <c r="U228" i="33"/>
  <c r="T228" i="33"/>
  <c r="Q228" i="33"/>
  <c r="P228" i="33"/>
  <c r="L228" i="33"/>
  <c r="H228" i="33"/>
  <c r="U227" i="33"/>
  <c r="T227" i="33"/>
  <c r="Q227" i="33"/>
  <c r="P227" i="33"/>
  <c r="M227" i="33"/>
  <c r="L227" i="33"/>
  <c r="H227" i="33"/>
  <c r="U226" i="33"/>
  <c r="T226" i="33"/>
  <c r="Q226" i="33"/>
  <c r="P226" i="33"/>
  <c r="M226" i="33"/>
  <c r="L226" i="33"/>
  <c r="H226" i="33"/>
  <c r="U225" i="33"/>
  <c r="T225" i="33"/>
  <c r="Q225" i="33"/>
  <c r="P225" i="33"/>
  <c r="M225" i="33"/>
  <c r="L225" i="33"/>
  <c r="H225" i="33"/>
  <c r="U224" i="33"/>
  <c r="T224" i="33"/>
  <c r="Q224" i="33"/>
  <c r="P224" i="33"/>
  <c r="M224" i="33"/>
  <c r="L224" i="33"/>
  <c r="H224" i="33"/>
  <c r="U223" i="33"/>
  <c r="T223" i="33"/>
  <c r="Q223" i="33"/>
  <c r="P223" i="33"/>
  <c r="M223" i="33"/>
  <c r="L223" i="33"/>
  <c r="H223" i="33"/>
  <c r="U222" i="33"/>
  <c r="T222" i="33"/>
  <c r="Q222" i="33"/>
  <c r="P222" i="33"/>
  <c r="M222" i="33"/>
  <c r="L222" i="33"/>
  <c r="H222" i="33"/>
  <c r="U221" i="33"/>
  <c r="T221" i="33"/>
  <c r="Q221" i="33"/>
  <c r="P221" i="33"/>
  <c r="M221" i="33"/>
  <c r="L221" i="33"/>
  <c r="H221" i="33"/>
  <c r="U220" i="33"/>
  <c r="T220" i="33"/>
  <c r="Q220" i="33"/>
  <c r="P220" i="33"/>
  <c r="M220" i="33"/>
  <c r="L220" i="33"/>
  <c r="H220" i="33"/>
  <c r="U219" i="33"/>
  <c r="T219" i="33"/>
  <c r="Q219" i="33"/>
  <c r="P219" i="33"/>
  <c r="M219" i="33"/>
  <c r="L219" i="33"/>
  <c r="H219" i="33"/>
  <c r="U218" i="33"/>
  <c r="T218" i="33"/>
  <c r="Q218" i="33"/>
  <c r="P218" i="33"/>
  <c r="M218" i="33"/>
  <c r="L218" i="33"/>
  <c r="H218" i="33"/>
  <c r="U217" i="33"/>
  <c r="T217" i="33"/>
  <c r="Q217" i="33"/>
  <c r="P217" i="33"/>
  <c r="M217" i="33"/>
  <c r="L217" i="33"/>
  <c r="H217" i="33"/>
  <c r="U216" i="33"/>
  <c r="T216" i="33"/>
  <c r="Q216" i="33"/>
  <c r="P216" i="33"/>
  <c r="M216" i="33"/>
  <c r="L216" i="33"/>
  <c r="H216" i="33"/>
  <c r="U215" i="33"/>
  <c r="T215" i="33"/>
  <c r="Q215" i="33"/>
  <c r="P215" i="33"/>
  <c r="M215" i="33"/>
  <c r="L215" i="33"/>
  <c r="H215" i="33"/>
  <c r="U214" i="33"/>
  <c r="T214" i="33"/>
  <c r="Q214" i="33"/>
  <c r="P214" i="33"/>
  <c r="M214" i="33"/>
  <c r="L214" i="33"/>
  <c r="H214" i="33"/>
  <c r="U213" i="33"/>
  <c r="T213" i="33"/>
  <c r="Q213" i="33"/>
  <c r="P213" i="33"/>
  <c r="M213" i="33"/>
  <c r="L213" i="33"/>
  <c r="H213" i="33"/>
  <c r="U212" i="33"/>
  <c r="T212" i="33"/>
  <c r="Q212" i="33"/>
  <c r="P212" i="33"/>
  <c r="M212" i="33"/>
  <c r="L212" i="33"/>
  <c r="H212" i="33"/>
  <c r="U211" i="33"/>
  <c r="T211" i="33"/>
  <c r="Q211" i="33"/>
  <c r="P211" i="33"/>
  <c r="M211" i="33"/>
  <c r="L211" i="33"/>
  <c r="H211" i="33"/>
  <c r="U210" i="33"/>
  <c r="T210" i="33"/>
  <c r="Q210" i="33"/>
  <c r="P210" i="33"/>
  <c r="M210" i="33"/>
  <c r="L210" i="33"/>
  <c r="H210" i="33"/>
  <c r="U209" i="33"/>
  <c r="T209" i="33"/>
  <c r="Q209" i="33"/>
  <c r="P209" i="33"/>
  <c r="M209" i="33"/>
  <c r="L209" i="33"/>
  <c r="H209" i="33"/>
  <c r="U208" i="33"/>
  <c r="T208" i="33"/>
  <c r="Q208" i="33"/>
  <c r="P208" i="33"/>
  <c r="M208" i="33"/>
  <c r="L208" i="33"/>
  <c r="H208" i="33"/>
  <c r="U207" i="33"/>
  <c r="T207" i="33"/>
  <c r="Q207" i="33"/>
  <c r="P207" i="33"/>
  <c r="M207" i="33"/>
  <c r="L207" i="33"/>
  <c r="H207" i="33"/>
  <c r="U206" i="33"/>
  <c r="T206" i="33"/>
  <c r="Q206" i="33"/>
  <c r="P206" i="33"/>
  <c r="M206" i="33"/>
  <c r="L206" i="33"/>
  <c r="H206" i="33"/>
  <c r="U205" i="33"/>
  <c r="T205" i="33"/>
  <c r="Q205" i="33"/>
  <c r="P205" i="33"/>
  <c r="M205" i="33"/>
  <c r="L205" i="33"/>
  <c r="H205" i="33"/>
  <c r="U204" i="33"/>
  <c r="T204" i="33"/>
  <c r="Q204" i="33"/>
  <c r="P204" i="33"/>
  <c r="L204" i="33"/>
  <c r="H204" i="33"/>
  <c r="U203" i="33"/>
  <c r="T203" i="33"/>
  <c r="Q203" i="33"/>
  <c r="P203" i="33"/>
  <c r="L203" i="33"/>
  <c r="H203" i="33"/>
  <c r="U202" i="33"/>
  <c r="T202" i="33"/>
  <c r="Q202" i="33"/>
  <c r="P202" i="33"/>
  <c r="M202" i="33"/>
  <c r="L202" i="33"/>
  <c r="H202" i="33"/>
  <c r="U201" i="33"/>
  <c r="T201" i="33"/>
  <c r="Q201" i="33"/>
  <c r="P201" i="33"/>
  <c r="M201" i="33"/>
  <c r="L201" i="33"/>
  <c r="H201" i="33"/>
  <c r="U200" i="33"/>
  <c r="T200" i="33"/>
  <c r="Q200" i="33"/>
  <c r="P200" i="33"/>
  <c r="M200" i="33"/>
  <c r="L200" i="33"/>
  <c r="H200" i="33"/>
  <c r="U199" i="33"/>
  <c r="T199" i="33"/>
  <c r="Q199" i="33"/>
  <c r="P199" i="33"/>
  <c r="M199" i="33"/>
  <c r="L199" i="33"/>
  <c r="H199" i="33"/>
  <c r="U198" i="33"/>
  <c r="T198" i="33"/>
  <c r="Q198" i="33"/>
  <c r="P198" i="33"/>
  <c r="M198" i="33"/>
  <c r="L198" i="33"/>
  <c r="H198" i="33"/>
  <c r="U197" i="33"/>
  <c r="T197" i="33"/>
  <c r="Q197" i="33"/>
  <c r="P197" i="33"/>
  <c r="M197" i="33"/>
  <c r="L197" i="33"/>
  <c r="H197" i="33"/>
  <c r="U194" i="33"/>
  <c r="T194" i="33"/>
  <c r="Q194" i="33"/>
  <c r="P194" i="33"/>
  <c r="L194" i="33"/>
  <c r="H194" i="33"/>
  <c r="U193" i="33"/>
  <c r="T193" i="33"/>
  <c r="Q193" i="33"/>
  <c r="P193" i="33"/>
  <c r="L193" i="33"/>
  <c r="H193" i="33"/>
  <c r="U192" i="33"/>
  <c r="T192" i="33"/>
  <c r="Q192" i="33"/>
  <c r="P192" i="33"/>
  <c r="L192" i="33"/>
  <c r="H192" i="33"/>
  <c r="U191" i="33"/>
  <c r="T191" i="33"/>
  <c r="Q191" i="33"/>
  <c r="P191" i="33"/>
  <c r="L191" i="33"/>
  <c r="H191" i="33"/>
  <c r="U190" i="33"/>
  <c r="T190" i="33"/>
  <c r="Q190" i="33"/>
  <c r="P190" i="33"/>
  <c r="L190" i="33"/>
  <c r="H190" i="33"/>
  <c r="U189" i="33"/>
  <c r="T189" i="33"/>
  <c r="Q189" i="33"/>
  <c r="P189" i="33"/>
  <c r="L189" i="33"/>
  <c r="H189" i="33"/>
  <c r="U188" i="33"/>
  <c r="T188" i="33"/>
  <c r="Q188" i="33"/>
  <c r="P188" i="33"/>
  <c r="L188" i="33"/>
  <c r="H188" i="33"/>
  <c r="U187" i="33"/>
  <c r="T187" i="33"/>
  <c r="Q187" i="33"/>
  <c r="P187" i="33"/>
  <c r="L187" i="33"/>
  <c r="H187" i="33"/>
  <c r="U186" i="33"/>
  <c r="T186" i="33"/>
  <c r="Q186" i="33"/>
  <c r="P186" i="33"/>
  <c r="L186" i="33"/>
  <c r="H186" i="33"/>
  <c r="U185" i="33"/>
  <c r="T185" i="33"/>
  <c r="Q185" i="33"/>
  <c r="P185" i="33"/>
  <c r="L185" i="33"/>
  <c r="H185" i="33"/>
  <c r="U184" i="33"/>
  <c r="T184" i="33"/>
  <c r="Q184" i="33"/>
  <c r="P184" i="33"/>
  <c r="L184" i="33"/>
  <c r="H184" i="33"/>
  <c r="U183" i="33"/>
  <c r="T183" i="33"/>
  <c r="Q183" i="33"/>
  <c r="P183" i="33"/>
  <c r="L183" i="33"/>
  <c r="H183" i="33"/>
  <c r="U182" i="33"/>
  <c r="T182" i="33"/>
  <c r="Q182" i="33"/>
  <c r="P182" i="33"/>
  <c r="L182" i="33"/>
  <c r="H182" i="33"/>
  <c r="U181" i="33"/>
  <c r="T181" i="33"/>
  <c r="Q181" i="33"/>
  <c r="P181" i="33"/>
  <c r="L181" i="33"/>
  <c r="H181" i="33"/>
  <c r="U180" i="33"/>
  <c r="T180" i="33"/>
  <c r="Q180" i="33"/>
  <c r="P180" i="33"/>
  <c r="L180" i="33"/>
  <c r="H180" i="33"/>
  <c r="U179" i="33"/>
  <c r="T179" i="33"/>
  <c r="Q179" i="33"/>
  <c r="P179" i="33"/>
  <c r="L179" i="33"/>
  <c r="H179" i="33"/>
  <c r="U178" i="33"/>
  <c r="T178" i="33"/>
  <c r="Q178" i="33"/>
  <c r="P178" i="33"/>
  <c r="L178" i="33"/>
  <c r="H178" i="33"/>
  <c r="U177" i="33"/>
  <c r="T177" i="33"/>
  <c r="Q177" i="33"/>
  <c r="P177" i="33"/>
  <c r="L177" i="33"/>
  <c r="H177" i="33"/>
  <c r="U176" i="33"/>
  <c r="T176" i="33"/>
  <c r="Q176" i="33"/>
  <c r="P176" i="33"/>
  <c r="L176" i="33"/>
  <c r="H176" i="33"/>
  <c r="U175" i="33"/>
  <c r="T175" i="33"/>
  <c r="Q175" i="33"/>
  <c r="P175" i="33"/>
  <c r="L175" i="33"/>
  <c r="H175" i="33"/>
  <c r="U174" i="33"/>
  <c r="T174" i="33"/>
  <c r="Q174" i="33"/>
  <c r="P174" i="33"/>
  <c r="L174" i="33"/>
  <c r="H174" i="33"/>
  <c r="U173" i="33"/>
  <c r="T173" i="33"/>
  <c r="Q173" i="33"/>
  <c r="P173" i="33"/>
  <c r="L173" i="33"/>
  <c r="H173" i="33"/>
  <c r="U172" i="33"/>
  <c r="T172" i="33"/>
  <c r="Q172" i="33"/>
  <c r="P172" i="33"/>
  <c r="L172" i="33"/>
  <c r="H172" i="33"/>
  <c r="U171" i="33"/>
  <c r="T171" i="33"/>
  <c r="Q171" i="33"/>
  <c r="P171" i="33"/>
  <c r="L171" i="33"/>
  <c r="H171" i="33"/>
  <c r="U170" i="33"/>
  <c r="T170" i="33"/>
  <c r="Q170" i="33"/>
  <c r="P170" i="33"/>
  <c r="L170" i="33"/>
  <c r="H170" i="33"/>
  <c r="U169" i="33"/>
  <c r="T169" i="33"/>
  <c r="Q169" i="33"/>
  <c r="P169" i="33"/>
  <c r="L169" i="33"/>
  <c r="H169" i="33"/>
  <c r="U168" i="33"/>
  <c r="T168" i="33"/>
  <c r="Q168" i="33"/>
  <c r="P168" i="33"/>
  <c r="L168" i="33"/>
  <c r="H168" i="33"/>
  <c r="U167" i="33"/>
  <c r="T167" i="33"/>
  <c r="Q167" i="33"/>
  <c r="P167" i="33"/>
  <c r="L167" i="33"/>
  <c r="H167" i="33"/>
  <c r="U166" i="33"/>
  <c r="T166" i="33"/>
  <c r="Q166" i="33"/>
  <c r="P166" i="33"/>
  <c r="L166" i="33"/>
  <c r="H166" i="33"/>
  <c r="U165" i="33"/>
  <c r="T165" i="33"/>
  <c r="Q165" i="33"/>
  <c r="P165" i="33"/>
  <c r="L165" i="33"/>
  <c r="H165" i="33"/>
  <c r="U164" i="33"/>
  <c r="T164" i="33"/>
  <c r="Q164" i="33"/>
  <c r="P164" i="33"/>
  <c r="L164" i="33"/>
  <c r="H164" i="33"/>
  <c r="U163" i="33"/>
  <c r="T163" i="33"/>
  <c r="Q163" i="33"/>
  <c r="P163" i="33"/>
  <c r="L163" i="33"/>
  <c r="H163" i="33"/>
  <c r="U162" i="33"/>
  <c r="T162" i="33"/>
  <c r="Q162" i="33"/>
  <c r="P162" i="33"/>
  <c r="M162" i="33"/>
  <c r="L162" i="33"/>
  <c r="H162" i="33"/>
  <c r="U161" i="33"/>
  <c r="T161" i="33"/>
  <c r="P161" i="33"/>
  <c r="L161" i="33"/>
  <c r="H161" i="33"/>
  <c r="U160" i="33"/>
  <c r="T160" i="33"/>
  <c r="Q160" i="33"/>
  <c r="P160" i="33"/>
  <c r="M160" i="33"/>
  <c r="L160" i="33"/>
  <c r="H160" i="33"/>
  <c r="U159" i="33"/>
  <c r="T159" i="33"/>
  <c r="Q159" i="33"/>
  <c r="P159" i="33"/>
  <c r="M159" i="33"/>
  <c r="L159" i="33"/>
  <c r="H159" i="33"/>
  <c r="U158" i="33"/>
  <c r="T158" i="33"/>
  <c r="Q158" i="33"/>
  <c r="P158" i="33"/>
  <c r="M158" i="33"/>
  <c r="L158" i="33"/>
  <c r="H158" i="33"/>
  <c r="U157" i="33"/>
  <c r="T157" i="33"/>
  <c r="Q157" i="33"/>
  <c r="P157" i="33"/>
  <c r="M157" i="33"/>
  <c r="L157" i="33"/>
  <c r="H157" i="33"/>
  <c r="U156" i="33"/>
  <c r="T156" i="33"/>
  <c r="Q156" i="33"/>
  <c r="P156" i="33"/>
  <c r="L156" i="33"/>
  <c r="H156" i="33"/>
  <c r="U155" i="33"/>
  <c r="T155" i="33"/>
  <c r="Q155" i="33"/>
  <c r="P155" i="33"/>
  <c r="M155" i="33"/>
  <c r="L155" i="33"/>
  <c r="H155" i="33"/>
  <c r="U154" i="33"/>
  <c r="T154" i="33"/>
  <c r="P154" i="33"/>
  <c r="L154" i="33"/>
  <c r="H154" i="33"/>
  <c r="U153" i="33"/>
  <c r="T153" i="33"/>
  <c r="Q153" i="33"/>
  <c r="P153" i="33"/>
  <c r="M153" i="33"/>
  <c r="L153" i="33"/>
  <c r="H153" i="33"/>
  <c r="U152" i="33"/>
  <c r="T152" i="33"/>
  <c r="Q152" i="33"/>
  <c r="P152" i="33"/>
  <c r="M152" i="33"/>
  <c r="L152" i="33"/>
  <c r="H152" i="33"/>
  <c r="U151" i="33"/>
  <c r="T151" i="33"/>
  <c r="Q151" i="33"/>
  <c r="P151" i="33"/>
  <c r="L151" i="33"/>
  <c r="H151" i="33"/>
  <c r="U150" i="33"/>
  <c r="T150" i="33"/>
  <c r="Q150" i="33"/>
  <c r="P150" i="33"/>
  <c r="L150" i="33"/>
  <c r="H150" i="33"/>
  <c r="U149" i="33"/>
  <c r="T149" i="33"/>
  <c r="Q149" i="33"/>
  <c r="P149" i="33"/>
  <c r="M149" i="33"/>
  <c r="L149" i="33"/>
  <c r="H149" i="33"/>
  <c r="U148" i="33"/>
  <c r="T148" i="33"/>
  <c r="Q148" i="33"/>
  <c r="P148" i="33"/>
  <c r="M148" i="33"/>
  <c r="L148" i="33"/>
  <c r="H148" i="33"/>
  <c r="U147" i="33"/>
  <c r="T147" i="33"/>
  <c r="Q147" i="33"/>
  <c r="P147" i="33"/>
  <c r="M147" i="33"/>
  <c r="L147" i="33"/>
  <c r="H147" i="33"/>
  <c r="U146" i="33"/>
  <c r="T146" i="33"/>
  <c r="P146" i="33"/>
  <c r="L146" i="33"/>
  <c r="H146" i="33"/>
  <c r="U145" i="33"/>
  <c r="T145" i="33"/>
  <c r="Q145" i="33"/>
  <c r="P145" i="33"/>
  <c r="M145" i="33"/>
  <c r="L145" i="33"/>
  <c r="H145" i="33"/>
  <c r="U144" i="33"/>
  <c r="T144" i="33"/>
  <c r="Q144" i="33"/>
  <c r="P144" i="33"/>
  <c r="M144" i="33"/>
  <c r="L144" i="33"/>
  <c r="H144" i="33"/>
  <c r="U143" i="33"/>
  <c r="T143" i="33"/>
  <c r="Q143" i="33"/>
  <c r="P143" i="33"/>
  <c r="M143" i="33"/>
  <c r="L143" i="33"/>
  <c r="H143" i="33"/>
  <c r="U142" i="33"/>
  <c r="T142" i="33"/>
  <c r="Q142" i="33"/>
  <c r="P142" i="33"/>
  <c r="M142" i="33"/>
  <c r="L142" i="33"/>
  <c r="H142" i="33"/>
  <c r="U141" i="33"/>
  <c r="T141" i="33"/>
  <c r="P141" i="33"/>
  <c r="L141" i="33"/>
  <c r="H141" i="33"/>
  <c r="U140" i="33"/>
  <c r="T140" i="33"/>
  <c r="Q140" i="33"/>
  <c r="P140" i="33"/>
  <c r="L140" i="33"/>
  <c r="H140" i="33"/>
  <c r="U139" i="33"/>
  <c r="T139" i="33"/>
  <c r="Q139" i="33"/>
  <c r="P139" i="33"/>
  <c r="M139" i="33"/>
  <c r="L139" i="33"/>
  <c r="H139" i="33"/>
  <c r="U138" i="33"/>
  <c r="T138" i="33"/>
  <c r="Q138" i="33"/>
  <c r="P138" i="33"/>
  <c r="M138" i="33"/>
  <c r="L138" i="33"/>
  <c r="H138" i="33"/>
  <c r="U137" i="33"/>
  <c r="T137" i="33"/>
  <c r="Q137" i="33"/>
  <c r="P137" i="33"/>
  <c r="M137" i="33"/>
  <c r="L137" i="33"/>
  <c r="H137" i="33"/>
  <c r="U136" i="33"/>
  <c r="T136" i="33"/>
  <c r="Q136" i="33"/>
  <c r="P136" i="33"/>
  <c r="M136" i="33"/>
  <c r="L136" i="33"/>
  <c r="H136" i="33"/>
  <c r="U135" i="33"/>
  <c r="T135" i="33"/>
  <c r="Q135" i="33"/>
  <c r="P135" i="33"/>
  <c r="M135" i="33"/>
  <c r="L135" i="33"/>
  <c r="H135" i="33"/>
  <c r="U134" i="33"/>
  <c r="T134" i="33"/>
  <c r="Q134" i="33"/>
  <c r="P134" i="33"/>
  <c r="M134" i="33"/>
  <c r="L134" i="33"/>
  <c r="H134" i="33"/>
  <c r="U133" i="33"/>
  <c r="T133" i="33"/>
  <c r="Q133" i="33"/>
  <c r="P133" i="33"/>
  <c r="M133" i="33"/>
  <c r="L133" i="33"/>
  <c r="H133" i="33"/>
  <c r="U132" i="33"/>
  <c r="T132" i="33"/>
  <c r="Q132" i="33"/>
  <c r="P132" i="33"/>
  <c r="L132" i="33"/>
  <c r="H132" i="33"/>
  <c r="U130" i="33"/>
  <c r="T130" i="33"/>
  <c r="P130" i="33"/>
  <c r="L130" i="33"/>
  <c r="H130" i="33"/>
  <c r="U129" i="33"/>
  <c r="T129" i="33"/>
  <c r="Q129" i="33"/>
  <c r="P129" i="33"/>
  <c r="M129" i="33"/>
  <c r="L129" i="33"/>
  <c r="H129" i="33"/>
  <c r="U128" i="33"/>
  <c r="T128" i="33"/>
  <c r="Q128" i="33"/>
  <c r="P128" i="33"/>
  <c r="M128" i="33"/>
  <c r="L128" i="33"/>
  <c r="H128" i="33"/>
  <c r="U127" i="33"/>
  <c r="T127" i="33"/>
  <c r="Q127" i="33"/>
  <c r="P127" i="33"/>
  <c r="M127" i="33"/>
  <c r="L127" i="33"/>
  <c r="H127" i="33"/>
  <c r="U126" i="33"/>
  <c r="T126" i="33"/>
  <c r="Q126" i="33"/>
  <c r="P126" i="33"/>
  <c r="M126" i="33"/>
  <c r="L126" i="33"/>
  <c r="H126" i="33"/>
  <c r="U125" i="33"/>
  <c r="T125" i="33"/>
  <c r="Q125" i="33"/>
  <c r="P125" i="33"/>
  <c r="M125" i="33"/>
  <c r="L125" i="33"/>
  <c r="H125" i="33"/>
  <c r="U124" i="33"/>
  <c r="T124" i="33"/>
  <c r="Q124" i="33"/>
  <c r="P124" i="33"/>
  <c r="M124" i="33"/>
  <c r="L124" i="33"/>
  <c r="H124" i="33"/>
  <c r="U123" i="33"/>
  <c r="T123" i="33"/>
  <c r="Q123" i="33"/>
  <c r="P123" i="33"/>
  <c r="L123" i="33"/>
  <c r="H123" i="33"/>
  <c r="U121" i="33"/>
  <c r="T121" i="33"/>
  <c r="Q121" i="33"/>
  <c r="P121" i="33"/>
  <c r="M121" i="33"/>
  <c r="L121" i="33"/>
  <c r="H121" i="33"/>
  <c r="U120" i="33"/>
  <c r="T120" i="33"/>
  <c r="Q120" i="33"/>
  <c r="P120" i="33"/>
  <c r="M120" i="33"/>
  <c r="L120" i="33"/>
  <c r="H120" i="33"/>
  <c r="U119" i="33"/>
  <c r="T119" i="33"/>
  <c r="Q119" i="33"/>
  <c r="P119" i="33"/>
  <c r="M119" i="33"/>
  <c r="L119" i="33"/>
  <c r="H119" i="33"/>
  <c r="U117" i="33"/>
  <c r="T117" i="33"/>
  <c r="Q117" i="33"/>
  <c r="P117" i="33"/>
  <c r="M117" i="33"/>
  <c r="L117" i="33"/>
  <c r="H117" i="33"/>
  <c r="U116" i="33"/>
  <c r="T116" i="33"/>
  <c r="Q116" i="33"/>
  <c r="P116" i="33"/>
  <c r="M116" i="33"/>
  <c r="L116" i="33"/>
  <c r="H116" i="33"/>
  <c r="U115" i="33"/>
  <c r="T115" i="33"/>
  <c r="Q115" i="33"/>
  <c r="P115" i="33"/>
  <c r="L115" i="33"/>
  <c r="H115" i="33"/>
  <c r="U114" i="33"/>
  <c r="T114" i="33"/>
  <c r="Q114" i="33"/>
  <c r="P114" i="33"/>
  <c r="L114" i="33"/>
  <c r="H114" i="33"/>
  <c r="U113" i="33"/>
  <c r="T113" i="33"/>
  <c r="Q113" i="33"/>
  <c r="P113" i="33"/>
  <c r="L113" i="33"/>
  <c r="H113" i="33"/>
  <c r="U112" i="33"/>
  <c r="T112" i="33"/>
  <c r="Q112" i="33"/>
  <c r="P112" i="33"/>
  <c r="L112" i="33"/>
  <c r="H112" i="33"/>
  <c r="U111" i="33"/>
  <c r="T111" i="33"/>
  <c r="Q111" i="33"/>
  <c r="P111" i="33"/>
  <c r="L111" i="33"/>
  <c r="H111" i="33"/>
  <c r="U110" i="33"/>
  <c r="T110" i="33"/>
  <c r="Q110" i="33"/>
  <c r="P110" i="33"/>
  <c r="L110" i="33"/>
  <c r="H110" i="33"/>
  <c r="U109" i="33"/>
  <c r="T109" i="33"/>
  <c r="Q109" i="33"/>
  <c r="P109" i="33"/>
  <c r="L109" i="33"/>
  <c r="H109" i="33"/>
  <c r="U108" i="33"/>
  <c r="T108" i="33"/>
  <c r="Q108" i="33"/>
  <c r="P108" i="33"/>
  <c r="L108" i="33"/>
  <c r="H108" i="33"/>
  <c r="U107" i="33"/>
  <c r="T107" i="33"/>
  <c r="Q107" i="33"/>
  <c r="P107" i="33"/>
  <c r="L107" i="33"/>
  <c r="H107" i="33"/>
  <c r="U106" i="33"/>
  <c r="T106" i="33"/>
  <c r="Q106" i="33"/>
  <c r="P106" i="33"/>
  <c r="L106" i="33"/>
  <c r="H106" i="33"/>
  <c r="U105" i="33"/>
  <c r="T105" i="33"/>
  <c r="Q105" i="33"/>
  <c r="P105" i="33"/>
  <c r="L105" i="33"/>
  <c r="H105" i="33"/>
  <c r="U104" i="33"/>
  <c r="T104" i="33"/>
  <c r="Q104" i="33"/>
  <c r="P104" i="33"/>
  <c r="L104" i="33"/>
  <c r="H104" i="33"/>
  <c r="U103" i="33"/>
  <c r="T103" i="33"/>
  <c r="Q103" i="33"/>
  <c r="P103" i="33"/>
  <c r="L103" i="33"/>
  <c r="H103" i="33"/>
  <c r="U102" i="33"/>
  <c r="T102" i="33"/>
  <c r="Q102" i="33"/>
  <c r="P102" i="33"/>
  <c r="L102" i="33"/>
  <c r="H102" i="33"/>
  <c r="U101" i="33"/>
  <c r="T101" i="33"/>
  <c r="Q101" i="33"/>
  <c r="P101" i="33"/>
  <c r="L101" i="33"/>
  <c r="H101" i="33"/>
  <c r="U100" i="33"/>
  <c r="T100" i="33"/>
  <c r="Q100" i="33"/>
  <c r="P100" i="33"/>
  <c r="L100" i="33"/>
  <c r="H100" i="33"/>
  <c r="U99" i="33"/>
  <c r="T99" i="33"/>
  <c r="Q99" i="33"/>
  <c r="P99" i="33"/>
  <c r="L99" i="33"/>
  <c r="H99" i="33"/>
  <c r="U98" i="33"/>
  <c r="T98" i="33"/>
  <c r="Q98" i="33"/>
  <c r="P98" i="33"/>
  <c r="M98" i="33"/>
  <c r="L98" i="33"/>
  <c r="H98" i="33"/>
  <c r="U97" i="33"/>
  <c r="T97" i="33"/>
  <c r="Q97" i="33"/>
  <c r="P97" i="33"/>
  <c r="M97" i="33"/>
  <c r="L97" i="33"/>
  <c r="I97" i="33"/>
  <c r="H97" i="33"/>
  <c r="U95" i="33"/>
  <c r="T95" i="33"/>
  <c r="Q95" i="33"/>
  <c r="P95" i="33"/>
  <c r="L95" i="33"/>
  <c r="H95" i="33"/>
  <c r="U94" i="33"/>
  <c r="T94" i="33"/>
  <c r="Q94" i="33"/>
  <c r="P94" i="33"/>
  <c r="M94" i="33"/>
  <c r="L94" i="33"/>
  <c r="H94" i="33"/>
  <c r="U92" i="33"/>
  <c r="T92" i="33"/>
  <c r="Q92" i="33"/>
  <c r="P92" i="33"/>
  <c r="M92" i="33"/>
  <c r="L92" i="33"/>
  <c r="H92" i="33"/>
  <c r="U91" i="33"/>
  <c r="T91" i="33"/>
  <c r="Q91" i="33"/>
  <c r="P91" i="33"/>
  <c r="L91" i="33"/>
  <c r="H91" i="33"/>
  <c r="U90" i="33"/>
  <c r="T90" i="33"/>
  <c r="Q90" i="33"/>
  <c r="P90" i="33"/>
  <c r="M90" i="33"/>
  <c r="L90" i="33"/>
  <c r="H90" i="33"/>
  <c r="U89" i="33"/>
  <c r="T89" i="33"/>
  <c r="Q89" i="33"/>
  <c r="P89" i="33"/>
  <c r="M89" i="33"/>
  <c r="L89" i="33"/>
  <c r="H89" i="33"/>
  <c r="U88" i="33"/>
  <c r="T88" i="33"/>
  <c r="Q88" i="33"/>
  <c r="P88" i="33"/>
  <c r="L88" i="33"/>
  <c r="H88" i="33"/>
  <c r="U87" i="33"/>
  <c r="T87" i="33"/>
  <c r="Q87" i="33"/>
  <c r="P87" i="33"/>
  <c r="M87" i="33"/>
  <c r="L87" i="33"/>
  <c r="H87" i="33"/>
  <c r="U86" i="33"/>
  <c r="T86" i="33"/>
  <c r="Q86" i="33"/>
  <c r="P86" i="33"/>
  <c r="L86" i="33"/>
  <c r="H86" i="33"/>
  <c r="U85" i="33"/>
  <c r="T85" i="33"/>
  <c r="Q85" i="33"/>
  <c r="P85" i="33"/>
  <c r="M85" i="33"/>
  <c r="L85" i="33"/>
  <c r="H85" i="33"/>
  <c r="U84" i="33"/>
  <c r="T84" i="33"/>
  <c r="Q84" i="33"/>
  <c r="P84" i="33"/>
  <c r="M84" i="33"/>
  <c r="L84" i="33"/>
  <c r="H84" i="33"/>
  <c r="U83" i="33"/>
  <c r="T83" i="33"/>
  <c r="Q83" i="33"/>
  <c r="P83" i="33"/>
  <c r="M83" i="33"/>
  <c r="L83" i="33"/>
  <c r="H83" i="33"/>
  <c r="U82" i="33"/>
  <c r="T82" i="33"/>
  <c r="Q82" i="33"/>
  <c r="P82" i="33"/>
  <c r="M82" i="33"/>
  <c r="L82" i="33"/>
  <c r="H82" i="33"/>
  <c r="U81" i="33"/>
  <c r="T81" i="33"/>
  <c r="Q81" i="33"/>
  <c r="P81" i="33"/>
  <c r="M81" i="33"/>
  <c r="L81" i="33"/>
  <c r="H81" i="33"/>
  <c r="U80" i="33"/>
  <c r="T80" i="33"/>
  <c r="Q80" i="33"/>
  <c r="P80" i="33"/>
  <c r="M80" i="33"/>
  <c r="L80" i="33"/>
  <c r="H80" i="33"/>
  <c r="U79" i="33"/>
  <c r="T79" i="33"/>
  <c r="Q79" i="33"/>
  <c r="P79" i="33"/>
  <c r="L79" i="33"/>
  <c r="H79" i="33"/>
  <c r="U76" i="33"/>
  <c r="T76" i="33"/>
  <c r="Q76" i="33"/>
  <c r="P76" i="33"/>
  <c r="L76" i="33"/>
  <c r="H76" i="33"/>
  <c r="U75" i="33"/>
  <c r="T75" i="33"/>
  <c r="Q75" i="33"/>
  <c r="P75" i="33"/>
  <c r="L75" i="33"/>
  <c r="H75" i="33"/>
  <c r="U74" i="33"/>
  <c r="T74" i="33"/>
  <c r="Q74" i="33"/>
  <c r="P74" i="33"/>
  <c r="M74" i="33"/>
  <c r="L74" i="33"/>
  <c r="H74" i="33"/>
  <c r="U73" i="33"/>
  <c r="T73" i="33"/>
  <c r="Q73" i="33"/>
  <c r="P73" i="33"/>
  <c r="M73" i="33"/>
  <c r="L73" i="33"/>
  <c r="H73" i="33"/>
  <c r="U72" i="33"/>
  <c r="T72" i="33"/>
  <c r="Q72" i="33"/>
  <c r="P72" i="33"/>
  <c r="M72" i="33"/>
  <c r="L72" i="33"/>
  <c r="H72" i="33"/>
  <c r="U71" i="33"/>
  <c r="T71" i="33"/>
  <c r="Q71" i="33"/>
  <c r="P71" i="33"/>
  <c r="M71" i="33"/>
  <c r="L71" i="33"/>
  <c r="H71" i="33"/>
  <c r="U70" i="33"/>
  <c r="T70" i="33"/>
  <c r="Q70" i="33"/>
  <c r="P70" i="33"/>
  <c r="M70" i="33"/>
  <c r="L70" i="33"/>
  <c r="H70" i="33"/>
  <c r="U69" i="33"/>
  <c r="T69" i="33"/>
  <c r="Q69" i="33"/>
  <c r="P69" i="33"/>
  <c r="M69" i="33"/>
  <c r="L69" i="33"/>
  <c r="H69" i="33"/>
  <c r="U68" i="33"/>
  <c r="T68" i="33"/>
  <c r="Q68" i="33"/>
  <c r="P68" i="33"/>
  <c r="M68" i="33"/>
  <c r="L68" i="33"/>
  <c r="H68" i="33"/>
  <c r="U67" i="33"/>
  <c r="T67" i="33"/>
  <c r="Q67" i="33"/>
  <c r="P67" i="33"/>
  <c r="M67" i="33"/>
  <c r="L67" i="33"/>
  <c r="H67" i="33"/>
  <c r="U66" i="33"/>
  <c r="T66" i="33"/>
  <c r="Q66" i="33"/>
  <c r="P66" i="33"/>
  <c r="M66" i="33"/>
  <c r="L66" i="33"/>
  <c r="H66" i="33"/>
  <c r="U65" i="33"/>
  <c r="T65" i="33"/>
  <c r="Q65" i="33"/>
  <c r="P65" i="33"/>
  <c r="M65" i="33"/>
  <c r="L65" i="33"/>
  <c r="H65" i="33"/>
  <c r="U64" i="33"/>
  <c r="T64" i="33"/>
  <c r="Q64" i="33"/>
  <c r="P64" i="33"/>
  <c r="M64" i="33"/>
  <c r="L64" i="33"/>
  <c r="H64" i="33"/>
  <c r="U51" i="33"/>
  <c r="T51" i="33"/>
  <c r="Q51" i="33"/>
  <c r="P51" i="33"/>
  <c r="L51" i="33"/>
  <c r="H51" i="33"/>
  <c r="U50" i="33"/>
  <c r="T50" i="33"/>
  <c r="Q50" i="33"/>
  <c r="P50" i="33"/>
  <c r="L50" i="33"/>
  <c r="H50" i="33"/>
  <c r="U49" i="33"/>
  <c r="T49" i="33"/>
  <c r="Q49" i="33"/>
  <c r="P49" i="33"/>
  <c r="L49" i="33"/>
  <c r="H49" i="33"/>
  <c r="U48" i="33"/>
  <c r="T48" i="33"/>
  <c r="Q48" i="33"/>
  <c r="P48" i="33"/>
  <c r="L48" i="33"/>
  <c r="H48" i="33"/>
  <c r="U47" i="33"/>
  <c r="T47" i="33"/>
  <c r="Q47" i="33"/>
  <c r="P47" i="33"/>
  <c r="L47" i="33"/>
  <c r="H47" i="33"/>
  <c r="U46" i="33"/>
  <c r="T46" i="33"/>
  <c r="Q46" i="33"/>
  <c r="P46" i="33"/>
  <c r="L46" i="33"/>
  <c r="H46" i="33"/>
  <c r="U45" i="33"/>
  <c r="T45" i="33"/>
  <c r="Q45" i="33"/>
  <c r="P45" i="33"/>
  <c r="L45" i="33"/>
  <c r="H45" i="33"/>
  <c r="U44" i="33"/>
  <c r="T44" i="33"/>
  <c r="Q44" i="33"/>
  <c r="P44" i="33"/>
  <c r="L44" i="33"/>
  <c r="H44" i="33"/>
  <c r="U43" i="33"/>
  <c r="T43" i="33"/>
  <c r="Q43" i="33"/>
  <c r="P43" i="33"/>
  <c r="L43" i="33"/>
  <c r="H43" i="33"/>
  <c r="U42" i="33"/>
  <c r="T42" i="33"/>
  <c r="Q42" i="33"/>
  <c r="P42" i="33"/>
  <c r="L42" i="33"/>
  <c r="H42" i="33"/>
  <c r="U41" i="33"/>
  <c r="T41" i="33"/>
  <c r="Q41" i="33"/>
  <c r="P41" i="33"/>
  <c r="L41" i="33"/>
  <c r="H41" i="33"/>
  <c r="U40" i="33"/>
  <c r="T40" i="33"/>
  <c r="Q40" i="33"/>
  <c r="P40" i="33"/>
  <c r="L40" i="33"/>
  <c r="H40" i="33"/>
  <c r="U39" i="33"/>
  <c r="T39" i="33"/>
  <c r="Q39" i="33"/>
  <c r="P39" i="33"/>
  <c r="L39" i="33"/>
  <c r="H39" i="33"/>
  <c r="U38" i="33"/>
  <c r="T38" i="33"/>
  <c r="Q38" i="33"/>
  <c r="P38" i="33"/>
  <c r="L38" i="33"/>
  <c r="H38" i="33"/>
  <c r="U37" i="33"/>
  <c r="T37" i="33"/>
  <c r="Q37" i="33"/>
  <c r="P37" i="33"/>
  <c r="L37" i="33"/>
  <c r="H37" i="33"/>
  <c r="U36" i="33"/>
  <c r="T36" i="33"/>
  <c r="Q36" i="33"/>
  <c r="P36" i="33"/>
  <c r="M36" i="33"/>
  <c r="L36" i="33"/>
  <c r="H36" i="33"/>
  <c r="T35" i="33"/>
  <c r="P35" i="33"/>
  <c r="L35" i="33"/>
  <c r="H35" i="33"/>
  <c r="U33" i="33"/>
  <c r="T33" i="33"/>
  <c r="Q33" i="33"/>
  <c r="P33" i="33"/>
  <c r="L33" i="33"/>
  <c r="H33" i="33"/>
  <c r="U32" i="33"/>
  <c r="T32" i="33"/>
  <c r="P32" i="33"/>
  <c r="L32" i="33"/>
  <c r="H32" i="33"/>
  <c r="U31" i="33"/>
  <c r="T31" i="33"/>
  <c r="P31" i="33"/>
  <c r="L31" i="33"/>
  <c r="H31" i="33"/>
  <c r="U30" i="33"/>
  <c r="T30" i="33"/>
  <c r="Q30" i="33"/>
  <c r="P30" i="33"/>
  <c r="M30" i="33"/>
  <c r="L30" i="33"/>
  <c r="H30" i="33"/>
  <c r="U29" i="33"/>
  <c r="T29" i="33"/>
  <c r="Q29" i="33"/>
  <c r="P29" i="33"/>
  <c r="M29" i="33"/>
  <c r="L29" i="33"/>
  <c r="H29" i="33"/>
  <c r="U28" i="33"/>
  <c r="T28" i="33"/>
  <c r="Q28" i="33"/>
  <c r="P28" i="33"/>
  <c r="M28" i="33"/>
  <c r="L28" i="33"/>
  <c r="H28" i="33"/>
  <c r="U27" i="33"/>
  <c r="T27" i="33"/>
  <c r="P27" i="33"/>
  <c r="L27" i="33"/>
  <c r="H27" i="33"/>
  <c r="U26" i="33"/>
  <c r="T26" i="33"/>
  <c r="Q26" i="33"/>
  <c r="P26" i="33"/>
  <c r="M26" i="33"/>
  <c r="L26" i="33"/>
  <c r="H26" i="33"/>
  <c r="U25" i="33"/>
  <c r="T25" i="33"/>
  <c r="Q25" i="33"/>
  <c r="P25" i="33"/>
  <c r="M25" i="33"/>
  <c r="L25" i="33"/>
  <c r="H25" i="33"/>
  <c r="U17" i="33"/>
  <c r="T17" i="33"/>
  <c r="Q17" i="33"/>
  <c r="P17" i="33"/>
  <c r="M17" i="33"/>
  <c r="L17" i="33"/>
  <c r="H17" i="33"/>
  <c r="U16" i="33"/>
  <c r="T16" i="33"/>
  <c r="Q16" i="33"/>
  <c r="P16" i="33"/>
  <c r="M16" i="33"/>
  <c r="L16" i="33"/>
  <c r="H16" i="33"/>
  <c r="U15" i="33"/>
  <c r="T15" i="33"/>
  <c r="Q15" i="33"/>
  <c r="P15" i="33"/>
  <c r="M15" i="33"/>
  <c r="L15" i="33"/>
  <c r="H15" i="33"/>
  <c r="U14" i="33"/>
  <c r="T14" i="33"/>
  <c r="Q14" i="33"/>
  <c r="P14" i="33"/>
  <c r="M14" i="33"/>
  <c r="L14" i="33"/>
  <c r="H14" i="33"/>
  <c r="U13" i="33"/>
  <c r="T13" i="33"/>
  <c r="Q13" i="33"/>
  <c r="P13" i="33"/>
  <c r="M13" i="33"/>
  <c r="L13" i="33"/>
  <c r="H13" i="33"/>
  <c r="U12" i="33"/>
  <c r="T12" i="33"/>
  <c r="Q12" i="33"/>
  <c r="P12" i="33"/>
  <c r="M12" i="33"/>
  <c r="L12" i="33"/>
  <c r="H12" i="33"/>
  <c r="U10" i="33"/>
  <c r="T10" i="33"/>
  <c r="Q10" i="33"/>
  <c r="P10" i="33"/>
  <c r="M10" i="33"/>
  <c r="L10" i="33"/>
  <c r="H10" i="33"/>
  <c r="U9" i="33"/>
  <c r="T9" i="33"/>
  <c r="Q9" i="33"/>
  <c r="P9" i="33"/>
  <c r="L9" i="33"/>
  <c r="H9" i="33"/>
  <c r="U8" i="33"/>
  <c r="T8" i="33"/>
  <c r="Q8" i="33"/>
  <c r="P8" i="33"/>
  <c r="M8" i="33"/>
  <c r="L8" i="33"/>
  <c r="H8" i="33"/>
  <c r="U7" i="33"/>
  <c r="T7" i="33"/>
  <c r="Q7" i="33"/>
  <c r="P7" i="33"/>
  <c r="L7" i="33"/>
  <c r="H7" i="33"/>
  <c r="U6" i="33"/>
  <c r="T6" i="33"/>
  <c r="Q6" i="33"/>
  <c r="P6" i="33"/>
  <c r="M6" i="33"/>
  <c r="L6" i="33"/>
  <c r="H6" i="33"/>
  <c r="U5" i="33"/>
  <c r="T5" i="33"/>
  <c r="Q5" i="33"/>
  <c r="P5" i="33"/>
  <c r="L5" i="33"/>
  <c r="H5" i="33"/>
  <c r="U4" i="33"/>
  <c r="T4" i="33"/>
  <c r="Q4" i="33"/>
  <c r="P4" i="33"/>
  <c r="M4" i="33"/>
  <c r="L4" i="33"/>
  <c r="H4" i="33"/>
  <c r="E538" i="33" l="1"/>
  <c r="E539" i="33"/>
  <c r="E557" i="33"/>
  <c r="E558" i="33"/>
  <c r="E553" i="33"/>
  <c r="F553" i="33" s="1"/>
  <c r="E554" i="33"/>
  <c r="F554" i="33" s="1"/>
  <c r="E555" i="33"/>
  <c r="F555" i="33" s="1"/>
  <c r="E256" i="33"/>
  <c r="E429" i="33"/>
  <c r="I365" i="33"/>
  <c r="I253" i="33"/>
  <c r="E253" i="33" s="1"/>
  <c r="I250" i="33"/>
  <c r="E250" i="33" s="1"/>
  <c r="I251" i="33"/>
  <c r="E251" i="33" s="1"/>
  <c r="F250" i="33" l="1"/>
  <c r="C249" i="34"/>
  <c r="J249" i="34" s="1"/>
  <c r="D249" i="34"/>
  <c r="F429" i="33"/>
  <c r="C387" i="34"/>
  <c r="J387" i="34" s="1"/>
  <c r="D387" i="34"/>
  <c r="F558" i="33"/>
  <c r="D495" i="34"/>
  <c r="C495" i="34"/>
  <c r="J495" i="34" s="1"/>
  <c r="F253" i="33"/>
  <c r="C252" i="34"/>
  <c r="D252" i="34"/>
  <c r="F256" i="33"/>
  <c r="C255" i="34"/>
  <c r="J255" i="34" s="1"/>
  <c r="D255" i="34"/>
  <c r="F557" i="33"/>
  <c r="C494" i="34"/>
  <c r="J494" i="34" s="1"/>
  <c r="D494" i="34"/>
  <c r="F251" i="33"/>
  <c r="C250" i="34"/>
  <c r="D250" i="34"/>
  <c r="F539" i="33"/>
  <c r="D482" i="34"/>
  <c r="C482" i="34"/>
  <c r="J482" i="34" s="1"/>
  <c r="F538" i="33"/>
  <c r="C481" i="34"/>
  <c r="J481" i="34" s="1"/>
  <c r="D481" i="34"/>
  <c r="J470" i="34"/>
  <c r="Q537" i="33"/>
  <c r="I330" i="33"/>
  <c r="I263" i="33"/>
  <c r="E263" i="33" s="1"/>
  <c r="I257" i="33"/>
  <c r="E257" i="33" s="1"/>
  <c r="I261" i="33"/>
  <c r="E261" i="33" s="1"/>
  <c r="I259" i="33"/>
  <c r="E259" i="33" s="1"/>
  <c r="I249" i="33"/>
  <c r="E249" i="33" s="1"/>
  <c r="I262" i="33"/>
  <c r="E262" i="33" s="1"/>
  <c r="I255" i="33"/>
  <c r="E255" i="33" s="1"/>
  <c r="F261" i="33" l="1"/>
  <c r="C260" i="34"/>
  <c r="J260" i="34" s="1"/>
  <c r="D260" i="34"/>
  <c r="F262" i="33"/>
  <c r="C261" i="34"/>
  <c r="D261" i="34"/>
  <c r="F257" i="33"/>
  <c r="C256" i="34"/>
  <c r="D256" i="34"/>
  <c r="F255" i="33"/>
  <c r="C254" i="34"/>
  <c r="J254" i="34" s="1"/>
  <c r="D254" i="34"/>
  <c r="F263" i="33"/>
  <c r="C262" i="34"/>
  <c r="J262" i="34" s="1"/>
  <c r="D262" i="34"/>
  <c r="F249" i="33"/>
  <c r="C248" i="34"/>
  <c r="D248" i="34"/>
  <c r="F259" i="33"/>
  <c r="C258" i="34"/>
  <c r="J258" i="34" s="1"/>
  <c r="D258" i="34"/>
  <c r="J252" i="34"/>
  <c r="J250" i="34"/>
  <c r="A4" i="10"/>
  <c r="J248" i="34" l="1"/>
  <c r="J256" i="34"/>
  <c r="J261" i="34"/>
  <c r="D27" i="1"/>
  <c r="D25" i="1"/>
  <c r="E24" i="1"/>
  <c r="D22" i="1"/>
  <c r="E22" i="1" s="1"/>
  <c r="F22" i="1" s="1"/>
  <c r="G22" i="1" s="1"/>
  <c r="D21" i="1"/>
  <c r="E21" i="1" s="1"/>
  <c r="F21" i="1" s="1"/>
  <c r="G21" i="1" s="1"/>
  <c r="D20" i="1"/>
  <c r="E20" i="1" s="1"/>
  <c r="F20" i="1" s="1"/>
  <c r="G20" i="1" s="1"/>
  <c r="D19" i="1"/>
  <c r="E19" i="1" s="1"/>
  <c r="F19" i="1" s="1"/>
  <c r="G19" i="1" s="1"/>
  <c r="D18" i="1"/>
  <c r="E18" i="1" s="1"/>
  <c r="F18" i="1" s="1"/>
  <c r="G18" i="1" s="1"/>
  <c r="C49" i="1"/>
  <c r="C50" i="1" s="1"/>
  <c r="D39" i="1"/>
  <c r="E39" i="1" s="1"/>
  <c r="F39" i="1" s="1"/>
  <c r="G39" i="1" s="1"/>
  <c r="E27" i="1" l="1"/>
  <c r="E60" i="10"/>
  <c r="Q60" i="10"/>
  <c r="A60" i="10"/>
  <c r="M60" i="10"/>
  <c r="I60" i="10"/>
  <c r="E25" i="1"/>
  <c r="F25" i="1" s="1"/>
  <c r="G25" i="1" s="1"/>
  <c r="F24" i="1"/>
  <c r="E47" i="1"/>
  <c r="A25" i="4"/>
  <c r="A26" i="4"/>
  <c r="E23" i="1"/>
  <c r="F23" i="1" s="1"/>
  <c r="E28" i="1"/>
  <c r="F27" i="1"/>
  <c r="G27" i="1" s="1"/>
  <c r="D28" i="1"/>
  <c r="G24" i="1" l="1"/>
  <c r="F47" i="1"/>
  <c r="G23" i="1"/>
  <c r="G47" i="1" s="1"/>
  <c r="G28" i="1"/>
  <c r="F28" i="1"/>
  <c r="C4" i="32"/>
  <c r="B17" i="32"/>
  <c r="B18" i="32" s="1"/>
  <c r="D21" i="34" s="1"/>
  <c r="C21" i="34" s="1"/>
  <c r="G69" i="1" l="1"/>
  <c r="F2" i="1"/>
  <c r="D2" i="1"/>
  <c r="N5" i="32" s="1"/>
  <c r="T2" i="36" s="1"/>
  <c r="C5" i="32"/>
  <c r="E45" i="32"/>
  <c r="G45" i="32" s="1"/>
  <c r="E307" i="33"/>
  <c r="F307" i="33" s="1"/>
  <c r="J21" i="34"/>
  <c r="F4" i="1"/>
  <c r="F3" i="1"/>
  <c r="F5" i="1"/>
  <c r="B19" i="32"/>
  <c r="B3" i="1"/>
  <c r="B4" i="1"/>
  <c r="H75" i="1"/>
  <c r="C2" i="31"/>
  <c r="C2" i="28"/>
  <c r="C2" i="29"/>
  <c r="C2" i="27"/>
  <c r="C2" i="26"/>
  <c r="C2" i="25"/>
  <c r="C2" i="24"/>
  <c r="C2" i="23"/>
  <c r="C2" i="22"/>
  <c r="C2" i="21"/>
  <c r="C2" i="20"/>
  <c r="C2" i="19"/>
  <c r="C2" i="18"/>
  <c r="C2" i="17"/>
  <c r="C2" i="16"/>
  <c r="C2" i="15"/>
  <c r="C2" i="14"/>
  <c r="C2" i="13"/>
  <c r="C2" i="12"/>
  <c r="C2" i="10"/>
  <c r="C2" i="9"/>
  <c r="C2" i="7"/>
  <c r="C2" i="6"/>
  <c r="X8" i="31" l="1"/>
  <c r="Y7" i="31"/>
  <c r="Z6" i="31"/>
  <c r="V6" i="31"/>
  <c r="W5" i="31"/>
  <c r="X4" i="31"/>
  <c r="M72" i="31"/>
  <c r="W8" i="31"/>
  <c r="X7" i="31"/>
  <c r="Y6" i="31"/>
  <c r="Z5" i="31"/>
  <c r="V5" i="31"/>
  <c r="W4" i="31"/>
  <c r="I72" i="31"/>
  <c r="Z8" i="31"/>
  <c r="V8" i="31"/>
  <c r="W7" i="31"/>
  <c r="X6" i="31"/>
  <c r="Y5" i="31"/>
  <c r="Z4" i="31"/>
  <c r="V4" i="31"/>
  <c r="E72" i="31"/>
  <c r="Y8" i="31"/>
  <c r="Z7" i="31"/>
  <c r="V7" i="31"/>
  <c r="W6" i="31"/>
  <c r="X5" i="31"/>
  <c r="Y4" i="31"/>
  <c r="Q72" i="31"/>
  <c r="A72" i="31"/>
  <c r="X8" i="29"/>
  <c r="Y7" i="29"/>
  <c r="Z6" i="29"/>
  <c r="V6" i="29"/>
  <c r="W5" i="29"/>
  <c r="X4" i="29"/>
  <c r="M72" i="29"/>
  <c r="I72" i="29"/>
  <c r="W8" i="29"/>
  <c r="X7" i="29"/>
  <c r="Y6" i="29"/>
  <c r="Z5" i="29"/>
  <c r="V5" i="29"/>
  <c r="W4" i="29"/>
  <c r="Z8" i="29"/>
  <c r="V8" i="29"/>
  <c r="W7" i="29"/>
  <c r="X6" i="29"/>
  <c r="Y5" i="29"/>
  <c r="Z4" i="29"/>
  <c r="V4" i="29"/>
  <c r="E72" i="29"/>
  <c r="Y8" i="29"/>
  <c r="Z7" i="29"/>
  <c r="V7" i="29"/>
  <c r="W6" i="29"/>
  <c r="X5" i="29"/>
  <c r="Y4" i="29"/>
  <c r="Q72" i="29"/>
  <c r="A72" i="29"/>
  <c r="Z8" i="28"/>
  <c r="V8" i="28"/>
  <c r="W7" i="28"/>
  <c r="X6" i="28"/>
  <c r="Y5" i="28"/>
  <c r="Z4" i="28"/>
  <c r="V4" i="28"/>
  <c r="E72" i="28"/>
  <c r="Q72" i="28"/>
  <c r="V5" i="28"/>
  <c r="Y8" i="28"/>
  <c r="Z7" i="28"/>
  <c r="V7" i="28"/>
  <c r="W6" i="28"/>
  <c r="X5" i="28"/>
  <c r="Y4" i="28"/>
  <c r="A72" i="28"/>
  <c r="X8" i="28"/>
  <c r="Y7" i="28"/>
  <c r="Z6" i="28"/>
  <c r="V6" i="28"/>
  <c r="W5" i="28"/>
  <c r="X4" i="28"/>
  <c r="M72" i="28"/>
  <c r="W8" i="28"/>
  <c r="X7" i="28"/>
  <c r="Y6" i="28"/>
  <c r="Z5" i="28"/>
  <c r="W4" i="28"/>
  <c r="I72" i="28"/>
  <c r="X8" i="27"/>
  <c r="Y7" i="27"/>
  <c r="Z6" i="27"/>
  <c r="V6" i="27"/>
  <c r="W5" i="27"/>
  <c r="X4" i="27"/>
  <c r="M72" i="27"/>
  <c r="Z8" i="27"/>
  <c r="W7" i="27"/>
  <c r="Y5" i="27"/>
  <c r="Z4" i="27"/>
  <c r="Z7" i="27"/>
  <c r="W6" i="27"/>
  <c r="Y4" i="27"/>
  <c r="Q72" i="27"/>
  <c r="W8" i="27"/>
  <c r="X7" i="27"/>
  <c r="Y6" i="27"/>
  <c r="Z5" i="27"/>
  <c r="V5" i="27"/>
  <c r="W4" i="27"/>
  <c r="I72" i="27"/>
  <c r="V8" i="27"/>
  <c r="X6" i="27"/>
  <c r="V4" i="27"/>
  <c r="E72" i="27"/>
  <c r="Y8" i="27"/>
  <c r="V7" i="27"/>
  <c r="X5" i="27"/>
  <c r="A72" i="27"/>
  <c r="E73" i="26"/>
  <c r="M73" i="26"/>
  <c r="Q73" i="26"/>
  <c r="A73" i="26"/>
  <c r="I73" i="26"/>
  <c r="W8" i="25"/>
  <c r="X7" i="25"/>
  <c r="Y6" i="25"/>
  <c r="Z5" i="25"/>
  <c r="V5" i="25"/>
  <c r="W4" i="25"/>
  <c r="M72" i="25"/>
  <c r="Z8" i="25"/>
  <c r="V8" i="25"/>
  <c r="W7" i="25"/>
  <c r="X6" i="25"/>
  <c r="Y5" i="25"/>
  <c r="Z4" i="25"/>
  <c r="V4" i="25"/>
  <c r="I72" i="25"/>
  <c r="Y8" i="25"/>
  <c r="Z7" i="25"/>
  <c r="V7" i="25"/>
  <c r="W6" i="25"/>
  <c r="X5" i="25"/>
  <c r="Y4" i="25"/>
  <c r="E72" i="25"/>
  <c r="X8" i="25"/>
  <c r="Y7" i="25"/>
  <c r="Z6" i="25"/>
  <c r="V6" i="25"/>
  <c r="W5" i="25"/>
  <c r="X4" i="25"/>
  <c r="Q72" i="25"/>
  <c r="A72" i="25"/>
  <c r="Z8" i="24"/>
  <c r="V8" i="24"/>
  <c r="W7" i="24"/>
  <c r="X6" i="24"/>
  <c r="Y5" i="24"/>
  <c r="Z4" i="24"/>
  <c r="V4" i="24"/>
  <c r="E72" i="24"/>
  <c r="Q72" i="24"/>
  <c r="A72" i="24"/>
  <c r="X8" i="24"/>
  <c r="Y7" i="24"/>
  <c r="Z6" i="24"/>
  <c r="V6" i="24"/>
  <c r="W5" i="24"/>
  <c r="X4" i="24"/>
  <c r="M72" i="24"/>
  <c r="W8" i="24"/>
  <c r="X7" i="24"/>
  <c r="Y6" i="24"/>
  <c r="Z5" i="24"/>
  <c r="V5" i="24"/>
  <c r="W4" i="24"/>
  <c r="I72" i="24"/>
  <c r="Y8" i="24"/>
  <c r="Z7" i="24"/>
  <c r="V7" i="24"/>
  <c r="W6" i="24"/>
  <c r="X5" i="24"/>
  <c r="Y4" i="24"/>
  <c r="Y8" i="23"/>
  <c r="Z7" i="23"/>
  <c r="V7" i="23"/>
  <c r="W6" i="23"/>
  <c r="X5" i="23"/>
  <c r="Y4" i="23"/>
  <c r="M72" i="23"/>
  <c r="I72" i="23"/>
  <c r="E72" i="23"/>
  <c r="X8" i="23"/>
  <c r="Y7" i="23"/>
  <c r="Z6" i="23"/>
  <c r="V6" i="23"/>
  <c r="W5" i="23"/>
  <c r="X4" i="23"/>
  <c r="W8" i="23"/>
  <c r="X7" i="23"/>
  <c r="Y6" i="23"/>
  <c r="Z5" i="23"/>
  <c r="V5" i="23"/>
  <c r="W4" i="23"/>
  <c r="Z8" i="23"/>
  <c r="V8" i="23"/>
  <c r="W7" i="23"/>
  <c r="X6" i="23"/>
  <c r="Y5" i="23"/>
  <c r="Z4" i="23"/>
  <c r="V4" i="23"/>
  <c r="Q72" i="23"/>
  <c r="A72" i="23"/>
  <c r="X8" i="22"/>
  <c r="Y7" i="22"/>
  <c r="Z6" i="22"/>
  <c r="V6" i="22"/>
  <c r="W5" i="22"/>
  <c r="X4" i="22"/>
  <c r="E72" i="22"/>
  <c r="Q72" i="22"/>
  <c r="A72" i="22"/>
  <c r="W8" i="22"/>
  <c r="X7" i="22"/>
  <c r="Y6" i="22"/>
  <c r="Z5" i="22"/>
  <c r="V5" i="22"/>
  <c r="W4" i="22"/>
  <c r="Z8" i="22"/>
  <c r="V8" i="22"/>
  <c r="W7" i="22"/>
  <c r="X6" i="22"/>
  <c r="Y5" i="22"/>
  <c r="Z4" i="22"/>
  <c r="V4" i="22"/>
  <c r="M72" i="22"/>
  <c r="Y8" i="22"/>
  <c r="Z7" i="22"/>
  <c r="V7" i="22"/>
  <c r="W6" i="22"/>
  <c r="X5" i="22"/>
  <c r="Y4" i="22"/>
  <c r="I72" i="22"/>
  <c r="Q73" i="21"/>
  <c r="A73" i="21"/>
  <c r="I73" i="21"/>
  <c r="M73" i="21"/>
  <c r="E73" i="21"/>
  <c r="X8" i="20"/>
  <c r="Y7" i="20"/>
  <c r="Z6" i="20"/>
  <c r="V6" i="20"/>
  <c r="W5" i="20"/>
  <c r="X4" i="20"/>
  <c r="I72" i="20"/>
  <c r="X7" i="20"/>
  <c r="Y6" i="20"/>
  <c r="Z5" i="20"/>
  <c r="V5" i="20"/>
  <c r="W4" i="20"/>
  <c r="E72" i="20"/>
  <c r="M72" i="20"/>
  <c r="W8" i="20"/>
  <c r="Z8" i="20"/>
  <c r="V8" i="20"/>
  <c r="W7" i="20"/>
  <c r="X6" i="20"/>
  <c r="Y5" i="20"/>
  <c r="Z4" i="20"/>
  <c r="V4" i="20"/>
  <c r="Q72" i="20"/>
  <c r="A72" i="20"/>
  <c r="Y8" i="20"/>
  <c r="Z7" i="20"/>
  <c r="V7" i="20"/>
  <c r="W6" i="20"/>
  <c r="X5" i="20"/>
  <c r="Y4" i="20"/>
  <c r="W8" i="19"/>
  <c r="X7" i="19"/>
  <c r="Y6" i="19"/>
  <c r="Z5" i="19"/>
  <c r="V5" i="19"/>
  <c r="W4" i="19"/>
  <c r="M72" i="19"/>
  <c r="Z8" i="19"/>
  <c r="V8" i="19"/>
  <c r="W7" i="19"/>
  <c r="X6" i="19"/>
  <c r="Y5" i="19"/>
  <c r="Z4" i="19"/>
  <c r="V4" i="19"/>
  <c r="I72" i="19"/>
  <c r="Y8" i="19"/>
  <c r="Z7" i="19"/>
  <c r="V7" i="19"/>
  <c r="W6" i="19"/>
  <c r="X5" i="19"/>
  <c r="Y4" i="19"/>
  <c r="E72" i="19"/>
  <c r="X8" i="19"/>
  <c r="Y7" i="19"/>
  <c r="Z6" i="19"/>
  <c r="V6" i="19"/>
  <c r="W5" i="19"/>
  <c r="X4" i="19"/>
  <c r="Q72" i="19"/>
  <c r="A72" i="19"/>
  <c r="X8" i="18"/>
  <c r="Y7" i="18"/>
  <c r="Z6" i="18"/>
  <c r="V6" i="18"/>
  <c r="W5" i="18"/>
  <c r="X4" i="18"/>
  <c r="W8" i="18"/>
  <c r="X7" i="18"/>
  <c r="Y6" i="18"/>
  <c r="Z5" i="18"/>
  <c r="V5" i="18"/>
  <c r="W4" i="18"/>
  <c r="Z7" i="18"/>
  <c r="W6" i="18"/>
  <c r="X5" i="18"/>
  <c r="Z8" i="18"/>
  <c r="V8" i="18"/>
  <c r="W7" i="18"/>
  <c r="X6" i="18"/>
  <c r="Y5" i="18"/>
  <c r="Z4" i="18"/>
  <c r="V4" i="18"/>
  <c r="Y8" i="18"/>
  <c r="V7" i="18"/>
  <c r="Y4" i="18"/>
  <c r="X8" i="17"/>
  <c r="Y7" i="17"/>
  <c r="Z6" i="17"/>
  <c r="V6" i="17"/>
  <c r="W5" i="17"/>
  <c r="X4" i="17"/>
  <c r="M72" i="17"/>
  <c r="E72" i="17"/>
  <c r="Q72" i="17"/>
  <c r="W8" i="17"/>
  <c r="X7" i="17"/>
  <c r="Y6" i="17"/>
  <c r="Z5" i="17"/>
  <c r="V5" i="17"/>
  <c r="W4" i="17"/>
  <c r="I72" i="17"/>
  <c r="Z8" i="17"/>
  <c r="V8" i="17"/>
  <c r="W7" i="17"/>
  <c r="X6" i="17"/>
  <c r="Y5" i="17"/>
  <c r="Z4" i="17"/>
  <c r="V4" i="17"/>
  <c r="Y8" i="17"/>
  <c r="Z7" i="17"/>
  <c r="V7" i="17"/>
  <c r="W6" i="17"/>
  <c r="X5" i="17"/>
  <c r="Y4" i="17"/>
  <c r="A72" i="17"/>
  <c r="A73" i="16"/>
  <c r="Y8" i="15"/>
  <c r="Z7" i="15"/>
  <c r="V7" i="15"/>
  <c r="W6" i="15"/>
  <c r="X5" i="15"/>
  <c r="Y4" i="15"/>
  <c r="Q52" i="15"/>
  <c r="A52" i="15"/>
  <c r="X6" i="15"/>
  <c r="Z4" i="15"/>
  <c r="E52" i="15"/>
  <c r="X8" i="15"/>
  <c r="Y7" i="15"/>
  <c r="Z6" i="15"/>
  <c r="V6" i="15"/>
  <c r="W5" i="15"/>
  <c r="X4" i="15"/>
  <c r="M52" i="15"/>
  <c r="W8" i="15"/>
  <c r="X7" i="15"/>
  <c r="Y6" i="15"/>
  <c r="Z5" i="15"/>
  <c r="V5" i="15"/>
  <c r="W4" i="15"/>
  <c r="I52" i="15"/>
  <c r="Z8" i="15"/>
  <c r="V8" i="15"/>
  <c r="W7" i="15"/>
  <c r="Y5" i="15"/>
  <c r="V4" i="15"/>
  <c r="Z8" i="14"/>
  <c r="V8" i="14"/>
  <c r="W7" i="14"/>
  <c r="X6" i="14"/>
  <c r="Y5" i="14"/>
  <c r="Z4" i="14"/>
  <c r="V4" i="14"/>
  <c r="I52" i="14"/>
  <c r="Q52" i="14"/>
  <c r="A52" i="14"/>
  <c r="Y8" i="14"/>
  <c r="Z7" i="14"/>
  <c r="V7" i="14"/>
  <c r="W6" i="14"/>
  <c r="X5" i="14"/>
  <c r="Y4" i="14"/>
  <c r="E52" i="14"/>
  <c r="M52" i="14"/>
  <c r="X8" i="14"/>
  <c r="Y7" i="14"/>
  <c r="Z6" i="14"/>
  <c r="V6" i="14"/>
  <c r="W5" i="14"/>
  <c r="X4" i="14"/>
  <c r="W8" i="14"/>
  <c r="X7" i="14"/>
  <c r="Y6" i="14"/>
  <c r="Z5" i="14"/>
  <c r="V5" i="14"/>
  <c r="W4" i="14"/>
  <c r="W8" i="13"/>
  <c r="X7" i="13"/>
  <c r="Y6" i="13"/>
  <c r="Z5" i="13"/>
  <c r="V5" i="13"/>
  <c r="W4" i="13"/>
  <c r="Q52" i="13"/>
  <c r="A52" i="13"/>
  <c r="V8" i="13"/>
  <c r="X6" i="13"/>
  <c r="V4" i="13"/>
  <c r="Z8" i="13"/>
  <c r="Y8" i="13"/>
  <c r="Z7" i="13"/>
  <c r="V7" i="13"/>
  <c r="W6" i="13"/>
  <c r="X5" i="13"/>
  <c r="Y4" i="13"/>
  <c r="I52" i="13"/>
  <c r="E52" i="13"/>
  <c r="W7" i="13"/>
  <c r="Y5" i="13"/>
  <c r="Z4" i="13"/>
  <c r="M52" i="13"/>
  <c r="X8" i="13"/>
  <c r="Y7" i="13"/>
  <c r="Z6" i="13"/>
  <c r="V6" i="13"/>
  <c r="W5" i="13"/>
  <c r="X4" i="13"/>
  <c r="X8" i="12"/>
  <c r="W8" i="12"/>
  <c r="Z8" i="12"/>
  <c r="V8" i="12"/>
  <c r="W7" i="12"/>
  <c r="X6" i="12"/>
  <c r="Y5" i="12"/>
  <c r="Z4" i="12"/>
  <c r="V4" i="12"/>
  <c r="I52" i="12"/>
  <c r="Y8" i="12"/>
  <c r="Z7" i="12"/>
  <c r="V7" i="12"/>
  <c r="W6" i="12"/>
  <c r="X5" i="12"/>
  <c r="Y4" i="12"/>
  <c r="E52" i="12"/>
  <c r="Y7" i="12"/>
  <c r="Z6" i="12"/>
  <c r="V6" i="12"/>
  <c r="W5" i="12"/>
  <c r="X4" i="12"/>
  <c r="Q52" i="12"/>
  <c r="A52" i="12"/>
  <c r="X7" i="12"/>
  <c r="Y6" i="12"/>
  <c r="Z5" i="12"/>
  <c r="V5" i="12"/>
  <c r="W4" i="12"/>
  <c r="M52" i="12"/>
  <c r="A72" i="18"/>
  <c r="E72" i="18"/>
  <c r="D20" i="34"/>
  <c r="C20" i="34" s="1"/>
  <c r="B20" i="32"/>
  <c r="B6" i="1" s="1"/>
  <c r="E329" i="33"/>
  <c r="F329" i="33" s="1"/>
  <c r="E514" i="33"/>
  <c r="A67" i="26"/>
  <c r="A67" i="27"/>
  <c r="A67" i="21"/>
  <c r="A67" i="22"/>
  <c r="A67" i="17"/>
  <c r="A67" i="16"/>
  <c r="A48" i="10"/>
  <c r="A47" i="12"/>
  <c r="M302" i="33"/>
  <c r="M381" i="33"/>
  <c r="I556" i="33"/>
  <c r="I36" i="33"/>
  <c r="E36" i="33" s="1"/>
  <c r="C6" i="32"/>
  <c r="E46" i="32"/>
  <c r="G46" i="32" s="1"/>
  <c r="E408" i="33" s="1"/>
  <c r="K43" i="36" s="1"/>
  <c r="E47" i="32"/>
  <c r="G47" i="32" s="1"/>
  <c r="E331" i="33" s="1"/>
  <c r="E308" i="33"/>
  <c r="F308" i="33" s="1"/>
  <c r="J20" i="34"/>
  <c r="G4" i="1"/>
  <c r="G3" i="1"/>
  <c r="G2" i="1"/>
  <c r="D3" i="1"/>
  <c r="G5" i="1"/>
  <c r="A66" i="27"/>
  <c r="D81" i="34"/>
  <c r="C81" i="34" s="1"/>
  <c r="H4" i="1"/>
  <c r="H3" i="1"/>
  <c r="D4" i="1"/>
  <c r="H2" i="1"/>
  <c r="H5" i="1"/>
  <c r="B5" i="1"/>
  <c r="F514" i="33" l="1"/>
  <c r="M448" i="33"/>
  <c r="I515" i="33"/>
  <c r="F331" i="33"/>
  <c r="M511" i="33"/>
  <c r="M507" i="33"/>
  <c r="M503" i="33"/>
  <c r="M499" i="33"/>
  <c r="M495" i="33"/>
  <c r="M491" i="33"/>
  <c r="M487" i="33"/>
  <c r="M483" i="33"/>
  <c r="M512" i="33"/>
  <c r="M508" i="33"/>
  <c r="M504" i="33"/>
  <c r="M500" i="33"/>
  <c r="M496" i="33"/>
  <c r="M492" i="33"/>
  <c r="M488" i="33"/>
  <c r="M484" i="33"/>
  <c r="M509" i="33"/>
  <c r="M505" i="33"/>
  <c r="M501" i="33"/>
  <c r="M497" i="33"/>
  <c r="M493" i="33"/>
  <c r="M489" i="33"/>
  <c r="M485" i="33"/>
  <c r="M481" i="33"/>
  <c r="M510" i="33"/>
  <c r="M506" i="33"/>
  <c r="M502" i="33"/>
  <c r="M498" i="33"/>
  <c r="M494" i="33"/>
  <c r="M490" i="33"/>
  <c r="M486" i="33"/>
  <c r="M482" i="33"/>
  <c r="F36" i="33"/>
  <c r="D37" i="34"/>
  <c r="C37" i="34"/>
  <c r="J37" i="34" s="1"/>
  <c r="I392" i="33"/>
  <c r="E392" i="33" s="1"/>
  <c r="I407" i="33"/>
  <c r="E407" i="33" s="1"/>
  <c r="I395" i="33"/>
  <c r="E395" i="33" s="1"/>
  <c r="E75" i="32"/>
  <c r="I396" i="33"/>
  <c r="E396" i="33" s="1"/>
  <c r="F408" i="33"/>
  <c r="M411" i="33"/>
  <c r="I50" i="33"/>
  <c r="I46" i="33"/>
  <c r="I41" i="33"/>
  <c r="I37" i="33"/>
  <c r="I49" i="33"/>
  <c r="I43" i="33"/>
  <c r="I51" i="33"/>
  <c r="I47" i="33"/>
  <c r="I42" i="33"/>
  <c r="I38" i="33"/>
  <c r="M358" i="33"/>
  <c r="I40" i="33"/>
  <c r="I206" i="33"/>
  <c r="E206" i="33" s="1"/>
  <c r="I48" i="33"/>
  <c r="I44" i="33"/>
  <c r="I39" i="33"/>
  <c r="I45" i="33"/>
  <c r="M523" i="33"/>
  <c r="I75" i="33"/>
  <c r="I537" i="33"/>
  <c r="C7" i="32"/>
  <c r="E49" i="32"/>
  <c r="G49" i="32" s="1"/>
  <c r="E48" i="32"/>
  <c r="G48" i="32" s="1"/>
  <c r="E440" i="33" s="1"/>
  <c r="E50" i="32"/>
  <c r="G50" i="32" s="1"/>
  <c r="E376" i="33" s="1"/>
  <c r="F376" i="33" s="1"/>
  <c r="E306" i="33"/>
  <c r="J81" i="34"/>
  <c r="J2" i="1"/>
  <c r="I152" i="33"/>
  <c r="E152" i="33" s="1"/>
  <c r="I382" i="33"/>
  <c r="I354" i="33"/>
  <c r="E354" i="33" s="1"/>
  <c r="I351" i="33"/>
  <c r="E351" i="33" s="1"/>
  <c r="I353" i="33"/>
  <c r="E353" i="33" s="1"/>
  <c r="I327" i="33"/>
  <c r="I335" i="33"/>
  <c r="I326" i="33"/>
  <c r="I325" i="33"/>
  <c r="I328" i="33"/>
  <c r="I64" i="33"/>
  <c r="E64" i="33" s="1"/>
  <c r="I31" i="33"/>
  <c r="I4" i="1"/>
  <c r="D5" i="1"/>
  <c r="I3" i="1"/>
  <c r="I2" i="1"/>
  <c r="I5" i="1"/>
  <c r="A5" i="31"/>
  <c r="E5" i="31" s="1"/>
  <c r="A4" i="31"/>
  <c r="I4" i="31" s="1"/>
  <c r="A5" i="29"/>
  <c r="Q5" i="29" s="1"/>
  <c r="A4" i="29"/>
  <c r="I4" i="29" s="1"/>
  <c r="A5" i="28"/>
  <c r="Q5" i="28" s="1"/>
  <c r="A4" i="28"/>
  <c r="E4" i="28" s="1"/>
  <c r="A5" i="27"/>
  <c r="Q5" i="27" s="1"/>
  <c r="A4" i="27"/>
  <c r="I4" i="27" s="1"/>
  <c r="A78" i="26"/>
  <c r="A77" i="26"/>
  <c r="A77" i="31" s="1"/>
  <c r="A83" i="26"/>
  <c r="A83" i="29" s="1"/>
  <c r="A5" i="26"/>
  <c r="M5" i="26" s="1"/>
  <c r="A4" i="26"/>
  <c r="Q4" i="26" s="1"/>
  <c r="A5" i="25"/>
  <c r="Q5" i="25" s="1"/>
  <c r="A4" i="25"/>
  <c r="E4" i="25" s="1"/>
  <c r="A5" i="24"/>
  <c r="E5" i="24" s="1"/>
  <c r="A4" i="24"/>
  <c r="I4" i="24" s="1"/>
  <c r="A5" i="23"/>
  <c r="Q5" i="23" s="1"/>
  <c r="A4" i="23"/>
  <c r="A5" i="22"/>
  <c r="A4" i="22"/>
  <c r="A78" i="21"/>
  <c r="A78" i="23" s="1"/>
  <c r="A77" i="21"/>
  <c r="A77" i="25" s="1"/>
  <c r="A83" i="21"/>
  <c r="A83" i="25" s="1"/>
  <c r="A5" i="21"/>
  <c r="M5" i="21" s="1"/>
  <c r="A4" i="21"/>
  <c r="Q4" i="21" s="1"/>
  <c r="A5" i="20"/>
  <c r="M5" i="20" s="1"/>
  <c r="A4" i="20"/>
  <c r="Q4" i="20" s="1"/>
  <c r="A5" i="19"/>
  <c r="Q5" i="19" s="1"/>
  <c r="A4" i="19"/>
  <c r="E4" i="19" s="1"/>
  <c r="A5" i="18"/>
  <c r="Q5" i="18" s="1"/>
  <c r="A4" i="18"/>
  <c r="E4" i="18" s="1"/>
  <c r="A5" i="17"/>
  <c r="Q5" i="17" s="1"/>
  <c r="A4" i="17"/>
  <c r="Q4" i="17" s="1"/>
  <c r="A38" i="10"/>
  <c r="A37" i="12" s="1"/>
  <c r="A37" i="10"/>
  <c r="A36" i="10"/>
  <c r="A36" i="12" s="1"/>
  <c r="A35" i="10"/>
  <c r="A35" i="12" s="1"/>
  <c r="A34" i="10"/>
  <c r="A34" i="12" s="1"/>
  <c r="A33" i="10"/>
  <c r="A33" i="12" s="1"/>
  <c r="A32" i="10"/>
  <c r="A32" i="12" s="1"/>
  <c r="A31" i="10"/>
  <c r="A31" i="12" s="1"/>
  <c r="A30" i="10"/>
  <c r="A30" i="12" s="1"/>
  <c r="A29" i="10"/>
  <c r="A29" i="12" s="1"/>
  <c r="A28" i="10"/>
  <c r="A28" i="12" s="1"/>
  <c r="A27" i="10"/>
  <c r="A27" i="12" s="1"/>
  <c r="A26" i="10"/>
  <c r="A26" i="12" s="1"/>
  <c r="A25" i="10"/>
  <c r="A25" i="12" s="1"/>
  <c r="A24" i="10"/>
  <c r="A24" i="12" s="1"/>
  <c r="A23" i="10"/>
  <c r="A23" i="12" s="1"/>
  <c r="A22" i="10"/>
  <c r="A22" i="12" s="1"/>
  <c r="A21" i="10"/>
  <c r="A21" i="12" s="1"/>
  <c r="A20" i="10"/>
  <c r="A20" i="12" s="1"/>
  <c r="A19" i="10"/>
  <c r="A19" i="12" s="1"/>
  <c r="A18" i="10"/>
  <c r="A18" i="12" s="1"/>
  <c r="A17" i="10"/>
  <c r="A17" i="12" s="1"/>
  <c r="A78" i="16"/>
  <c r="Q78" i="16" s="1"/>
  <c r="A77" i="16"/>
  <c r="M77" i="16" s="1"/>
  <c r="A12" i="16"/>
  <c r="E12" i="16" s="1"/>
  <c r="A83" i="16"/>
  <c r="E83" i="16" s="1"/>
  <c r="I83" i="16" s="1"/>
  <c r="M83" i="16" s="1"/>
  <c r="Q83" i="16" s="1"/>
  <c r="A5" i="16"/>
  <c r="I5" i="16" s="1"/>
  <c r="A4" i="16"/>
  <c r="M4" i="16" s="1"/>
  <c r="E53" i="32" l="1"/>
  <c r="E51" i="32"/>
  <c r="G51" i="32" s="1"/>
  <c r="E439" i="33" s="1"/>
  <c r="F440" i="33"/>
  <c r="I521" i="33"/>
  <c r="I533" i="33"/>
  <c r="Q281" i="33"/>
  <c r="Q292" i="33"/>
  <c r="Q293" i="33"/>
  <c r="Q296" i="33"/>
  <c r="J4" i="1"/>
  <c r="D6" i="1"/>
  <c r="J3" i="1"/>
  <c r="F351" i="33"/>
  <c r="C351" i="34"/>
  <c r="J351" i="34" s="1"/>
  <c r="D351" i="34"/>
  <c r="F64" i="33"/>
  <c r="D65" i="34"/>
  <c r="C65" i="34"/>
  <c r="J65" i="34" s="1"/>
  <c r="F354" i="33"/>
  <c r="C362" i="34"/>
  <c r="J362" i="34" s="1"/>
  <c r="D362" i="34"/>
  <c r="F206" i="33"/>
  <c r="C205" i="34"/>
  <c r="J205" i="34" s="1"/>
  <c r="D205" i="34"/>
  <c r="F353" i="33"/>
  <c r="F152" i="33"/>
  <c r="D151" i="34"/>
  <c r="C151" i="34"/>
  <c r="J151" i="34" s="1"/>
  <c r="F395" i="33"/>
  <c r="I564" i="33"/>
  <c r="M112" i="33"/>
  <c r="M175" i="33"/>
  <c r="M428" i="33"/>
  <c r="M191" i="33"/>
  <c r="M48" i="33"/>
  <c r="E48" i="33" s="1"/>
  <c r="M423" i="33" s="1"/>
  <c r="E53" i="33"/>
  <c r="E57" i="33"/>
  <c r="E61" i="33"/>
  <c r="E54" i="33"/>
  <c r="O43" i="36" s="1"/>
  <c r="E58" i="33"/>
  <c r="E52" i="33"/>
  <c r="K42" i="36" s="1"/>
  <c r="E74" i="32"/>
  <c r="E59" i="32" s="1"/>
  <c r="E60" i="33"/>
  <c r="E55" i="33"/>
  <c r="E59" i="33"/>
  <c r="E93" i="33"/>
  <c r="E56" i="33"/>
  <c r="E60" i="32"/>
  <c r="F407" i="33"/>
  <c r="I400" i="33"/>
  <c r="I404" i="33"/>
  <c r="I402" i="33"/>
  <c r="I399" i="33"/>
  <c r="I576" i="33"/>
  <c r="M100" i="33"/>
  <c r="M163" i="33"/>
  <c r="I247" i="33"/>
  <c r="E247" i="33" s="1"/>
  <c r="M179" i="33"/>
  <c r="I347" i="33"/>
  <c r="E347" i="33" s="1"/>
  <c r="F306" i="33"/>
  <c r="F396" i="33"/>
  <c r="M404" i="33"/>
  <c r="I397" i="33"/>
  <c r="M398" i="33"/>
  <c r="M174" i="33"/>
  <c r="M111" i="33"/>
  <c r="I565" i="33"/>
  <c r="M190" i="33"/>
  <c r="M47" i="33"/>
  <c r="E47" i="33" s="1"/>
  <c r="M422" i="33" s="1"/>
  <c r="I26" i="33"/>
  <c r="E26" i="33" s="1"/>
  <c r="F392" i="33"/>
  <c r="M400" i="33"/>
  <c r="I561" i="33"/>
  <c r="M115" i="33"/>
  <c r="M51" i="33"/>
  <c r="E51" i="33" s="1"/>
  <c r="M426" i="33" s="1"/>
  <c r="M203" i="33"/>
  <c r="M178" i="33"/>
  <c r="M194" i="33"/>
  <c r="M524" i="33"/>
  <c r="I82" i="33"/>
  <c r="E82" i="33" s="1"/>
  <c r="I319" i="33"/>
  <c r="I130" i="33"/>
  <c r="I321" i="33"/>
  <c r="M517" i="33"/>
  <c r="M33" i="33"/>
  <c r="M556" i="33"/>
  <c r="E556" i="33" s="1"/>
  <c r="I318" i="33"/>
  <c r="I350" i="33"/>
  <c r="E350" i="33" s="1"/>
  <c r="I336" i="33"/>
  <c r="C8" i="32"/>
  <c r="E54" i="32" s="1"/>
  <c r="G54" i="32" s="1"/>
  <c r="E535" i="33" s="1"/>
  <c r="F535" i="33" s="1"/>
  <c r="G53" i="32"/>
  <c r="E437" i="33" s="1"/>
  <c r="F437" i="33" s="1"/>
  <c r="E52" i="32"/>
  <c r="G52" i="32" s="1"/>
  <c r="E438" i="33" s="1"/>
  <c r="F438" i="33" s="1"/>
  <c r="I349" i="33"/>
  <c r="E349" i="33" s="1"/>
  <c r="I348" i="33"/>
  <c r="E348" i="33" s="1"/>
  <c r="J5" i="1"/>
  <c r="I360" i="33"/>
  <c r="Q4" i="28"/>
  <c r="A78" i="19"/>
  <c r="Q78" i="19" s="1"/>
  <c r="M4" i="31"/>
  <c r="M5" i="25"/>
  <c r="M4" i="27"/>
  <c r="M5" i="27"/>
  <c r="A77" i="29"/>
  <c r="Q77" i="29" s="1"/>
  <c r="A77" i="28"/>
  <c r="M77" i="28" s="1"/>
  <c r="Q83" i="29"/>
  <c r="I83" i="29"/>
  <c r="E83" i="29"/>
  <c r="M83" i="29"/>
  <c r="Q77" i="31"/>
  <c r="M77" i="31"/>
  <c r="I77" i="31"/>
  <c r="E77" i="31"/>
  <c r="Q78" i="26"/>
  <c r="M78" i="26"/>
  <c r="I78" i="26"/>
  <c r="A78" i="27"/>
  <c r="A83" i="28"/>
  <c r="A83" i="27"/>
  <c r="A78" i="29"/>
  <c r="A78" i="31"/>
  <c r="E83" i="26"/>
  <c r="M83" i="26"/>
  <c r="Q83" i="26"/>
  <c r="I83" i="26"/>
  <c r="A83" i="31"/>
  <c r="Q77" i="26"/>
  <c r="M77" i="26"/>
  <c r="I77" i="26"/>
  <c r="A77" i="27"/>
  <c r="A78" i="28"/>
  <c r="E78" i="21"/>
  <c r="A78" i="18"/>
  <c r="M78" i="18" s="1"/>
  <c r="A77" i="17"/>
  <c r="E77" i="17" s="1"/>
  <c r="A83" i="17"/>
  <c r="E83" i="17" s="1"/>
  <c r="A12" i="19"/>
  <c r="Q12" i="19" s="1"/>
  <c r="Q77" i="25"/>
  <c r="M77" i="25"/>
  <c r="I77" i="25"/>
  <c r="E77" i="25"/>
  <c r="Q83" i="25"/>
  <c r="M83" i="25"/>
  <c r="I83" i="25"/>
  <c r="E83" i="25"/>
  <c r="M78" i="21"/>
  <c r="I78" i="21"/>
  <c r="Q78" i="21"/>
  <c r="E78" i="23"/>
  <c r="M78" i="23"/>
  <c r="I78" i="23"/>
  <c r="Q78" i="23"/>
  <c r="A77" i="22"/>
  <c r="A83" i="22"/>
  <c r="A77" i="24"/>
  <c r="A83" i="24"/>
  <c r="Q77" i="21"/>
  <c r="M77" i="21"/>
  <c r="I77" i="21"/>
  <c r="Q83" i="21"/>
  <c r="I83" i="21"/>
  <c r="E83" i="21"/>
  <c r="M83" i="21"/>
  <c r="A78" i="22"/>
  <c r="A77" i="23"/>
  <c r="A83" i="23"/>
  <c r="A78" i="24"/>
  <c r="A78" i="25"/>
  <c r="A12" i="18"/>
  <c r="I12" i="18" s="1"/>
  <c r="A78" i="17"/>
  <c r="I78" i="17" s="1"/>
  <c r="A12" i="20"/>
  <c r="M12" i="20" s="1"/>
  <c r="A77" i="20"/>
  <c r="E77" i="20" s="1"/>
  <c r="A83" i="20"/>
  <c r="A12" i="17"/>
  <c r="I12" i="17" s="1"/>
  <c r="A77" i="18"/>
  <c r="A83" i="18"/>
  <c r="A77" i="19"/>
  <c r="A83" i="19"/>
  <c r="A78" i="20"/>
  <c r="E78" i="20" s="1"/>
  <c r="I5" i="31"/>
  <c r="M5" i="31"/>
  <c r="Q4" i="31"/>
  <c r="E4" i="31"/>
  <c r="Q5" i="31"/>
  <c r="E5" i="29"/>
  <c r="I5" i="29"/>
  <c r="M5" i="29"/>
  <c r="M4" i="29"/>
  <c r="Q4" i="29"/>
  <c r="E4" i="29"/>
  <c r="M5" i="28"/>
  <c r="I5" i="28"/>
  <c r="E5" i="28"/>
  <c r="M4" i="28"/>
  <c r="I4" i="28"/>
  <c r="E5" i="27"/>
  <c r="I5" i="27"/>
  <c r="Q4" i="27"/>
  <c r="E4" i="27"/>
  <c r="E4" i="26"/>
  <c r="I4" i="26"/>
  <c r="M4" i="26"/>
  <c r="E5" i="26"/>
  <c r="E78" i="26"/>
  <c r="I5" i="26"/>
  <c r="Q5" i="26"/>
  <c r="E77" i="26"/>
  <c r="I4" i="25"/>
  <c r="I5" i="25"/>
  <c r="E5" i="25"/>
  <c r="M4" i="25"/>
  <c r="Q4" i="25"/>
  <c r="I5" i="24"/>
  <c r="M5" i="24"/>
  <c r="M4" i="24"/>
  <c r="Q4" i="24"/>
  <c r="E4" i="24"/>
  <c r="Q5" i="24"/>
  <c r="E5" i="23"/>
  <c r="I5" i="23"/>
  <c r="M5" i="23"/>
  <c r="I4" i="23"/>
  <c r="E4" i="23"/>
  <c r="M4" i="23"/>
  <c r="Q4" i="23"/>
  <c r="I5" i="22"/>
  <c r="Q5" i="22"/>
  <c r="M5" i="22"/>
  <c r="E5" i="22"/>
  <c r="M4" i="22"/>
  <c r="Q4" i="22"/>
  <c r="I4" i="22"/>
  <c r="E4" i="22"/>
  <c r="E5" i="21"/>
  <c r="E4" i="21"/>
  <c r="I4" i="21"/>
  <c r="Q5" i="21"/>
  <c r="M4" i="21"/>
  <c r="I5" i="21"/>
  <c r="E77" i="21"/>
  <c r="I4" i="20"/>
  <c r="M4" i="20"/>
  <c r="E4" i="20"/>
  <c r="E5" i="20"/>
  <c r="I5" i="20"/>
  <c r="Q5" i="20"/>
  <c r="I4" i="19"/>
  <c r="E5" i="19"/>
  <c r="I5" i="19"/>
  <c r="M4" i="19"/>
  <c r="M5" i="19"/>
  <c r="Q4" i="19"/>
  <c r="M4" i="18"/>
  <c r="M5" i="18"/>
  <c r="E5" i="18"/>
  <c r="I5" i="18"/>
  <c r="I4" i="18"/>
  <c r="Q4" i="18"/>
  <c r="E5" i="17"/>
  <c r="I5" i="17"/>
  <c r="M4" i="17"/>
  <c r="E4" i="17"/>
  <c r="I4" i="17"/>
  <c r="M5" i="17"/>
  <c r="M12" i="16"/>
  <c r="I12" i="16"/>
  <c r="E78" i="16"/>
  <c r="Q12" i="16"/>
  <c r="M78" i="16"/>
  <c r="E4" i="16"/>
  <c r="Q4" i="16"/>
  <c r="M5" i="16"/>
  <c r="Q77" i="16"/>
  <c r="Q5" i="16"/>
  <c r="I4" i="16"/>
  <c r="E5" i="16"/>
  <c r="I77" i="16"/>
  <c r="I78" i="16"/>
  <c r="E77" i="16"/>
  <c r="A34" i="15"/>
  <c r="M34" i="15" s="1"/>
  <c r="A30" i="14"/>
  <c r="Q30" i="14" s="1"/>
  <c r="M36" i="12"/>
  <c r="I38" i="10"/>
  <c r="I26" i="10"/>
  <c r="E18" i="10"/>
  <c r="A37" i="14"/>
  <c r="Q37" i="14" s="1"/>
  <c r="I36" i="10"/>
  <c r="A34" i="13"/>
  <c r="Q34" i="13" s="1"/>
  <c r="E33" i="10"/>
  <c r="E32" i="10"/>
  <c r="A30" i="13"/>
  <c r="I30" i="13" s="1"/>
  <c r="A29" i="13"/>
  <c r="A26" i="13"/>
  <c r="Q26" i="13" s="1"/>
  <c r="Q24" i="10"/>
  <c r="A22" i="15"/>
  <c r="M22" i="15" s="1"/>
  <c r="E21" i="12"/>
  <c r="A18" i="15"/>
  <c r="M18" i="15" s="1"/>
  <c r="A17" i="14"/>
  <c r="A40" i="10"/>
  <c r="A39" i="12" s="1"/>
  <c r="A41" i="10"/>
  <c r="A40" i="12" s="1"/>
  <c r="A58" i="10"/>
  <c r="A59" i="10"/>
  <c r="A58" i="12" s="1"/>
  <c r="E58" i="12" s="1"/>
  <c r="A5" i="15"/>
  <c r="E5" i="15" s="1"/>
  <c r="A4" i="15"/>
  <c r="I4" i="15" s="1"/>
  <c r="A5" i="14"/>
  <c r="E5" i="14" s="1"/>
  <c r="A4" i="14"/>
  <c r="I4" i="14" s="1"/>
  <c r="G43" i="36" l="1"/>
  <c r="C43" i="36" s="1"/>
  <c r="F57" i="36" s="1"/>
  <c r="G42" i="36"/>
  <c r="C42" i="36" s="1"/>
  <c r="F56" i="36" s="1"/>
  <c r="F439" i="33"/>
  <c r="M445" i="33"/>
  <c r="E77" i="28"/>
  <c r="I78" i="19"/>
  <c r="E78" i="19"/>
  <c r="M78" i="19"/>
  <c r="M12" i="19"/>
  <c r="C57" i="34"/>
  <c r="D57" i="34"/>
  <c r="C61" i="34"/>
  <c r="J61" i="34" s="1"/>
  <c r="D61" i="34"/>
  <c r="C55" i="34"/>
  <c r="D55" i="34"/>
  <c r="C92" i="34"/>
  <c r="J92" i="34" s="1"/>
  <c r="D92" i="34"/>
  <c r="C62" i="34"/>
  <c r="D62" i="34"/>
  <c r="C60" i="34"/>
  <c r="J60" i="34" s="1"/>
  <c r="D60" i="34"/>
  <c r="C53" i="34"/>
  <c r="D53" i="34"/>
  <c r="C58" i="34"/>
  <c r="J58" i="34" s="1"/>
  <c r="D58" i="34"/>
  <c r="C56" i="34"/>
  <c r="D56" i="34"/>
  <c r="C59" i="34"/>
  <c r="J59" i="34" s="1"/>
  <c r="D59" i="34"/>
  <c r="C54" i="34"/>
  <c r="D54" i="34"/>
  <c r="F556" i="33"/>
  <c r="D493" i="34"/>
  <c r="C493" i="34"/>
  <c r="J493" i="34" s="1"/>
  <c r="F350" i="33"/>
  <c r="C48" i="34"/>
  <c r="J48" i="34" s="1"/>
  <c r="D48" i="34"/>
  <c r="C246" i="34"/>
  <c r="J246" i="34" s="1"/>
  <c r="D246" i="34"/>
  <c r="F82" i="33"/>
  <c r="C82" i="34"/>
  <c r="J82" i="34" s="1"/>
  <c r="D82" i="34"/>
  <c r="F348" i="33"/>
  <c r="C52" i="34"/>
  <c r="J52" i="34" s="1"/>
  <c r="D52" i="34"/>
  <c r="F347" i="33"/>
  <c r="F349" i="33"/>
  <c r="C28" i="34"/>
  <c r="J28" i="34" s="1"/>
  <c r="D28" i="34"/>
  <c r="D49" i="34"/>
  <c r="C49" i="34"/>
  <c r="J49" i="34" s="1"/>
  <c r="F48" i="33"/>
  <c r="I218" i="33"/>
  <c r="E218" i="33" s="1"/>
  <c r="E400" i="33"/>
  <c r="Q288" i="33" s="1"/>
  <c r="F47" i="33"/>
  <c r="I217" i="33"/>
  <c r="E217" i="33" s="1"/>
  <c r="F51" i="33"/>
  <c r="I221" i="33"/>
  <c r="E221" i="33" s="1"/>
  <c r="F56" i="33"/>
  <c r="J57" i="34"/>
  <c r="F60" i="33"/>
  <c r="F54" i="33"/>
  <c r="J55" i="34"/>
  <c r="F55" i="33"/>
  <c r="J56" i="34"/>
  <c r="F58" i="33"/>
  <c r="I393" i="33"/>
  <c r="E393" i="33" s="1"/>
  <c r="Q295" i="33" s="1"/>
  <c r="F53" i="33"/>
  <c r="J54" i="34"/>
  <c r="F93" i="33"/>
  <c r="F61" i="33"/>
  <c r="J62" i="34"/>
  <c r="F26" i="33"/>
  <c r="F247" i="33"/>
  <c r="E404" i="33"/>
  <c r="Q284" i="33" s="1"/>
  <c r="F59" i="33"/>
  <c r="F52" i="33"/>
  <c r="I403" i="33"/>
  <c r="E403" i="33" s="1"/>
  <c r="Q285" i="33" s="1"/>
  <c r="J53" i="34"/>
  <c r="F57" i="33"/>
  <c r="Q146" i="33"/>
  <c r="I516" i="33"/>
  <c r="E516" i="33" s="1"/>
  <c r="M452" i="33" s="1"/>
  <c r="I518" i="33"/>
  <c r="I520" i="33"/>
  <c r="M77" i="17"/>
  <c r="Q77" i="28"/>
  <c r="I77" i="28"/>
  <c r="E77" i="29"/>
  <c r="M77" i="29"/>
  <c r="I77" i="29"/>
  <c r="M83" i="27"/>
  <c r="I83" i="27"/>
  <c r="E83" i="27"/>
  <c r="Q83" i="27"/>
  <c r="Q77" i="27"/>
  <c r="M77" i="27"/>
  <c r="I77" i="27"/>
  <c r="E77" i="27"/>
  <c r="I83" i="28"/>
  <c r="Q83" i="28"/>
  <c r="E83" i="28"/>
  <c r="M83" i="28"/>
  <c r="E83" i="31"/>
  <c r="M83" i="31"/>
  <c r="Q83" i="31"/>
  <c r="I83" i="31"/>
  <c r="Q78" i="31"/>
  <c r="M78" i="31"/>
  <c r="I78" i="31"/>
  <c r="E78" i="31"/>
  <c r="M78" i="27"/>
  <c r="I78" i="27"/>
  <c r="Q78" i="27"/>
  <c r="E78" i="27"/>
  <c r="E78" i="29"/>
  <c r="I78" i="29"/>
  <c r="Q78" i="29"/>
  <c r="M78" i="29"/>
  <c r="I78" i="28"/>
  <c r="Q78" i="28"/>
  <c r="M78" i="28"/>
  <c r="E78" i="28"/>
  <c r="I78" i="18"/>
  <c r="E12" i="19"/>
  <c r="Q77" i="17"/>
  <c r="E78" i="18"/>
  <c r="I12" i="19"/>
  <c r="Q12" i="20"/>
  <c r="Q78" i="18"/>
  <c r="I77" i="17"/>
  <c r="M12" i="18"/>
  <c r="Q12" i="18"/>
  <c r="E12" i="18"/>
  <c r="M78" i="25"/>
  <c r="I78" i="25"/>
  <c r="Q78" i="25"/>
  <c r="E78" i="25"/>
  <c r="M78" i="22"/>
  <c r="I78" i="22"/>
  <c r="Q78" i="22"/>
  <c r="E78" i="22"/>
  <c r="E77" i="23"/>
  <c r="Q77" i="23"/>
  <c r="M77" i="23"/>
  <c r="I77" i="23"/>
  <c r="Q77" i="22"/>
  <c r="M77" i="22"/>
  <c r="I77" i="22"/>
  <c r="E77" i="22"/>
  <c r="Q77" i="24"/>
  <c r="M77" i="24"/>
  <c r="I77" i="24"/>
  <c r="E77" i="24"/>
  <c r="M78" i="24"/>
  <c r="Q78" i="24"/>
  <c r="I78" i="24"/>
  <c r="E78" i="24"/>
  <c r="Q83" i="23"/>
  <c r="M83" i="23"/>
  <c r="E83" i="23"/>
  <c r="I83" i="23"/>
  <c r="Q83" i="24"/>
  <c r="E83" i="24"/>
  <c r="M83" i="24"/>
  <c r="I83" i="24"/>
  <c r="Q83" i="22"/>
  <c r="M83" i="22"/>
  <c r="I83" i="22"/>
  <c r="E83" i="22"/>
  <c r="Q12" i="17"/>
  <c r="Q83" i="19"/>
  <c r="M83" i="19"/>
  <c r="I83" i="19"/>
  <c r="E83" i="19"/>
  <c r="E12" i="17"/>
  <c r="M12" i="17"/>
  <c r="Q83" i="20"/>
  <c r="E83" i="20"/>
  <c r="M83" i="20"/>
  <c r="I83" i="20"/>
  <c r="E12" i="20"/>
  <c r="M78" i="20"/>
  <c r="I78" i="20"/>
  <c r="Q78" i="20"/>
  <c r="E77" i="19"/>
  <c r="Q77" i="19"/>
  <c r="M77" i="19"/>
  <c r="I77" i="19"/>
  <c r="Q83" i="18"/>
  <c r="M83" i="18"/>
  <c r="E83" i="18"/>
  <c r="I83" i="18"/>
  <c r="Q77" i="20"/>
  <c r="M77" i="20"/>
  <c r="I77" i="20"/>
  <c r="E78" i="17"/>
  <c r="Q78" i="17"/>
  <c r="M78" i="17"/>
  <c r="I12" i="20"/>
  <c r="Q77" i="18"/>
  <c r="M77" i="18"/>
  <c r="I77" i="18"/>
  <c r="E77" i="18"/>
  <c r="A57" i="15"/>
  <c r="Q57" i="15" s="1"/>
  <c r="A57" i="12"/>
  <c r="E57" i="12" s="1"/>
  <c r="E30" i="10"/>
  <c r="Q38" i="10"/>
  <c r="A18" i="14"/>
  <c r="Q18" i="14" s="1"/>
  <c r="E37" i="10"/>
  <c r="M25" i="10"/>
  <c r="M37" i="10"/>
  <c r="A17" i="15"/>
  <c r="Q17" i="15" s="1"/>
  <c r="E21" i="10"/>
  <c r="E38" i="10"/>
  <c r="I30" i="10"/>
  <c r="M18" i="10"/>
  <c r="M26" i="10"/>
  <c r="M38" i="10"/>
  <c r="Q26" i="10"/>
  <c r="E18" i="12"/>
  <c r="Q26" i="12"/>
  <c r="A17" i="13"/>
  <c r="E17" i="13" s="1"/>
  <c r="A22" i="14"/>
  <c r="Q22" i="14" s="1"/>
  <c r="A33" i="14"/>
  <c r="E33" i="14" s="1"/>
  <c r="A21" i="15"/>
  <c r="M21" i="15" s="1"/>
  <c r="A37" i="15"/>
  <c r="M37" i="15" s="1"/>
  <c r="E22" i="10"/>
  <c r="I18" i="10"/>
  <c r="I34" i="10"/>
  <c r="M21" i="10"/>
  <c r="M30" i="10"/>
  <c r="Q18" i="10"/>
  <c r="Q30" i="10"/>
  <c r="Q30" i="12"/>
  <c r="Q37" i="12"/>
  <c r="A22" i="13"/>
  <c r="I22" i="13" s="1"/>
  <c r="A37" i="13"/>
  <c r="I37" i="13" s="1"/>
  <c r="A26" i="14"/>
  <c r="A34" i="14"/>
  <c r="Q34" i="14" s="1"/>
  <c r="A26" i="15"/>
  <c r="M26" i="15" s="1"/>
  <c r="E17" i="10"/>
  <c r="E26" i="10"/>
  <c r="E34" i="10"/>
  <c r="I22" i="10"/>
  <c r="M22" i="10"/>
  <c r="M34" i="10"/>
  <c r="Q22" i="10"/>
  <c r="Q34" i="10"/>
  <c r="Q22" i="12"/>
  <c r="A30" i="15"/>
  <c r="M30" i="15" s="1"/>
  <c r="A40" i="15"/>
  <c r="E40" i="15" s="1"/>
  <c r="A40" i="13"/>
  <c r="M19" i="12"/>
  <c r="M19" i="10"/>
  <c r="E19" i="10"/>
  <c r="I19" i="10"/>
  <c r="A19" i="15"/>
  <c r="Q19" i="15" s="1"/>
  <c r="A19" i="14"/>
  <c r="M19" i="14" s="1"/>
  <c r="A19" i="13"/>
  <c r="M19" i="13" s="1"/>
  <c r="M23" i="12"/>
  <c r="M23" i="10"/>
  <c r="E23" i="10"/>
  <c r="Q23" i="10"/>
  <c r="A23" i="15"/>
  <c r="I23" i="15" s="1"/>
  <c r="I23" i="10"/>
  <c r="M27" i="12"/>
  <c r="M27" i="10"/>
  <c r="E27" i="10"/>
  <c r="A27" i="15"/>
  <c r="Q27" i="10"/>
  <c r="A27" i="14"/>
  <c r="M27" i="14" s="1"/>
  <c r="I27" i="10"/>
  <c r="A31" i="13"/>
  <c r="M31" i="13" s="1"/>
  <c r="M31" i="12"/>
  <c r="M31" i="10"/>
  <c r="E31" i="10"/>
  <c r="A31" i="14"/>
  <c r="M31" i="14" s="1"/>
  <c r="A31" i="15"/>
  <c r="I31" i="15" s="1"/>
  <c r="Q31" i="10"/>
  <c r="A35" i="15"/>
  <c r="Q35" i="15" s="1"/>
  <c r="M35" i="12"/>
  <c r="M35" i="10"/>
  <c r="E35" i="10"/>
  <c r="A35" i="13"/>
  <c r="M35" i="13" s="1"/>
  <c r="I35" i="10"/>
  <c r="A35" i="14"/>
  <c r="M35" i="14" s="1"/>
  <c r="Q35" i="10"/>
  <c r="E25" i="12"/>
  <c r="I25" i="12"/>
  <c r="A23" i="13"/>
  <c r="M23" i="13" s="1"/>
  <c r="A58" i="15"/>
  <c r="I58" i="15" s="1"/>
  <c r="A58" i="13"/>
  <c r="Q58" i="13" s="1"/>
  <c r="E40" i="10"/>
  <c r="A39" i="13"/>
  <c r="I39" i="13" s="1"/>
  <c r="A20" i="15"/>
  <c r="E20" i="15" s="1"/>
  <c r="A20" i="14"/>
  <c r="I20" i="14" s="1"/>
  <c r="E20" i="10"/>
  <c r="A20" i="13"/>
  <c r="I20" i="13" s="1"/>
  <c r="Q20" i="10"/>
  <c r="A24" i="14"/>
  <c r="I24" i="14" s="1"/>
  <c r="A24" i="15"/>
  <c r="M24" i="15" s="1"/>
  <c r="I24" i="12"/>
  <c r="M24" i="10"/>
  <c r="I24" i="10"/>
  <c r="E24" i="10"/>
  <c r="A24" i="13"/>
  <c r="Q24" i="13" s="1"/>
  <c r="A28" i="13"/>
  <c r="I28" i="13" s="1"/>
  <c r="A28" i="14"/>
  <c r="Q28" i="10"/>
  <c r="A28" i="15"/>
  <c r="E28" i="15" s="1"/>
  <c r="E28" i="12"/>
  <c r="M28" i="10"/>
  <c r="I28" i="10"/>
  <c r="A32" i="14"/>
  <c r="I32" i="14" s="1"/>
  <c r="A32" i="15"/>
  <c r="Q32" i="15" s="1"/>
  <c r="Q32" i="10"/>
  <c r="A32" i="13"/>
  <c r="E32" i="13" s="1"/>
  <c r="I32" i="12"/>
  <c r="M32" i="10"/>
  <c r="I32" i="10"/>
  <c r="A36" i="14"/>
  <c r="E36" i="14" s="1"/>
  <c r="E36" i="10"/>
  <c r="A36" i="15"/>
  <c r="E36" i="15" s="1"/>
  <c r="Q36" i="10"/>
  <c r="Q20" i="12"/>
  <c r="A36" i="13"/>
  <c r="I36" i="13" s="1"/>
  <c r="E28" i="10"/>
  <c r="I20" i="10"/>
  <c r="I31" i="10"/>
  <c r="M36" i="10"/>
  <c r="Q19" i="10"/>
  <c r="M25" i="12"/>
  <c r="A27" i="13"/>
  <c r="M27" i="13" s="1"/>
  <c r="A23" i="14"/>
  <c r="M23" i="14" s="1"/>
  <c r="M20" i="10"/>
  <c r="I36" i="12"/>
  <c r="E17" i="14"/>
  <c r="M17" i="14"/>
  <c r="I17" i="14"/>
  <c r="E29" i="13"/>
  <c r="M29" i="13"/>
  <c r="Q17" i="10"/>
  <c r="I17" i="10"/>
  <c r="A21" i="14"/>
  <c r="E21" i="14" s="1"/>
  <c r="Q21" i="10"/>
  <c r="I21" i="10"/>
  <c r="A25" i="15"/>
  <c r="I25" i="15" s="1"/>
  <c r="A25" i="14"/>
  <c r="Q25" i="10"/>
  <c r="I25" i="10"/>
  <c r="Q29" i="10"/>
  <c r="I29" i="10"/>
  <c r="Q33" i="10"/>
  <c r="I33" i="10"/>
  <c r="A33" i="13"/>
  <c r="E33" i="13" s="1"/>
  <c r="Q37" i="10"/>
  <c r="I37" i="10"/>
  <c r="E29" i="10"/>
  <c r="M17" i="10"/>
  <c r="M33" i="10"/>
  <c r="Q33" i="12"/>
  <c r="A25" i="13"/>
  <c r="E25" i="13" s="1"/>
  <c r="I29" i="13"/>
  <c r="A29" i="14"/>
  <c r="E29" i="14" s="1"/>
  <c r="A33" i="15"/>
  <c r="E33" i="15" s="1"/>
  <c r="Q30" i="13"/>
  <c r="M30" i="13"/>
  <c r="E25" i="10"/>
  <c r="M29" i="10"/>
  <c r="E29" i="12"/>
  <c r="A57" i="13"/>
  <c r="E57" i="13" s="1"/>
  <c r="A21" i="13"/>
  <c r="E30" i="13"/>
  <c r="A29" i="15"/>
  <c r="A18" i="13"/>
  <c r="Q18" i="13" s="1"/>
  <c r="E26" i="13"/>
  <c r="E34" i="13"/>
  <c r="I26" i="13"/>
  <c r="I34" i="13"/>
  <c r="M26" i="13"/>
  <c r="M34" i="13"/>
  <c r="E30" i="14"/>
  <c r="E37" i="14"/>
  <c r="I30" i="14"/>
  <c r="I37" i="14"/>
  <c r="M30" i="14"/>
  <c r="Q22" i="15"/>
  <c r="Q34" i="15"/>
  <c r="E18" i="15"/>
  <c r="E22" i="15"/>
  <c r="E34" i="15"/>
  <c r="Q18" i="15"/>
  <c r="I18" i="15"/>
  <c r="I22" i="15"/>
  <c r="I34" i="15"/>
  <c r="Q17" i="14"/>
  <c r="M37" i="14"/>
  <c r="M4" i="14"/>
  <c r="Q29" i="13"/>
  <c r="I21" i="12"/>
  <c r="M32" i="12"/>
  <c r="I37" i="12"/>
  <c r="E37" i="12"/>
  <c r="M21" i="12"/>
  <c r="M30" i="12"/>
  <c r="M37" i="12"/>
  <c r="Q19" i="12"/>
  <c r="Q27" i="12"/>
  <c r="Q31" i="12"/>
  <c r="E19" i="12"/>
  <c r="Q24" i="12"/>
  <c r="E31" i="12"/>
  <c r="Q32" i="12"/>
  <c r="Q36" i="12"/>
  <c r="Q21" i="12"/>
  <c r="E24" i="12"/>
  <c r="Q25" i="12"/>
  <c r="I27" i="12"/>
  <c r="E32" i="12"/>
  <c r="E36" i="12"/>
  <c r="M58" i="10"/>
  <c r="M41" i="10"/>
  <c r="M40" i="10"/>
  <c r="E39" i="12"/>
  <c r="A39" i="14"/>
  <c r="M39" i="14" s="1"/>
  <c r="A39" i="15"/>
  <c r="E39" i="15" s="1"/>
  <c r="E40" i="12"/>
  <c r="A40" i="14"/>
  <c r="E40" i="14" s="1"/>
  <c r="A58" i="14"/>
  <c r="M58" i="14" s="1"/>
  <c r="E41" i="10"/>
  <c r="E58" i="10"/>
  <c r="A57" i="14"/>
  <c r="Q57" i="14" s="1"/>
  <c r="I5" i="15"/>
  <c r="M5" i="15"/>
  <c r="M4" i="15"/>
  <c r="Q5" i="15"/>
  <c r="Q4" i="15"/>
  <c r="E4" i="15"/>
  <c r="I5" i="14"/>
  <c r="M5" i="14"/>
  <c r="E4" i="14"/>
  <c r="Q4" i="14"/>
  <c r="Q5" i="14"/>
  <c r="A15" i="10"/>
  <c r="A15" i="12" s="1"/>
  <c r="A15" i="4"/>
  <c r="A15" i="6" s="1"/>
  <c r="A5" i="13"/>
  <c r="E5" i="13" s="1"/>
  <c r="A4" i="13"/>
  <c r="Q4" i="13" s="1"/>
  <c r="I30" i="15" l="1"/>
  <c r="C350" i="34"/>
  <c r="J350" i="34" s="1"/>
  <c r="D350" i="34"/>
  <c r="F221" i="33"/>
  <c r="C220" i="34"/>
  <c r="J220" i="34" s="1"/>
  <c r="D220" i="34"/>
  <c r="F218" i="33"/>
  <c r="C217" i="34"/>
  <c r="J217" i="34" s="1"/>
  <c r="D217" i="34"/>
  <c r="F217" i="33"/>
  <c r="C216" i="34"/>
  <c r="J216" i="34" s="1"/>
  <c r="D216" i="34"/>
  <c r="F400" i="33"/>
  <c r="C355" i="34"/>
  <c r="J355" i="34" s="1"/>
  <c r="D355" i="34"/>
  <c r="C358" i="34"/>
  <c r="J358" i="34" s="1"/>
  <c r="D358" i="34"/>
  <c r="C359" i="34"/>
  <c r="J359" i="34" s="1"/>
  <c r="D359" i="34"/>
  <c r="F516" i="33"/>
  <c r="C464" i="34"/>
  <c r="J464" i="34" s="1"/>
  <c r="D464" i="34"/>
  <c r="M107" i="33"/>
  <c r="I569" i="33"/>
  <c r="M43" i="33"/>
  <c r="E43" i="33" s="1"/>
  <c r="M399" i="33"/>
  <c r="E399" i="33" s="1"/>
  <c r="Q289" i="33" s="1"/>
  <c r="M170" i="33"/>
  <c r="M186" i="33"/>
  <c r="F403" i="33"/>
  <c r="M406" i="33"/>
  <c r="M40" i="33"/>
  <c r="E40" i="33" s="1"/>
  <c r="M415" i="33" s="1"/>
  <c r="M183" i="33"/>
  <c r="M104" i="33"/>
  <c r="I572" i="33"/>
  <c r="M167" i="33"/>
  <c r="F404" i="33"/>
  <c r="I573" i="33"/>
  <c r="M103" i="33"/>
  <c r="M166" i="33"/>
  <c r="M39" i="33"/>
  <c r="E39" i="33" s="1"/>
  <c r="M414" i="33" s="1"/>
  <c r="M182" i="33"/>
  <c r="F393" i="33"/>
  <c r="M401" i="33"/>
  <c r="I406" i="33"/>
  <c r="M397" i="33"/>
  <c r="E397" i="33" s="1"/>
  <c r="Q291" i="33" s="1"/>
  <c r="M177" i="33"/>
  <c r="I562" i="33"/>
  <c r="M193" i="33"/>
  <c r="M114" i="33"/>
  <c r="M50" i="33"/>
  <c r="E50" i="33" s="1"/>
  <c r="M425" i="33" s="1"/>
  <c r="I517" i="33"/>
  <c r="E517" i="33" s="1"/>
  <c r="M447" i="33" s="1"/>
  <c r="M520" i="33"/>
  <c r="E520" i="33" s="1"/>
  <c r="I523" i="33"/>
  <c r="I57" i="15"/>
  <c r="Q36" i="13"/>
  <c r="E39" i="13"/>
  <c r="M39" i="13"/>
  <c r="Q19" i="14"/>
  <c r="Q28" i="15"/>
  <c r="M31" i="15"/>
  <c r="I23" i="13"/>
  <c r="I37" i="15"/>
  <c r="E30" i="15"/>
  <c r="I28" i="15"/>
  <c r="I35" i="14"/>
  <c r="M28" i="15"/>
  <c r="Q30" i="15"/>
  <c r="E31" i="15"/>
  <c r="E27" i="15"/>
  <c r="Q27" i="15"/>
  <c r="E23" i="14"/>
  <c r="Q36" i="14"/>
  <c r="E19" i="14"/>
  <c r="E32" i="14"/>
  <c r="E35" i="14"/>
  <c r="Q23" i="14"/>
  <c r="I19" i="14"/>
  <c r="Q32" i="14"/>
  <c r="Q23" i="13"/>
  <c r="Q39" i="13"/>
  <c r="Q32" i="13"/>
  <c r="Q27" i="13"/>
  <c r="E34" i="14"/>
  <c r="I22" i="14"/>
  <c r="I34" i="14"/>
  <c r="E57" i="15"/>
  <c r="M34" i="14"/>
  <c r="E22" i="14"/>
  <c r="M57" i="15"/>
  <c r="M22" i="14"/>
  <c r="I18" i="13"/>
  <c r="I33" i="14"/>
  <c r="Q26" i="15"/>
  <c r="E28" i="13"/>
  <c r="E20" i="12"/>
  <c r="M20" i="13"/>
  <c r="E20" i="13"/>
  <c r="Q20" i="13"/>
  <c r="E21" i="15"/>
  <c r="I17" i="15"/>
  <c r="E25" i="15"/>
  <c r="E26" i="15"/>
  <c r="I36" i="15"/>
  <c r="I20" i="15"/>
  <c r="I27" i="14"/>
  <c r="I18" i="14"/>
  <c r="Q21" i="14"/>
  <c r="M32" i="14"/>
  <c r="M22" i="13"/>
  <c r="E36" i="13"/>
  <c r="I25" i="13"/>
  <c r="Q22" i="13"/>
  <c r="M24" i="12"/>
  <c r="I22" i="12"/>
  <c r="M29" i="12"/>
  <c r="M33" i="13"/>
  <c r="E19" i="13"/>
  <c r="I26" i="15"/>
  <c r="E17" i="15"/>
  <c r="I33" i="13"/>
  <c r="M18" i="14"/>
  <c r="M17" i="15"/>
  <c r="M26" i="12"/>
  <c r="I21" i="15"/>
  <c r="M40" i="15"/>
  <c r="Q58" i="15"/>
  <c r="Q29" i="12"/>
  <c r="Q33" i="13"/>
  <c r="Q28" i="13"/>
  <c r="Q33" i="14"/>
  <c r="E18" i="14"/>
  <c r="I29" i="14"/>
  <c r="M18" i="13"/>
  <c r="M33" i="14"/>
  <c r="Q37" i="13"/>
  <c r="M34" i="12"/>
  <c r="I34" i="12"/>
  <c r="Q34" i="12"/>
  <c r="Q26" i="14"/>
  <c r="M26" i="14"/>
  <c r="I19" i="12"/>
  <c r="Q35" i="12"/>
  <c r="Q17" i="13"/>
  <c r="E31" i="13"/>
  <c r="M17" i="13"/>
  <c r="I17" i="13"/>
  <c r="E26" i="12"/>
  <c r="I30" i="12"/>
  <c r="E30" i="12"/>
  <c r="I27" i="13"/>
  <c r="Q31" i="14"/>
  <c r="Q24" i="15"/>
  <c r="Q37" i="15"/>
  <c r="I33" i="15"/>
  <c r="E26" i="14"/>
  <c r="E18" i="13"/>
  <c r="M37" i="13"/>
  <c r="E37" i="13"/>
  <c r="I26" i="12"/>
  <c r="Q21" i="15"/>
  <c r="M18" i="12"/>
  <c r="I18" i="12"/>
  <c r="Q18" i="12"/>
  <c r="E58" i="15"/>
  <c r="I35" i="12"/>
  <c r="E35" i="12"/>
  <c r="E34" i="12"/>
  <c r="M22" i="12"/>
  <c r="E22" i="12"/>
  <c r="I31" i="13"/>
  <c r="E27" i="13"/>
  <c r="Q31" i="13"/>
  <c r="E31" i="14"/>
  <c r="Q27" i="14"/>
  <c r="I31" i="14"/>
  <c r="E37" i="15"/>
  <c r="Q57" i="13"/>
  <c r="I26" i="14"/>
  <c r="E22" i="13"/>
  <c r="Q29" i="15"/>
  <c r="I29" i="15"/>
  <c r="E29" i="15"/>
  <c r="E21" i="13"/>
  <c r="I21" i="13"/>
  <c r="M21" i="13"/>
  <c r="M17" i="12"/>
  <c r="E17" i="12"/>
  <c r="I17" i="12"/>
  <c r="E25" i="14"/>
  <c r="M25" i="14"/>
  <c r="I25" i="14"/>
  <c r="I28" i="14"/>
  <c r="M28" i="14"/>
  <c r="I35" i="15"/>
  <c r="M35" i="15"/>
  <c r="E40" i="13"/>
  <c r="Q40" i="13"/>
  <c r="I23" i="12"/>
  <c r="Q17" i="12"/>
  <c r="E23" i="12"/>
  <c r="Q21" i="13"/>
  <c r="E35" i="13"/>
  <c r="Q20" i="14"/>
  <c r="Q25" i="14"/>
  <c r="E20" i="14"/>
  <c r="Q23" i="15"/>
  <c r="M24" i="14"/>
  <c r="Q25" i="15"/>
  <c r="M25" i="15"/>
  <c r="E32" i="15"/>
  <c r="I32" i="15"/>
  <c r="I28" i="12"/>
  <c r="M28" i="12"/>
  <c r="I40" i="15"/>
  <c r="Q40" i="15"/>
  <c r="Q28" i="12"/>
  <c r="Q25" i="13"/>
  <c r="I40" i="13"/>
  <c r="M40" i="13"/>
  <c r="Q28" i="14"/>
  <c r="Q29" i="14"/>
  <c r="E24" i="14"/>
  <c r="Q36" i="15"/>
  <c r="Q20" i="15"/>
  <c r="M32" i="15"/>
  <c r="E35" i="15"/>
  <c r="M23" i="15"/>
  <c r="M21" i="14"/>
  <c r="M25" i="13"/>
  <c r="M57" i="13"/>
  <c r="M28" i="13"/>
  <c r="I24" i="13"/>
  <c r="M24" i="13"/>
  <c r="M58" i="15"/>
  <c r="I31" i="12"/>
  <c r="E27" i="12"/>
  <c r="Q23" i="12"/>
  <c r="I29" i="12"/>
  <c r="I35" i="13"/>
  <c r="E24" i="13"/>
  <c r="I19" i="13"/>
  <c r="I57" i="13"/>
  <c r="E23" i="13"/>
  <c r="Q35" i="13"/>
  <c r="Q19" i="13"/>
  <c r="Q24" i="14"/>
  <c r="Q35" i="14"/>
  <c r="E28" i="14"/>
  <c r="I23" i="14"/>
  <c r="E27" i="14"/>
  <c r="M36" i="15"/>
  <c r="Q31" i="15"/>
  <c r="M20" i="15"/>
  <c r="M29" i="15"/>
  <c r="E23" i="15"/>
  <c r="M29" i="14"/>
  <c r="I21" i="14"/>
  <c r="M36" i="13"/>
  <c r="M20" i="14"/>
  <c r="Q33" i="15"/>
  <c r="M33" i="15"/>
  <c r="E33" i="12"/>
  <c r="M33" i="12"/>
  <c r="I33" i="12"/>
  <c r="M20" i="12"/>
  <c r="I20" i="12"/>
  <c r="I36" i="14"/>
  <c r="M36" i="14"/>
  <c r="I32" i="13"/>
  <c r="M32" i="13"/>
  <c r="E24" i="15"/>
  <c r="I24" i="15"/>
  <c r="I27" i="15"/>
  <c r="M27" i="15"/>
  <c r="I19" i="15"/>
  <c r="M19" i="15"/>
  <c r="E19" i="15"/>
  <c r="A15" i="9"/>
  <c r="E15" i="6"/>
  <c r="A15" i="7"/>
  <c r="A15" i="5"/>
  <c r="M40" i="14"/>
  <c r="Q39" i="14"/>
  <c r="E39" i="14"/>
  <c r="I39" i="15"/>
  <c r="Q39" i="15"/>
  <c r="I39" i="14"/>
  <c r="M39" i="15"/>
  <c r="I57" i="14"/>
  <c r="I58" i="14"/>
  <c r="E58" i="14"/>
  <c r="Q58" i="14"/>
  <c r="I40" i="14"/>
  <c r="Q40" i="14"/>
  <c r="M57" i="14"/>
  <c r="E57" i="14"/>
  <c r="A15" i="14"/>
  <c r="A15" i="15"/>
  <c r="A15" i="13"/>
  <c r="Q15" i="13" s="1"/>
  <c r="E15" i="12"/>
  <c r="I4" i="13"/>
  <c r="E4" i="13"/>
  <c r="M4" i="13"/>
  <c r="I5" i="13"/>
  <c r="E58" i="13"/>
  <c r="M5" i="13"/>
  <c r="I58" i="13"/>
  <c r="M58" i="13"/>
  <c r="Q5" i="13"/>
  <c r="F43" i="33" l="1"/>
  <c r="M418" i="33"/>
  <c r="D51" i="34"/>
  <c r="C51" i="34"/>
  <c r="J51" i="34" s="1"/>
  <c r="F399" i="33"/>
  <c r="C354" i="34"/>
  <c r="J354" i="34" s="1"/>
  <c r="D354" i="34"/>
  <c r="F517" i="33"/>
  <c r="C465" i="34"/>
  <c r="J465" i="34" s="1"/>
  <c r="D465" i="34"/>
  <c r="C40" i="34"/>
  <c r="D40" i="34"/>
  <c r="D41" i="34"/>
  <c r="C41" i="34"/>
  <c r="J41" i="34" s="1"/>
  <c r="C44" i="34"/>
  <c r="J44" i="34" s="1"/>
  <c r="D44" i="34"/>
  <c r="F520" i="33"/>
  <c r="C468" i="34"/>
  <c r="J468" i="34" s="1"/>
  <c r="D468" i="34"/>
  <c r="C352" i="34"/>
  <c r="J352" i="34" s="1"/>
  <c r="D352" i="34"/>
  <c r="I213" i="33"/>
  <c r="E213" i="33" s="1"/>
  <c r="F213" i="33" s="1"/>
  <c r="M171" i="33"/>
  <c r="M187" i="33"/>
  <c r="M44" i="33"/>
  <c r="E44" i="33" s="1"/>
  <c r="M419" i="33" s="1"/>
  <c r="I568" i="33"/>
  <c r="M108" i="33"/>
  <c r="F397" i="33"/>
  <c r="M405" i="33"/>
  <c r="M189" i="33"/>
  <c r="M46" i="33"/>
  <c r="E46" i="33" s="1"/>
  <c r="M421" i="33" s="1"/>
  <c r="M173" i="33"/>
  <c r="I566" i="33"/>
  <c r="M110" i="33"/>
  <c r="F50" i="33"/>
  <c r="I220" i="33"/>
  <c r="E220" i="33" s="1"/>
  <c r="F39" i="33"/>
  <c r="I209" i="33"/>
  <c r="E209" i="33" s="1"/>
  <c r="J40" i="34"/>
  <c r="E406" i="33"/>
  <c r="Q282" i="33" s="1"/>
  <c r="F40" i="33"/>
  <c r="I210" i="33"/>
  <c r="E210" i="33" s="1"/>
  <c r="M140" i="33"/>
  <c r="M15" i="13"/>
  <c r="E15" i="13"/>
  <c r="M15" i="15"/>
  <c r="I15" i="15"/>
  <c r="Q15" i="15"/>
  <c r="E15" i="15"/>
  <c r="I15" i="13"/>
  <c r="M15" i="14"/>
  <c r="I15" i="14"/>
  <c r="Q15" i="14"/>
  <c r="E15" i="14"/>
  <c r="I58" i="12"/>
  <c r="Q57" i="12"/>
  <c r="Q39" i="12"/>
  <c r="A5" i="12"/>
  <c r="Q5" i="12" s="1"/>
  <c r="A4" i="12"/>
  <c r="E4" i="12" s="1"/>
  <c r="I59" i="10"/>
  <c r="Q58" i="10"/>
  <c r="Q41" i="10"/>
  <c r="A13" i="10"/>
  <c r="A13" i="12" s="1"/>
  <c r="I13" i="12" s="1"/>
  <c r="A12" i="10"/>
  <c r="A12" i="12" s="1"/>
  <c r="A64" i="10"/>
  <c r="A63" i="12" s="1"/>
  <c r="I15" i="10"/>
  <c r="A5" i="10"/>
  <c r="E5" i="10" s="1"/>
  <c r="Q4" i="10"/>
  <c r="D45" i="34" l="1"/>
  <c r="C45" i="34"/>
  <c r="J45" i="34" s="1"/>
  <c r="C212" i="34"/>
  <c r="J212" i="34" s="1"/>
  <c r="D212" i="34"/>
  <c r="C209" i="34"/>
  <c r="J209" i="34" s="1"/>
  <c r="D209" i="34"/>
  <c r="C361" i="34"/>
  <c r="J361" i="34" s="1"/>
  <c r="D361" i="34"/>
  <c r="C219" i="34"/>
  <c r="J219" i="34" s="1"/>
  <c r="D219" i="34"/>
  <c r="C208" i="34"/>
  <c r="J208" i="34" s="1"/>
  <c r="D208" i="34"/>
  <c r="D47" i="34"/>
  <c r="C47" i="34"/>
  <c r="J47" i="34" s="1"/>
  <c r="I214" i="33"/>
  <c r="E214" i="33" s="1"/>
  <c r="F44" i="33"/>
  <c r="F210" i="33"/>
  <c r="F209" i="33"/>
  <c r="F406" i="33"/>
  <c r="M37" i="33"/>
  <c r="E37" i="33" s="1"/>
  <c r="M412" i="33" s="1"/>
  <c r="M180" i="33"/>
  <c r="M101" i="33"/>
  <c r="I575" i="33"/>
  <c r="M164" i="33"/>
  <c r="F46" i="33"/>
  <c r="I216" i="33"/>
  <c r="E216" i="33" s="1"/>
  <c r="F220" i="33"/>
  <c r="A66" i="16"/>
  <c r="A66" i="26"/>
  <c r="A66" i="21"/>
  <c r="A47" i="10"/>
  <c r="Q63" i="12"/>
  <c r="M63" i="12"/>
  <c r="I63" i="12"/>
  <c r="E63" i="12"/>
  <c r="E64" i="10"/>
  <c r="I64" i="10" s="1"/>
  <c r="M64" i="10" s="1"/>
  <c r="Q64" i="10" s="1"/>
  <c r="A63" i="13"/>
  <c r="E63" i="13" s="1"/>
  <c r="I63" i="13" s="1"/>
  <c r="M63" i="13" s="1"/>
  <c r="Q63" i="13" s="1"/>
  <c r="A63" i="14"/>
  <c r="E63" i="14" s="1"/>
  <c r="I63" i="14" s="1"/>
  <c r="M63" i="14" s="1"/>
  <c r="Q63" i="14" s="1"/>
  <c r="A63" i="15"/>
  <c r="E63" i="15" s="1"/>
  <c r="I63" i="15" s="1"/>
  <c r="M63" i="15" s="1"/>
  <c r="Q63" i="15" s="1"/>
  <c r="Q13" i="10"/>
  <c r="A13" i="15"/>
  <c r="A13" i="14"/>
  <c r="E13" i="12"/>
  <c r="A13" i="13"/>
  <c r="M12" i="10"/>
  <c r="E12" i="12"/>
  <c r="A12" i="15"/>
  <c r="A12" i="13"/>
  <c r="A12" i="14"/>
  <c r="I15" i="12"/>
  <c r="M15" i="12"/>
  <c r="Q15" i="12"/>
  <c r="M40" i="12"/>
  <c r="Q40" i="12"/>
  <c r="I40" i="12"/>
  <c r="M12" i="12"/>
  <c r="I12" i="12"/>
  <c r="Q12" i="12"/>
  <c r="I5" i="12"/>
  <c r="E5" i="12"/>
  <c r="M5" i="12"/>
  <c r="M58" i="12"/>
  <c r="I4" i="12"/>
  <c r="M13" i="12"/>
  <c r="Q58" i="12"/>
  <c r="M4" i="12"/>
  <c r="Q13" i="12"/>
  <c r="I39" i="12"/>
  <c r="Q4" i="12"/>
  <c r="M39" i="12"/>
  <c r="I57" i="12"/>
  <c r="M57" i="12"/>
  <c r="M15" i="10"/>
  <c r="Q15" i="10"/>
  <c r="E15" i="10"/>
  <c r="I58" i="10"/>
  <c r="Q40" i="10"/>
  <c r="I12" i="10"/>
  <c r="Q12" i="10"/>
  <c r="I5" i="10"/>
  <c r="M59" i="10"/>
  <c r="E59" i="10"/>
  <c r="Q59" i="10"/>
  <c r="M5" i="10"/>
  <c r="E13" i="10"/>
  <c r="I41" i="10"/>
  <c r="E4" i="10"/>
  <c r="Q5" i="10"/>
  <c r="I13" i="10"/>
  <c r="I4" i="10"/>
  <c r="M13" i="10"/>
  <c r="M4" i="10"/>
  <c r="E12" i="10"/>
  <c r="I40" i="10"/>
  <c r="C215" i="34" l="1"/>
  <c r="J215" i="34" s="1"/>
  <c r="D215" i="34"/>
  <c r="C38" i="34"/>
  <c r="J38" i="34" s="1"/>
  <c r="D38" i="34"/>
  <c r="F214" i="33"/>
  <c r="C213" i="34"/>
  <c r="J213" i="34" s="1"/>
  <c r="D213" i="34"/>
  <c r="F216" i="33"/>
  <c r="F37" i="33"/>
  <c r="I207" i="33"/>
  <c r="E207" i="33" s="1"/>
  <c r="I12" i="14"/>
  <c r="E12" i="14"/>
  <c r="Q12" i="14"/>
  <c r="M12" i="14"/>
  <c r="M13" i="14"/>
  <c r="Q13" i="14"/>
  <c r="I13" i="14"/>
  <c r="E13" i="14"/>
  <c r="M12" i="13"/>
  <c r="Q12" i="13"/>
  <c r="E12" i="13"/>
  <c r="I12" i="13"/>
  <c r="M13" i="15"/>
  <c r="E13" i="15"/>
  <c r="Q13" i="15"/>
  <c r="I13" i="15"/>
  <c r="Q12" i="15"/>
  <c r="M12" i="15"/>
  <c r="I12" i="15"/>
  <c r="E12" i="15"/>
  <c r="Q13" i="13"/>
  <c r="M13" i="13"/>
  <c r="E13" i="13"/>
  <c r="I13" i="13"/>
  <c r="A4" i="4"/>
  <c r="A5" i="9"/>
  <c r="E5" i="9" s="1"/>
  <c r="M15" i="9"/>
  <c r="I15" i="9"/>
  <c r="A4" i="9"/>
  <c r="I4" i="9" s="1"/>
  <c r="M15" i="7"/>
  <c r="I15" i="7"/>
  <c r="E15" i="7"/>
  <c r="Q15" i="7"/>
  <c r="I15" i="6"/>
  <c r="Q15" i="6"/>
  <c r="M15" i="5"/>
  <c r="I15" i="5"/>
  <c r="E15" i="5"/>
  <c r="Q15" i="5"/>
  <c r="Q15" i="4"/>
  <c r="M15" i="4"/>
  <c r="I15" i="4"/>
  <c r="E15" i="4"/>
  <c r="A5" i="4"/>
  <c r="Q5" i="4" s="1"/>
  <c r="A5" i="5"/>
  <c r="Q5" i="5" s="1"/>
  <c r="A5" i="6"/>
  <c r="Q5" i="6" s="1"/>
  <c r="A5" i="7"/>
  <c r="Q5" i="7" s="1"/>
  <c r="A4" i="7"/>
  <c r="Q4" i="7" s="1"/>
  <c r="A46" i="1"/>
  <c r="A54" i="1"/>
  <c r="C206" i="34" l="1"/>
  <c r="J206" i="34" s="1"/>
  <c r="D206" i="34"/>
  <c r="F207" i="33"/>
  <c r="M5" i="9"/>
  <c r="I5" i="9"/>
  <c r="M4" i="9"/>
  <c r="I4" i="7"/>
  <c r="M5" i="5"/>
  <c r="Q4" i="9"/>
  <c r="Q15" i="9"/>
  <c r="E4" i="9"/>
  <c r="Q5" i="9"/>
  <c r="E15" i="9"/>
  <c r="E5" i="7"/>
  <c r="I5" i="7"/>
  <c r="E4" i="7"/>
  <c r="E5" i="6"/>
  <c r="I5" i="6"/>
  <c r="M15" i="6"/>
  <c r="E5" i="5"/>
  <c r="I5" i="5"/>
  <c r="E5" i="4"/>
  <c r="I5" i="4"/>
  <c r="M5" i="4"/>
  <c r="M5" i="6"/>
  <c r="M5" i="7"/>
  <c r="M4" i="7"/>
  <c r="A4" i="6"/>
  <c r="I4" i="6" s="1"/>
  <c r="A4" i="5"/>
  <c r="Q4" i="5" s="1"/>
  <c r="A85" i="26"/>
  <c r="A85" i="21"/>
  <c r="A85" i="16"/>
  <c r="A66" i="10"/>
  <c r="A65" i="12" s="1"/>
  <c r="A42" i="4"/>
  <c r="A42" i="6" s="1"/>
  <c r="E42" i="6" s="1"/>
  <c r="A37" i="4"/>
  <c r="A37" i="6" s="1"/>
  <c r="E37" i="6" s="1"/>
  <c r="A36" i="4"/>
  <c r="A36" i="6" s="1"/>
  <c r="E36" i="6" s="1"/>
  <c r="C80" i="1"/>
  <c r="C69" i="1"/>
  <c r="Q21" i="4"/>
  <c r="A35" i="16" l="1"/>
  <c r="A32" i="16"/>
  <c r="A28" i="16"/>
  <c r="A24" i="16"/>
  <c r="A19" i="16"/>
  <c r="A15" i="16"/>
  <c r="A23" i="16"/>
  <c r="A25" i="16"/>
  <c r="A16" i="16"/>
  <c r="A31" i="16"/>
  <c r="A27" i="16"/>
  <c r="A22" i="16"/>
  <c r="A18" i="16"/>
  <c r="A33" i="16"/>
  <c r="A20" i="16"/>
  <c r="A34" i="16"/>
  <c r="A30" i="16"/>
  <c r="A26" i="16"/>
  <c r="A21" i="16"/>
  <c r="A17" i="16"/>
  <c r="A29" i="16"/>
  <c r="I85" i="16"/>
  <c r="A85" i="20"/>
  <c r="A85" i="17"/>
  <c r="A85" i="19"/>
  <c r="A85" i="18"/>
  <c r="E85" i="16"/>
  <c r="M85" i="16"/>
  <c r="Q85" i="16"/>
  <c r="Q85" i="26"/>
  <c r="I85" i="26"/>
  <c r="M85" i="26"/>
  <c r="A85" i="28"/>
  <c r="A85" i="27"/>
  <c r="A85" i="31"/>
  <c r="A85" i="29"/>
  <c r="E85" i="26"/>
  <c r="Q85" i="21"/>
  <c r="I85" i="21"/>
  <c r="M85" i="21"/>
  <c r="A85" i="22"/>
  <c r="A85" i="23"/>
  <c r="A85" i="24"/>
  <c r="E85" i="21"/>
  <c r="A85" i="25"/>
  <c r="E65" i="12"/>
  <c r="Q65" i="12"/>
  <c r="I65" i="12"/>
  <c r="M65" i="12"/>
  <c r="I36" i="6"/>
  <c r="I37" i="6"/>
  <c r="E42" i="4"/>
  <c r="I42" i="4" s="1"/>
  <c r="M42" i="4" s="1"/>
  <c r="Q42" i="4" s="1"/>
  <c r="A42" i="9"/>
  <c r="E42" i="9" s="1"/>
  <c r="I42" i="9" s="1"/>
  <c r="M42" i="9" s="1"/>
  <c r="Q42" i="9" s="1"/>
  <c r="A42" i="7"/>
  <c r="E42" i="7" s="1"/>
  <c r="I42" i="7" s="1"/>
  <c r="M42" i="7" s="1"/>
  <c r="Q42" i="7" s="1"/>
  <c r="A42" i="5"/>
  <c r="E42" i="5" s="1"/>
  <c r="I42" i="5" s="1"/>
  <c r="M42" i="5" s="1"/>
  <c r="Q42" i="5" s="1"/>
  <c r="Q36" i="4"/>
  <c r="A36" i="7"/>
  <c r="A36" i="9"/>
  <c r="A36" i="5"/>
  <c r="I36" i="5" s="1"/>
  <c r="I37" i="4"/>
  <c r="A37" i="9"/>
  <c r="A37" i="5"/>
  <c r="E37" i="5" s="1"/>
  <c r="A37" i="7"/>
  <c r="A65" i="14"/>
  <c r="A65" i="15"/>
  <c r="A65" i="13"/>
  <c r="A44" i="4"/>
  <c r="Q66" i="10"/>
  <c r="I66" i="10"/>
  <c r="M66" i="10"/>
  <c r="E66" i="10"/>
  <c r="Q37" i="6"/>
  <c r="M36" i="6"/>
  <c r="M4" i="6"/>
  <c r="Q36" i="6"/>
  <c r="M37" i="6"/>
  <c r="Q4" i="6"/>
  <c r="E4" i="6"/>
  <c r="E4" i="5"/>
  <c r="I4" i="5"/>
  <c r="M4" i="5"/>
  <c r="M37" i="4"/>
  <c r="I36" i="4"/>
  <c r="M36" i="4"/>
  <c r="Q37" i="4"/>
  <c r="E36" i="4"/>
  <c r="E37" i="4"/>
  <c r="A19" i="4"/>
  <c r="A19" i="6" s="1"/>
  <c r="I19" i="6" s="1"/>
  <c r="A18" i="4"/>
  <c r="A18" i="6" s="1"/>
  <c r="M18" i="6" s="1"/>
  <c r="A13" i="4"/>
  <c r="A13" i="6" s="1"/>
  <c r="Q13" i="6" s="1"/>
  <c r="A12" i="4"/>
  <c r="A12" i="6" s="1"/>
  <c r="Q12" i="6" s="1"/>
  <c r="C93" i="1"/>
  <c r="C94" i="1" s="1"/>
  <c r="C90" i="1"/>
  <c r="A32" i="9" s="1"/>
  <c r="C89" i="1"/>
  <c r="C88" i="1"/>
  <c r="A88" i="1"/>
  <c r="A89" i="1"/>
  <c r="A90" i="1"/>
  <c r="C87" i="1"/>
  <c r="A87" i="1"/>
  <c r="C82" i="1"/>
  <c r="C83" i="1" s="1"/>
  <c r="C79" i="1"/>
  <c r="C78" i="1"/>
  <c r="C77" i="1"/>
  <c r="C76" i="1"/>
  <c r="A31" i="7" s="1"/>
  <c r="A79" i="1"/>
  <c r="A78" i="1"/>
  <c r="A77" i="1"/>
  <c r="A76" i="1"/>
  <c r="C71" i="1"/>
  <c r="C72" i="1" s="1"/>
  <c r="C68" i="1"/>
  <c r="C67" i="1"/>
  <c r="C66" i="1"/>
  <c r="A68" i="1"/>
  <c r="A67" i="1"/>
  <c r="A66" i="1"/>
  <c r="A65" i="1"/>
  <c r="A57" i="1"/>
  <c r="A56" i="1"/>
  <c r="A55" i="1"/>
  <c r="C46" i="1"/>
  <c r="C45" i="1"/>
  <c r="C44" i="1"/>
  <c r="A45" i="1"/>
  <c r="A44" i="1"/>
  <c r="A43" i="1"/>
  <c r="A12" i="21"/>
  <c r="A71" i="16" l="1"/>
  <c r="A74" i="5"/>
  <c r="A53" i="5"/>
  <c r="A67" i="29"/>
  <c r="A26" i="7"/>
  <c r="A67" i="19"/>
  <c r="A47" i="14"/>
  <c r="A67" i="24"/>
  <c r="A65" i="5"/>
  <c r="A26" i="5"/>
  <c r="A67" i="20"/>
  <c r="A67" i="31"/>
  <c r="A47" i="15"/>
  <c r="A67" i="25"/>
  <c r="A26" i="9"/>
  <c r="A73" i="23"/>
  <c r="A73" i="18"/>
  <c r="A53" i="13"/>
  <c r="A73" i="28"/>
  <c r="A32" i="6"/>
  <c r="A73" i="20"/>
  <c r="A53" i="15"/>
  <c r="A73" i="31"/>
  <c r="A73" i="25"/>
  <c r="A67" i="18"/>
  <c r="A67" i="28"/>
  <c r="A26" i="6"/>
  <c r="A67" i="23"/>
  <c r="A47" i="13"/>
  <c r="A54" i="13"/>
  <c r="A74" i="23"/>
  <c r="A74" i="18"/>
  <c r="A33" i="6"/>
  <c r="A74" i="28"/>
  <c r="A73" i="29"/>
  <c r="A32" i="7"/>
  <c r="A73" i="24"/>
  <c r="A73" i="19"/>
  <c r="A53" i="14"/>
  <c r="A71" i="31"/>
  <c r="A71" i="20"/>
  <c r="A71" i="25"/>
  <c r="A51" i="15"/>
  <c r="A30" i="9"/>
  <c r="A74" i="25"/>
  <c r="A74" i="31"/>
  <c r="A74" i="20"/>
  <c r="A54" i="15"/>
  <c r="A33" i="9"/>
  <c r="A60" i="16"/>
  <c r="A13" i="16"/>
  <c r="A12" i="24"/>
  <c r="A12" i="25"/>
  <c r="I12" i="21"/>
  <c r="A12" i="22"/>
  <c r="M12" i="21"/>
  <c r="A12" i="23"/>
  <c r="Q12" i="21"/>
  <c r="E12" i="21"/>
  <c r="E20" i="16"/>
  <c r="A20" i="17"/>
  <c r="A20" i="19"/>
  <c r="A20" i="18"/>
  <c r="A20" i="20"/>
  <c r="A42" i="16"/>
  <c r="E24" i="16"/>
  <c r="A24" i="17"/>
  <c r="A24" i="19"/>
  <c r="A24" i="18"/>
  <c r="A24" i="20"/>
  <c r="A46" i="16"/>
  <c r="E26" i="16"/>
  <c r="A26" i="18"/>
  <c r="A26" i="19"/>
  <c r="A26" i="20"/>
  <c r="A26" i="17"/>
  <c r="A48" i="16"/>
  <c r="E33" i="16"/>
  <c r="A33" i="20"/>
  <c r="A33" i="19"/>
  <c r="A33" i="17"/>
  <c r="A33" i="18"/>
  <c r="A55" i="16"/>
  <c r="E31" i="16"/>
  <c r="A31" i="20"/>
  <c r="A53" i="16"/>
  <c r="A31" i="17"/>
  <c r="A31" i="19"/>
  <c r="A31" i="18"/>
  <c r="E23" i="16"/>
  <c r="A23" i="18"/>
  <c r="A23" i="20"/>
  <c r="A45" i="16"/>
  <c r="A23" i="19"/>
  <c r="A23" i="17"/>
  <c r="E28" i="16"/>
  <c r="A28" i="20"/>
  <c r="A28" i="17"/>
  <c r="A28" i="19"/>
  <c r="A28" i="18"/>
  <c r="A50" i="16"/>
  <c r="E21" i="16"/>
  <c r="A21" i="19"/>
  <c r="A21" i="18"/>
  <c r="A21" i="20"/>
  <c r="A21" i="17"/>
  <c r="A43" i="16"/>
  <c r="E27" i="16"/>
  <c r="A27" i="17"/>
  <c r="A27" i="20"/>
  <c r="A27" i="18"/>
  <c r="A49" i="16"/>
  <c r="A27" i="19"/>
  <c r="E29" i="16"/>
  <c r="A29" i="17"/>
  <c r="A29" i="18"/>
  <c r="A29" i="19"/>
  <c r="A29" i="20"/>
  <c r="A51" i="16"/>
  <c r="E30" i="16"/>
  <c r="A30" i="18"/>
  <c r="A30" i="17"/>
  <c r="A30" i="19"/>
  <c r="A30" i="20"/>
  <c r="A52" i="16"/>
  <c r="E18" i="16"/>
  <c r="A18" i="18"/>
  <c r="A18" i="20"/>
  <c r="A18" i="17"/>
  <c r="A18" i="19"/>
  <c r="A40" i="16"/>
  <c r="E15" i="16"/>
  <c r="A15" i="17"/>
  <c r="A15" i="20"/>
  <c r="A15" i="19"/>
  <c r="A15" i="18"/>
  <c r="A37" i="16"/>
  <c r="E32" i="16"/>
  <c r="A32" i="18"/>
  <c r="A32" i="20"/>
  <c r="A32" i="17"/>
  <c r="A32" i="19"/>
  <c r="A54" i="16"/>
  <c r="E25" i="16"/>
  <c r="A25" i="19"/>
  <c r="A25" i="17"/>
  <c r="A25" i="18"/>
  <c r="A25" i="20"/>
  <c r="A47" i="16"/>
  <c r="A33" i="21"/>
  <c r="A29" i="21"/>
  <c r="A25" i="21"/>
  <c r="A21" i="21"/>
  <c r="A17" i="21"/>
  <c r="A35" i="21"/>
  <c r="A31" i="21"/>
  <c r="A26" i="21"/>
  <c r="A20" i="21"/>
  <c r="A15" i="21"/>
  <c r="A32" i="21"/>
  <c r="A16" i="21"/>
  <c r="A30" i="21"/>
  <c r="A24" i="21"/>
  <c r="A19" i="21"/>
  <c r="A22" i="21"/>
  <c r="A34" i="21"/>
  <c r="A28" i="21"/>
  <c r="A23" i="21"/>
  <c r="A18" i="21"/>
  <c r="A27" i="21"/>
  <c r="E17" i="16"/>
  <c r="A17" i="19"/>
  <c r="A17" i="20"/>
  <c r="A17" i="17"/>
  <c r="A17" i="18"/>
  <c r="A39" i="16"/>
  <c r="E34" i="16"/>
  <c r="A34" i="18"/>
  <c r="A34" i="20"/>
  <c r="A34" i="17"/>
  <c r="A34" i="19"/>
  <c r="A56" i="16"/>
  <c r="E22" i="16"/>
  <c r="A22" i="18"/>
  <c r="A22" i="19"/>
  <c r="A22" i="20"/>
  <c r="A22" i="17"/>
  <c r="A44" i="16"/>
  <c r="E16" i="16"/>
  <c r="A16" i="18"/>
  <c r="A16" i="20"/>
  <c r="A16" i="17"/>
  <c r="A16" i="19"/>
  <c r="A38" i="16"/>
  <c r="E19" i="16"/>
  <c r="A19" i="20"/>
  <c r="A19" i="17"/>
  <c r="A19" i="19"/>
  <c r="A19" i="18"/>
  <c r="A41" i="16"/>
  <c r="E35" i="16"/>
  <c r="A35" i="17"/>
  <c r="A35" i="19"/>
  <c r="A35" i="18"/>
  <c r="A35" i="20"/>
  <c r="A57" i="16"/>
  <c r="D49" i="1"/>
  <c r="D50" i="1" s="1"/>
  <c r="D60" i="1"/>
  <c r="D61" i="1" s="1"/>
  <c r="Q18" i="6"/>
  <c r="A66" i="20"/>
  <c r="A66" i="31"/>
  <c r="A66" i="25"/>
  <c r="A46" i="15"/>
  <c r="A25" i="9"/>
  <c r="M85" i="22"/>
  <c r="I85" i="22"/>
  <c r="Q85" i="22"/>
  <c r="E85" i="22"/>
  <c r="M85" i="28"/>
  <c r="I85" i="28"/>
  <c r="Q85" i="28"/>
  <c r="E85" i="28"/>
  <c r="I85" i="29"/>
  <c r="M85" i="29"/>
  <c r="Q85" i="29"/>
  <c r="E85" i="29"/>
  <c r="I85" i="17"/>
  <c r="E85" i="17"/>
  <c r="M85" i="17"/>
  <c r="Q85" i="17"/>
  <c r="M85" i="25"/>
  <c r="I85" i="25"/>
  <c r="Q85" i="25"/>
  <c r="E85" i="25"/>
  <c r="M85" i="24"/>
  <c r="Q85" i="24"/>
  <c r="I85" i="24"/>
  <c r="E85" i="24"/>
  <c r="Q85" i="31"/>
  <c r="I85" i="31"/>
  <c r="M85" i="31"/>
  <c r="E85" i="31"/>
  <c r="I85" i="20"/>
  <c r="M85" i="20"/>
  <c r="Q85" i="20"/>
  <c r="E85" i="20"/>
  <c r="Q85" i="19"/>
  <c r="I85" i="19"/>
  <c r="M85" i="19"/>
  <c r="E85" i="19"/>
  <c r="M85" i="23"/>
  <c r="Q85" i="23"/>
  <c r="I85" i="23"/>
  <c r="E85" i="23"/>
  <c r="Q85" i="27"/>
  <c r="I85" i="27"/>
  <c r="M85" i="27"/>
  <c r="E85" i="27"/>
  <c r="I85" i="18"/>
  <c r="M85" i="18"/>
  <c r="Q85" i="18"/>
  <c r="E85" i="18"/>
  <c r="N7" i="32"/>
  <c r="T4" i="36" s="1"/>
  <c r="A21" i="6"/>
  <c r="A21" i="4"/>
  <c r="N8" i="32"/>
  <c r="T5" i="36" s="1"/>
  <c r="A21" i="7"/>
  <c r="N9" i="32"/>
  <c r="T6" i="36" s="1"/>
  <c r="A21" i="9"/>
  <c r="M21" i="4"/>
  <c r="O7" i="32"/>
  <c r="AC4" i="36" s="1"/>
  <c r="E21" i="6"/>
  <c r="I21" i="6"/>
  <c r="M21" i="6"/>
  <c r="Q21" i="6"/>
  <c r="I21" i="4"/>
  <c r="O8" i="32"/>
  <c r="AC5" i="36" s="1"/>
  <c r="E21" i="7"/>
  <c r="I21" i="7"/>
  <c r="M21" i="7"/>
  <c r="Q21" i="7"/>
  <c r="E21" i="4"/>
  <c r="E21" i="9"/>
  <c r="I21" i="9"/>
  <c r="M21" i="9"/>
  <c r="Q21" i="9"/>
  <c r="R8" i="32"/>
  <c r="AF5" i="36" s="1"/>
  <c r="R7" i="32"/>
  <c r="AF4" i="36" s="1"/>
  <c r="R9" i="32"/>
  <c r="AF6" i="36" s="1"/>
  <c r="R5" i="32"/>
  <c r="AF2" i="36" s="1"/>
  <c r="Q7" i="32"/>
  <c r="AE4" i="36" s="1"/>
  <c r="Q9" i="32"/>
  <c r="AE6" i="36" s="1"/>
  <c r="Q5" i="32"/>
  <c r="AE2" i="36" s="1"/>
  <c r="Q8" i="32"/>
  <c r="AE5" i="36" s="1"/>
  <c r="P9" i="32"/>
  <c r="AD6" i="36" s="1"/>
  <c r="P5" i="32"/>
  <c r="AD2" i="36" s="1"/>
  <c r="P7" i="32"/>
  <c r="AD4" i="36" s="1"/>
  <c r="P8" i="32"/>
  <c r="AD5" i="36" s="1"/>
  <c r="O9" i="32"/>
  <c r="AC6" i="36" s="1"/>
  <c r="O5" i="32"/>
  <c r="AC2" i="36" s="1"/>
  <c r="E31" i="7"/>
  <c r="A71" i="24"/>
  <c r="A71" i="19"/>
  <c r="A71" i="29"/>
  <c r="A51" i="14"/>
  <c r="A30" i="7"/>
  <c r="A66" i="24"/>
  <c r="A66" i="19"/>
  <c r="A66" i="29"/>
  <c r="A46" i="14"/>
  <c r="A25" i="7"/>
  <c r="A74" i="24"/>
  <c r="A74" i="19"/>
  <c r="A74" i="29"/>
  <c r="A54" i="14"/>
  <c r="A33" i="7"/>
  <c r="A25" i="6"/>
  <c r="A66" i="18"/>
  <c r="A66" i="28"/>
  <c r="A66" i="23"/>
  <c r="A46" i="13"/>
  <c r="A71" i="18"/>
  <c r="A71" i="23"/>
  <c r="A71" i="28"/>
  <c r="A51" i="13"/>
  <c r="A30" i="6"/>
  <c r="A71" i="26"/>
  <c r="A71" i="21"/>
  <c r="A52" i="10"/>
  <c r="A72" i="21"/>
  <c r="A72" i="16"/>
  <c r="A72" i="26"/>
  <c r="A53" i="10"/>
  <c r="A74" i="26"/>
  <c r="A74" i="16"/>
  <c r="A74" i="21"/>
  <c r="A55" i="10"/>
  <c r="M36" i="5"/>
  <c r="I13" i="6"/>
  <c r="I18" i="6"/>
  <c r="Q19" i="6"/>
  <c r="I12" i="6"/>
  <c r="I44" i="4"/>
  <c r="A44" i="6"/>
  <c r="Q44" i="6" s="1"/>
  <c r="M13" i="6"/>
  <c r="M12" i="6"/>
  <c r="M19" i="6"/>
  <c r="A18" i="7"/>
  <c r="A18" i="9"/>
  <c r="E18" i="6"/>
  <c r="A18" i="5"/>
  <c r="E19" i="6"/>
  <c r="A19" i="5"/>
  <c r="A19" i="9"/>
  <c r="A19" i="7"/>
  <c r="E36" i="5"/>
  <c r="I37" i="5"/>
  <c r="Q37" i="5"/>
  <c r="M44" i="4"/>
  <c r="A44" i="9"/>
  <c r="E44" i="9" s="1"/>
  <c r="A44" i="7"/>
  <c r="I44" i="7" s="1"/>
  <c r="A44" i="5"/>
  <c r="I44" i="5" s="1"/>
  <c r="E12" i="6"/>
  <c r="A12" i="5"/>
  <c r="A12" i="9"/>
  <c r="A12" i="7"/>
  <c r="M37" i="5"/>
  <c r="I37" i="9"/>
  <c r="Q37" i="9"/>
  <c r="E37" i="9"/>
  <c r="M37" i="9"/>
  <c r="E36" i="9"/>
  <c r="Q36" i="9"/>
  <c r="M36" i="9"/>
  <c r="I36" i="9"/>
  <c r="A13" i="9"/>
  <c r="A13" i="7"/>
  <c r="E13" i="6"/>
  <c r="A13" i="5"/>
  <c r="Q36" i="5"/>
  <c r="M37" i="7"/>
  <c r="I37" i="7"/>
  <c r="E37" i="7"/>
  <c r="Q37" i="7"/>
  <c r="Q36" i="7"/>
  <c r="I36" i="7"/>
  <c r="M36" i="7"/>
  <c r="E36" i="7"/>
  <c r="I65" i="15"/>
  <c r="Q65" i="15"/>
  <c r="E65" i="15"/>
  <c r="M65" i="15"/>
  <c r="Q65" i="13"/>
  <c r="M65" i="13"/>
  <c r="E65" i="13"/>
  <c r="I65" i="13"/>
  <c r="I65" i="14"/>
  <c r="Q65" i="14"/>
  <c r="E65" i="14"/>
  <c r="M65" i="14"/>
  <c r="A31" i="4"/>
  <c r="A33" i="4"/>
  <c r="Q44" i="4"/>
  <c r="E44" i="4"/>
  <c r="Q12" i="4"/>
  <c r="E12" i="4"/>
  <c r="M12" i="4"/>
  <c r="I12" i="4"/>
  <c r="M19" i="4"/>
  <c r="I19" i="4"/>
  <c r="E19" i="4"/>
  <c r="Q19" i="4"/>
  <c r="I4" i="4"/>
  <c r="E4" i="4"/>
  <c r="Q4" i="4"/>
  <c r="M4" i="4"/>
  <c r="I13" i="4"/>
  <c r="E13" i="4"/>
  <c r="Q13" i="4"/>
  <c r="M13" i="4"/>
  <c r="I18" i="4"/>
  <c r="E18" i="4"/>
  <c r="Q18" i="4"/>
  <c r="M18" i="4"/>
  <c r="A59" i="16"/>
  <c r="D91" i="1"/>
  <c r="A42" i="15" s="1"/>
  <c r="D80" i="1"/>
  <c r="E42" i="14" s="1"/>
  <c r="D69" i="1"/>
  <c r="Q12" i="32" s="1"/>
  <c r="AE9" i="36" s="1"/>
  <c r="M43" i="10"/>
  <c r="D82" i="1"/>
  <c r="D83" i="1" s="1"/>
  <c r="D93" i="1"/>
  <c r="D94" i="1" s="1"/>
  <c r="A12" i="26"/>
  <c r="D71" i="1"/>
  <c r="D72" i="1" s="1"/>
  <c r="E31" i="4" l="1"/>
  <c r="E73" i="16"/>
  <c r="E32" i="4"/>
  <c r="E73" i="24"/>
  <c r="E73" i="19"/>
  <c r="E53" i="14"/>
  <c r="E73" i="29"/>
  <c r="E32" i="7"/>
  <c r="E67" i="24"/>
  <c r="E67" i="19"/>
  <c r="E26" i="7"/>
  <c r="E67" i="29"/>
  <c r="E47" i="14"/>
  <c r="E73" i="18"/>
  <c r="E73" i="23"/>
  <c r="E53" i="13"/>
  <c r="E73" i="28"/>
  <c r="E32" i="6"/>
  <c r="E67" i="28"/>
  <c r="E47" i="13"/>
  <c r="E67" i="23"/>
  <c r="E67" i="18"/>
  <c r="E26" i="6"/>
  <c r="E47" i="12"/>
  <c r="E67" i="22"/>
  <c r="E67" i="17"/>
  <c r="E67" i="27"/>
  <c r="E73" i="25"/>
  <c r="E32" i="9"/>
  <c r="E73" i="20"/>
  <c r="E73" i="31"/>
  <c r="E53" i="15"/>
  <c r="E53" i="5"/>
  <c r="E74" i="5"/>
  <c r="E26" i="5"/>
  <c r="E65" i="5"/>
  <c r="E67" i="31"/>
  <c r="E67" i="25"/>
  <c r="E26" i="9"/>
  <c r="E67" i="20"/>
  <c r="E47" i="15"/>
  <c r="E26" i="4"/>
  <c r="E48" i="10"/>
  <c r="E67" i="16"/>
  <c r="E67" i="26"/>
  <c r="E67" i="21"/>
  <c r="E74" i="31"/>
  <c r="E74" i="20"/>
  <c r="E74" i="25"/>
  <c r="E54" i="15"/>
  <c r="E33" i="9"/>
  <c r="E66" i="27"/>
  <c r="E71" i="25"/>
  <c r="E71" i="31"/>
  <c r="E71" i="20"/>
  <c r="E51" i="15"/>
  <c r="E30" i="9"/>
  <c r="A60" i="26"/>
  <c r="A60" i="21"/>
  <c r="Q14" i="32"/>
  <c r="AE11" i="36" s="1"/>
  <c r="P14" i="32"/>
  <c r="AD11" i="36" s="1"/>
  <c r="R14" i="32"/>
  <c r="AF11" i="36" s="1"/>
  <c r="M42" i="15"/>
  <c r="E42" i="15"/>
  <c r="N14" i="32"/>
  <c r="T11" i="36" s="1"/>
  <c r="O14" i="32"/>
  <c r="AC11" i="36" s="1"/>
  <c r="I42" i="15"/>
  <c r="Q42" i="15"/>
  <c r="E13" i="16"/>
  <c r="I13" i="16"/>
  <c r="M13" i="16"/>
  <c r="A13" i="19"/>
  <c r="A13" i="17"/>
  <c r="A13" i="20"/>
  <c r="Q13" i="16"/>
  <c r="A13" i="18"/>
  <c r="A13" i="21"/>
  <c r="M12" i="22"/>
  <c r="E12" i="22"/>
  <c r="I12" i="22"/>
  <c r="Q12" i="22"/>
  <c r="M12" i="26"/>
  <c r="A12" i="29"/>
  <c r="A12" i="28"/>
  <c r="A12" i="27"/>
  <c r="A12" i="31"/>
  <c r="I12" i="26"/>
  <c r="E12" i="26"/>
  <c r="Q12" i="26"/>
  <c r="M12" i="23"/>
  <c r="Q12" i="23"/>
  <c r="E12" i="23"/>
  <c r="I12" i="23"/>
  <c r="M12" i="25"/>
  <c r="Q12" i="25"/>
  <c r="E12" i="25"/>
  <c r="I12" i="25"/>
  <c r="M12" i="24"/>
  <c r="E12" i="24"/>
  <c r="I12" i="24"/>
  <c r="Q12" i="24"/>
  <c r="A41" i="18"/>
  <c r="E19" i="18"/>
  <c r="A44" i="17"/>
  <c r="E22" i="17"/>
  <c r="E17" i="18"/>
  <c r="A39" i="18"/>
  <c r="A46" i="21"/>
  <c r="E24" i="21"/>
  <c r="A24" i="23"/>
  <c r="A24" i="24"/>
  <c r="A24" i="22"/>
  <c r="A24" i="25"/>
  <c r="A25" i="25"/>
  <c r="A25" i="22"/>
  <c r="A25" i="24"/>
  <c r="A47" i="21"/>
  <c r="A25" i="23"/>
  <c r="E25" i="21"/>
  <c r="A54" i="17"/>
  <c r="E32" i="17"/>
  <c r="E15" i="17"/>
  <c r="A37" i="17"/>
  <c r="Q18" i="16"/>
  <c r="M18" i="16"/>
  <c r="Q40" i="16"/>
  <c r="I40" i="16"/>
  <c r="M40" i="16"/>
  <c r="E40" i="16"/>
  <c r="I18" i="16"/>
  <c r="A52" i="19"/>
  <c r="E30" i="19"/>
  <c r="E29" i="17"/>
  <c r="A51" i="17"/>
  <c r="A49" i="18"/>
  <c r="E27" i="18"/>
  <c r="E21" i="19"/>
  <c r="A43" i="19"/>
  <c r="A45" i="17"/>
  <c r="E23" i="17"/>
  <c r="A53" i="17"/>
  <c r="E31" i="17"/>
  <c r="A55" i="20"/>
  <c r="E33" i="20"/>
  <c r="A48" i="20"/>
  <c r="E26" i="20"/>
  <c r="Q46" i="16"/>
  <c r="Q24" i="16"/>
  <c r="M24" i="16"/>
  <c r="M46" i="16"/>
  <c r="I46" i="16"/>
  <c r="E46" i="16"/>
  <c r="I24" i="16"/>
  <c r="A42" i="18"/>
  <c r="E20" i="18"/>
  <c r="Q35" i="16"/>
  <c r="Q57" i="16"/>
  <c r="I35" i="16"/>
  <c r="M57" i="16"/>
  <c r="I57" i="16"/>
  <c r="E57" i="16"/>
  <c r="M35" i="16"/>
  <c r="E35" i="17"/>
  <c r="A57" i="17"/>
  <c r="E19" i="19"/>
  <c r="A41" i="19"/>
  <c r="Q38" i="16"/>
  <c r="M38" i="16"/>
  <c r="Q16" i="16"/>
  <c r="I16" i="16"/>
  <c r="I38" i="16"/>
  <c r="M16" i="16"/>
  <c r="E38" i="16"/>
  <c r="A38" i="18"/>
  <c r="E16" i="18"/>
  <c r="A44" i="20"/>
  <c r="E22" i="20"/>
  <c r="M56" i="16"/>
  <c r="I56" i="16"/>
  <c r="I34" i="16"/>
  <c r="Q34" i="16"/>
  <c r="E56" i="16"/>
  <c r="M34" i="16"/>
  <c r="Q56" i="16"/>
  <c r="A56" i="18"/>
  <c r="E34" i="18"/>
  <c r="E17" i="17"/>
  <c r="A39" i="17"/>
  <c r="A27" i="23"/>
  <c r="E27" i="21"/>
  <c r="A49" i="21"/>
  <c r="A27" i="22"/>
  <c r="A27" i="24"/>
  <c r="A27" i="25"/>
  <c r="E34" i="21"/>
  <c r="A56" i="21"/>
  <c r="A34" i="25"/>
  <c r="A34" i="22"/>
  <c r="A34" i="24"/>
  <c r="A34" i="23"/>
  <c r="A52" i="21"/>
  <c r="E30" i="21"/>
  <c r="A30" i="22"/>
  <c r="A30" i="24"/>
  <c r="A30" i="23"/>
  <c r="A30" i="25"/>
  <c r="A15" i="23"/>
  <c r="E15" i="21"/>
  <c r="A37" i="21"/>
  <c r="A15" i="22"/>
  <c r="A15" i="24"/>
  <c r="A15" i="25"/>
  <c r="E35" i="21"/>
  <c r="A57" i="21"/>
  <c r="A35" i="23"/>
  <c r="A35" i="22"/>
  <c r="A35" i="25"/>
  <c r="A35" i="24"/>
  <c r="A51" i="21"/>
  <c r="A29" i="23"/>
  <c r="A29" i="22"/>
  <c r="A29" i="24"/>
  <c r="A29" i="25"/>
  <c r="E29" i="21"/>
  <c r="A47" i="20"/>
  <c r="E25" i="20"/>
  <c r="A54" i="20"/>
  <c r="E32" i="20"/>
  <c r="A37" i="18"/>
  <c r="E15" i="18"/>
  <c r="A40" i="19"/>
  <c r="E18" i="19"/>
  <c r="E30" i="17"/>
  <c r="A52" i="17"/>
  <c r="A51" i="20"/>
  <c r="E29" i="20"/>
  <c r="E27" i="20"/>
  <c r="A49" i="20"/>
  <c r="E21" i="17"/>
  <c r="A43" i="17"/>
  <c r="A50" i="17"/>
  <c r="E28" i="17"/>
  <c r="E23" i="19"/>
  <c r="A45" i="19"/>
  <c r="M53" i="16"/>
  <c r="Q31" i="16"/>
  <c r="I53" i="16"/>
  <c r="E53" i="16"/>
  <c r="M31" i="16"/>
  <c r="I31" i="16"/>
  <c r="Q53" i="16"/>
  <c r="E33" i="18"/>
  <c r="A55" i="18"/>
  <c r="A48" i="19"/>
  <c r="E26" i="19"/>
  <c r="A46" i="20"/>
  <c r="E24" i="20"/>
  <c r="E20" i="19"/>
  <c r="A42" i="19"/>
  <c r="E35" i="19"/>
  <c r="A57" i="19"/>
  <c r="A56" i="20"/>
  <c r="E34" i="20"/>
  <c r="E28" i="21"/>
  <c r="A28" i="23"/>
  <c r="A50" i="21"/>
  <c r="A28" i="25"/>
  <c r="A28" i="24"/>
  <c r="A28" i="22"/>
  <c r="A31" i="23"/>
  <c r="A53" i="21"/>
  <c r="E31" i="21"/>
  <c r="A31" i="22"/>
  <c r="A31" i="24"/>
  <c r="A31" i="25"/>
  <c r="Q47" i="16"/>
  <c r="Q25" i="16"/>
  <c r="I47" i="16"/>
  <c r="I25" i="16"/>
  <c r="M25" i="16"/>
  <c r="E47" i="16"/>
  <c r="M47" i="16"/>
  <c r="M37" i="16"/>
  <c r="E37" i="16"/>
  <c r="Q15" i="16"/>
  <c r="I37" i="16"/>
  <c r="M15" i="16"/>
  <c r="Q37" i="16"/>
  <c r="I15" i="16"/>
  <c r="E18" i="18"/>
  <c r="A40" i="18"/>
  <c r="I51" i="16"/>
  <c r="Q29" i="16"/>
  <c r="I29" i="16"/>
  <c r="M51" i="16"/>
  <c r="M29" i="16"/>
  <c r="E51" i="16"/>
  <c r="Q51" i="16"/>
  <c r="I43" i="16"/>
  <c r="Q43" i="16"/>
  <c r="E43" i="16"/>
  <c r="M21" i="16"/>
  <c r="Q21" i="16"/>
  <c r="I21" i="16"/>
  <c r="M43" i="16"/>
  <c r="A50" i="19"/>
  <c r="E28" i="19"/>
  <c r="Q55" i="16"/>
  <c r="M33" i="16"/>
  <c r="Q33" i="16"/>
  <c r="E55" i="16"/>
  <c r="M55" i="16"/>
  <c r="I33" i="16"/>
  <c r="I55" i="16"/>
  <c r="A46" i="17"/>
  <c r="E24" i="17"/>
  <c r="A57" i="20"/>
  <c r="E35" i="20"/>
  <c r="A41" i="17"/>
  <c r="E19" i="17"/>
  <c r="E16" i="19"/>
  <c r="A38" i="19"/>
  <c r="A44" i="19"/>
  <c r="E22" i="19"/>
  <c r="E34" i="19"/>
  <c r="A39" i="20"/>
  <c r="E17" i="20"/>
  <c r="A18" i="23"/>
  <c r="A40" i="21"/>
  <c r="E18" i="21"/>
  <c r="A18" i="25"/>
  <c r="A18" i="22"/>
  <c r="A18" i="24"/>
  <c r="A22" i="23"/>
  <c r="A44" i="21"/>
  <c r="E22" i="21"/>
  <c r="A22" i="22"/>
  <c r="A22" i="24"/>
  <c r="A22" i="25"/>
  <c r="A20" i="25"/>
  <c r="A42" i="21"/>
  <c r="E20" i="21"/>
  <c r="A20" i="23"/>
  <c r="A20" i="22"/>
  <c r="A20" i="24"/>
  <c r="A17" i="25"/>
  <c r="A17" i="24"/>
  <c r="A39" i="21"/>
  <c r="A17" i="23"/>
  <c r="A17" i="22"/>
  <c r="E17" i="21"/>
  <c r="A55" i="21"/>
  <c r="A33" i="23"/>
  <c r="A33" i="22"/>
  <c r="A33" i="24"/>
  <c r="A33" i="25"/>
  <c r="E33" i="21"/>
  <c r="E25" i="18"/>
  <c r="A47" i="18"/>
  <c r="Q54" i="16"/>
  <c r="I54" i="16"/>
  <c r="Q32" i="16"/>
  <c r="E54" i="16"/>
  <c r="I32" i="16"/>
  <c r="M32" i="16"/>
  <c r="M54" i="16"/>
  <c r="E32" i="18"/>
  <c r="A54" i="18"/>
  <c r="E15" i="19"/>
  <c r="A37" i="19"/>
  <c r="E18" i="17"/>
  <c r="A40" i="17"/>
  <c r="I52" i="16"/>
  <c r="Q52" i="16"/>
  <c r="E52" i="16"/>
  <c r="M30" i="16"/>
  <c r="Q30" i="16"/>
  <c r="I30" i="16"/>
  <c r="M52" i="16"/>
  <c r="E30" i="18"/>
  <c r="A52" i="18"/>
  <c r="A51" i="19"/>
  <c r="E29" i="19"/>
  <c r="E27" i="19"/>
  <c r="A49" i="19"/>
  <c r="E27" i="17"/>
  <c r="A49" i="17"/>
  <c r="A43" i="20"/>
  <c r="E21" i="20"/>
  <c r="Q50" i="16"/>
  <c r="I50" i="16"/>
  <c r="Q28" i="16"/>
  <c r="I28" i="16"/>
  <c r="M50" i="16"/>
  <c r="E50" i="16"/>
  <c r="M28" i="16"/>
  <c r="A50" i="20"/>
  <c r="E28" i="20"/>
  <c r="M23" i="16"/>
  <c r="I23" i="16"/>
  <c r="I45" i="16"/>
  <c r="Q23" i="16"/>
  <c r="Q45" i="16"/>
  <c r="E45" i="16"/>
  <c r="M45" i="16"/>
  <c r="A53" i="18"/>
  <c r="E31" i="18"/>
  <c r="E31" i="20"/>
  <c r="A53" i="20"/>
  <c r="A55" i="17"/>
  <c r="E33" i="17"/>
  <c r="Q26" i="16"/>
  <c r="M26" i="16"/>
  <c r="Q48" i="16"/>
  <c r="M48" i="16"/>
  <c r="E48" i="16"/>
  <c r="I26" i="16"/>
  <c r="I48" i="16"/>
  <c r="E26" i="18"/>
  <c r="A48" i="18"/>
  <c r="A46" i="18"/>
  <c r="E24" i="18"/>
  <c r="Q42" i="16"/>
  <c r="Q20" i="16"/>
  <c r="M20" i="16"/>
  <c r="I20" i="16"/>
  <c r="I42" i="16"/>
  <c r="M42" i="16"/>
  <c r="E42" i="16"/>
  <c r="E20" i="17"/>
  <c r="A42" i="17"/>
  <c r="A38" i="20"/>
  <c r="E16" i="20"/>
  <c r="A32" i="25"/>
  <c r="E32" i="21"/>
  <c r="A32" i="23"/>
  <c r="A54" i="21"/>
  <c r="A32" i="22"/>
  <c r="A32" i="24"/>
  <c r="E25" i="19"/>
  <c r="A47" i="19"/>
  <c r="A45" i="18"/>
  <c r="E23" i="18"/>
  <c r="A57" i="18"/>
  <c r="E35" i="18"/>
  <c r="M41" i="16"/>
  <c r="Q19" i="16"/>
  <c r="I41" i="16"/>
  <c r="E41" i="16"/>
  <c r="M19" i="16"/>
  <c r="Q41" i="16"/>
  <c r="I19" i="16"/>
  <c r="E19" i="20"/>
  <c r="A41" i="20"/>
  <c r="A38" i="17"/>
  <c r="E16" i="17"/>
  <c r="M22" i="16"/>
  <c r="M44" i="16"/>
  <c r="Q44" i="16"/>
  <c r="Q22" i="16"/>
  <c r="I22" i="16"/>
  <c r="E44" i="16"/>
  <c r="I44" i="16"/>
  <c r="E22" i="18"/>
  <c r="A44" i="18"/>
  <c r="E34" i="17"/>
  <c r="A56" i="17"/>
  <c r="Q17" i="16"/>
  <c r="I17" i="16"/>
  <c r="Q39" i="16"/>
  <c r="I39" i="16"/>
  <c r="E39" i="16"/>
  <c r="M17" i="16"/>
  <c r="M39" i="16"/>
  <c r="A39" i="19"/>
  <c r="E17" i="19"/>
  <c r="A45" i="21"/>
  <c r="E23" i="21"/>
  <c r="A23" i="25"/>
  <c r="A23" i="23"/>
  <c r="A23" i="22"/>
  <c r="A23" i="24"/>
  <c r="A41" i="21"/>
  <c r="E19" i="21"/>
  <c r="A19" i="23"/>
  <c r="A19" i="22"/>
  <c r="A19" i="24"/>
  <c r="A19" i="25"/>
  <c r="A38" i="21"/>
  <c r="E16" i="21"/>
  <c r="A16" i="23"/>
  <c r="A16" i="22"/>
  <c r="A16" i="24"/>
  <c r="A16" i="25"/>
  <c r="A26" i="23"/>
  <c r="A48" i="21"/>
  <c r="E26" i="21"/>
  <c r="A26" i="22"/>
  <c r="A26" i="24"/>
  <c r="A26" i="25"/>
  <c r="A21" i="25"/>
  <c r="A21" i="24"/>
  <c r="A43" i="21"/>
  <c r="A21" i="23"/>
  <c r="A21" i="22"/>
  <c r="E21" i="21"/>
  <c r="A33" i="26"/>
  <c r="A29" i="26"/>
  <c r="A25" i="26"/>
  <c r="A21" i="26"/>
  <c r="A17" i="26"/>
  <c r="A35" i="26"/>
  <c r="A32" i="26"/>
  <c r="A28" i="26"/>
  <c r="A24" i="26"/>
  <c r="A20" i="26"/>
  <c r="A16" i="26"/>
  <c r="A34" i="26"/>
  <c r="A26" i="26"/>
  <c r="A18" i="26"/>
  <c r="A31" i="26"/>
  <c r="A23" i="26"/>
  <c r="A15" i="26"/>
  <c r="A27" i="26"/>
  <c r="A30" i="26"/>
  <c r="A22" i="26"/>
  <c r="A19" i="26"/>
  <c r="E25" i="17"/>
  <c r="A47" i="17"/>
  <c r="A54" i="19"/>
  <c r="E32" i="19"/>
  <c r="E15" i="20"/>
  <c r="A37" i="20"/>
  <c r="A40" i="20"/>
  <c r="E18" i="20"/>
  <c r="A52" i="20"/>
  <c r="E30" i="20"/>
  <c r="E29" i="18"/>
  <c r="A51" i="18"/>
  <c r="M49" i="16"/>
  <c r="M27" i="16"/>
  <c r="I49" i="16"/>
  <c r="I27" i="16"/>
  <c r="Q27" i="16"/>
  <c r="E49" i="16"/>
  <c r="Q49" i="16"/>
  <c r="E21" i="18"/>
  <c r="A43" i="18"/>
  <c r="A50" i="18"/>
  <c r="E28" i="18"/>
  <c r="E23" i="20"/>
  <c r="A45" i="20"/>
  <c r="E31" i="19"/>
  <c r="A53" i="19"/>
  <c r="E33" i="19"/>
  <c r="A55" i="19"/>
  <c r="E26" i="17"/>
  <c r="A48" i="17"/>
  <c r="E24" i="19"/>
  <c r="A46" i="19"/>
  <c r="A42" i="20"/>
  <c r="E20" i="20"/>
  <c r="E33" i="1"/>
  <c r="E34" i="1" s="1"/>
  <c r="E35" i="1" s="1"/>
  <c r="E60" i="1"/>
  <c r="E61" i="1" s="1"/>
  <c r="E49" i="1"/>
  <c r="E50" i="1" s="1"/>
  <c r="Q42" i="14"/>
  <c r="M42" i="14"/>
  <c r="I42" i="14"/>
  <c r="Q42" i="13"/>
  <c r="M42" i="13"/>
  <c r="I42" i="13"/>
  <c r="A43" i="10"/>
  <c r="N10" i="32"/>
  <c r="T7" i="36" s="1"/>
  <c r="A42" i="13"/>
  <c r="R10" i="32"/>
  <c r="AF7" i="36" s="1"/>
  <c r="O10" i="32"/>
  <c r="AC7" i="36" s="1"/>
  <c r="Q13" i="32"/>
  <c r="AE10" i="36" s="1"/>
  <c r="R12" i="32"/>
  <c r="AF9" i="36" s="1"/>
  <c r="P12" i="32"/>
  <c r="AD9" i="36" s="1"/>
  <c r="N13" i="32"/>
  <c r="T10" i="36" s="1"/>
  <c r="N12" i="32"/>
  <c r="T9" i="36" s="1"/>
  <c r="Q10" i="32"/>
  <c r="AE7" i="36" s="1"/>
  <c r="I43" i="10"/>
  <c r="E42" i="13"/>
  <c r="Q43" i="10"/>
  <c r="A42" i="14"/>
  <c r="E43" i="10"/>
  <c r="R13" i="32"/>
  <c r="AF10" i="36" s="1"/>
  <c r="P13" i="32"/>
  <c r="AD10" i="36" s="1"/>
  <c r="P10" i="32"/>
  <c r="AD7" i="36" s="1"/>
  <c r="E66" i="31"/>
  <c r="E66" i="25"/>
  <c r="E66" i="20"/>
  <c r="E46" i="15"/>
  <c r="E25" i="9"/>
  <c r="I31" i="7"/>
  <c r="E74" i="24"/>
  <c r="E74" i="29"/>
  <c r="E74" i="19"/>
  <c r="E54" i="14"/>
  <c r="E33" i="7"/>
  <c r="E66" i="29"/>
  <c r="E66" i="19"/>
  <c r="E66" i="24"/>
  <c r="E25" i="7"/>
  <c r="E46" i="14"/>
  <c r="O13" i="32"/>
  <c r="AC10" i="36" s="1"/>
  <c r="E71" i="29"/>
  <c r="E71" i="19"/>
  <c r="E71" i="24"/>
  <c r="E51" i="14"/>
  <c r="E30" i="7"/>
  <c r="O12" i="32"/>
  <c r="AC9" i="36" s="1"/>
  <c r="E25" i="6"/>
  <c r="E66" i="28"/>
  <c r="E66" i="23"/>
  <c r="E66" i="18"/>
  <c r="E46" i="13"/>
  <c r="E74" i="28"/>
  <c r="E74" i="18"/>
  <c r="E74" i="23"/>
  <c r="E54" i="13"/>
  <c r="E33" i="6"/>
  <c r="I72" i="18"/>
  <c r="E71" i="28"/>
  <c r="E71" i="23"/>
  <c r="E71" i="18"/>
  <c r="E51" i="13"/>
  <c r="E30" i="6"/>
  <c r="E71" i="16"/>
  <c r="E71" i="21"/>
  <c r="E71" i="26"/>
  <c r="E52" i="10"/>
  <c r="E72" i="26"/>
  <c r="E72" i="16"/>
  <c r="E72" i="21"/>
  <c r="E53" i="10"/>
  <c r="E66" i="21"/>
  <c r="E66" i="16"/>
  <c r="E66" i="26"/>
  <c r="E47" i="10"/>
  <c r="E74" i="16"/>
  <c r="E74" i="26"/>
  <c r="E74" i="21"/>
  <c r="E55" i="10"/>
  <c r="I44" i="6"/>
  <c r="Q44" i="7"/>
  <c r="E44" i="6"/>
  <c r="I42" i="6"/>
  <c r="M42" i="6" s="1"/>
  <c r="Q42" i="6" s="1"/>
  <c r="M44" i="6"/>
  <c r="I44" i="9"/>
  <c r="M44" i="9"/>
  <c r="M44" i="7"/>
  <c r="E44" i="7"/>
  <c r="Q44" i="9"/>
  <c r="I13" i="7"/>
  <c r="Q13" i="7"/>
  <c r="M13" i="7"/>
  <c r="E13" i="7"/>
  <c r="Q44" i="5"/>
  <c r="E44" i="5"/>
  <c r="Q19" i="7"/>
  <c r="M19" i="7"/>
  <c r="E19" i="7"/>
  <c r="I19" i="7"/>
  <c r="M13" i="9"/>
  <c r="E13" i="9"/>
  <c r="I13" i="9"/>
  <c r="Q13" i="9"/>
  <c r="I12" i="9"/>
  <c r="E12" i="9"/>
  <c r="Q12" i="9"/>
  <c r="M12" i="9"/>
  <c r="Q19" i="9"/>
  <c r="M19" i="9"/>
  <c r="I19" i="9"/>
  <c r="E19" i="9"/>
  <c r="E18" i="5"/>
  <c r="M18" i="5"/>
  <c r="Q18" i="5"/>
  <c r="I18" i="5"/>
  <c r="M44" i="5"/>
  <c r="I13" i="5"/>
  <c r="E13" i="5"/>
  <c r="M13" i="5"/>
  <c r="Q13" i="5"/>
  <c r="M12" i="5"/>
  <c r="E12" i="5"/>
  <c r="Q12" i="5"/>
  <c r="I12" i="5"/>
  <c r="Q19" i="5"/>
  <c r="I19" i="5"/>
  <c r="M19" i="5"/>
  <c r="E19" i="5"/>
  <c r="M18" i="9"/>
  <c r="I18" i="9"/>
  <c r="E18" i="9"/>
  <c r="Q18" i="9"/>
  <c r="M12" i="7"/>
  <c r="E12" i="7"/>
  <c r="Q12" i="7"/>
  <c r="I12" i="7"/>
  <c r="Q18" i="7"/>
  <c r="E18" i="7"/>
  <c r="I18" i="7"/>
  <c r="M18" i="7"/>
  <c r="E25" i="4"/>
  <c r="A43" i="4"/>
  <c r="A43" i="6" s="1"/>
  <c r="E43" i="6" s="1"/>
  <c r="A65" i="10"/>
  <c r="A64" i="12" s="1"/>
  <c r="E33" i="4"/>
  <c r="E30" i="4"/>
  <c r="A59" i="21"/>
  <c r="E91" i="1"/>
  <c r="E80" i="1"/>
  <c r="E69" i="1"/>
  <c r="E93" i="1"/>
  <c r="E94" i="1" s="1"/>
  <c r="E82" i="1"/>
  <c r="E83" i="1" s="1"/>
  <c r="E71" i="1"/>
  <c r="E72" i="1" s="1"/>
  <c r="F32" i="1"/>
  <c r="G32" i="1" s="1"/>
  <c r="H32" i="1" s="1"/>
  <c r="I32" i="1" s="1"/>
  <c r="I31" i="4" l="1"/>
  <c r="I73" i="16"/>
  <c r="I32" i="4"/>
  <c r="I73" i="23"/>
  <c r="I73" i="18"/>
  <c r="I53" i="13"/>
  <c r="I73" i="28"/>
  <c r="I32" i="6"/>
  <c r="I65" i="5"/>
  <c r="I26" i="5"/>
  <c r="I47" i="15"/>
  <c r="I67" i="20"/>
  <c r="I67" i="31"/>
  <c r="I67" i="25"/>
  <c r="I26" i="9"/>
  <c r="I47" i="12"/>
  <c r="I67" i="22"/>
  <c r="I67" i="27"/>
  <c r="I67" i="17"/>
  <c r="I53" i="15"/>
  <c r="I73" i="31"/>
  <c r="I73" i="25"/>
  <c r="I32" i="9"/>
  <c r="I73" i="20"/>
  <c r="I26" i="6"/>
  <c r="I67" i="23"/>
  <c r="I67" i="18"/>
  <c r="I47" i="13"/>
  <c r="I67" i="28"/>
  <c r="I73" i="24"/>
  <c r="I73" i="19"/>
  <c r="I53" i="14"/>
  <c r="I32" i="7"/>
  <c r="I73" i="29"/>
  <c r="M32" i="6"/>
  <c r="M73" i="23"/>
  <c r="M73" i="18"/>
  <c r="M53" i="13"/>
  <c r="M73" i="28"/>
  <c r="I67" i="24"/>
  <c r="I47" i="14"/>
  <c r="I67" i="29"/>
  <c r="I26" i="7"/>
  <c r="I67" i="19"/>
  <c r="I26" i="4"/>
  <c r="I67" i="26"/>
  <c r="I67" i="21"/>
  <c r="I67" i="16"/>
  <c r="I48" i="10"/>
  <c r="I74" i="5"/>
  <c r="I53" i="5"/>
  <c r="I66" i="27"/>
  <c r="I71" i="31"/>
  <c r="I71" i="20"/>
  <c r="I71" i="25"/>
  <c r="I51" i="15"/>
  <c r="I30" i="9"/>
  <c r="I74" i="20"/>
  <c r="I74" i="25"/>
  <c r="I74" i="31"/>
  <c r="I54" i="15"/>
  <c r="I33" i="9"/>
  <c r="A60" i="23"/>
  <c r="A60" i="22"/>
  <c r="A60" i="25"/>
  <c r="A60" i="24"/>
  <c r="M60" i="26"/>
  <c r="A60" i="28"/>
  <c r="A60" i="27"/>
  <c r="A60" i="31"/>
  <c r="A60" i="29"/>
  <c r="Q60" i="26"/>
  <c r="E60" i="26"/>
  <c r="I60" i="26"/>
  <c r="Q19" i="32"/>
  <c r="AE16" i="36" s="1"/>
  <c r="M62" i="20"/>
  <c r="Q62" i="20"/>
  <c r="R19" i="32"/>
  <c r="AF16" i="36" s="1"/>
  <c r="N19" i="32"/>
  <c r="T16" i="36" s="1"/>
  <c r="A62" i="20"/>
  <c r="E62" i="20"/>
  <c r="I62" i="20"/>
  <c r="O19" i="32"/>
  <c r="AC16" i="36" s="1"/>
  <c r="P19" i="32"/>
  <c r="AD16" i="36" s="1"/>
  <c r="A59" i="23"/>
  <c r="A59" i="24"/>
  <c r="A59" i="25"/>
  <c r="A59" i="22"/>
  <c r="I13" i="19"/>
  <c r="E13" i="19"/>
  <c r="M13" i="19"/>
  <c r="Q13" i="19"/>
  <c r="A13" i="23"/>
  <c r="M13" i="21"/>
  <c r="Q13" i="21"/>
  <c r="I13" i="21"/>
  <c r="E13" i="21"/>
  <c r="A13" i="24"/>
  <c r="A13" i="25"/>
  <c r="A13" i="22"/>
  <c r="I13" i="20"/>
  <c r="Q13" i="20"/>
  <c r="E13" i="20"/>
  <c r="M13" i="20"/>
  <c r="M13" i="18"/>
  <c r="Q13" i="18"/>
  <c r="I13" i="18"/>
  <c r="E13" i="18"/>
  <c r="A13" i="26"/>
  <c r="Q13" i="17"/>
  <c r="M13" i="17"/>
  <c r="E13" i="17"/>
  <c r="I13" i="17"/>
  <c r="M12" i="28"/>
  <c r="I12" i="28"/>
  <c r="E12" i="28"/>
  <c r="Q12" i="28"/>
  <c r="E12" i="27"/>
  <c r="I12" i="27"/>
  <c r="Q12" i="27"/>
  <c r="M12" i="27"/>
  <c r="I12" i="29"/>
  <c r="E12" i="29"/>
  <c r="Q12" i="29"/>
  <c r="M12" i="29"/>
  <c r="Q12" i="31"/>
  <c r="M12" i="31"/>
  <c r="I12" i="31"/>
  <c r="E12" i="31"/>
  <c r="Q26" i="17"/>
  <c r="E48" i="17"/>
  <c r="I48" i="17"/>
  <c r="M48" i="17"/>
  <c r="M26" i="17"/>
  <c r="Q48" i="17"/>
  <c r="I26" i="17"/>
  <c r="M40" i="20"/>
  <c r="Q40" i="20"/>
  <c r="M18" i="20"/>
  <c r="I18" i="20"/>
  <c r="I40" i="20"/>
  <c r="E40" i="20"/>
  <c r="Q18" i="20"/>
  <c r="A16" i="31"/>
  <c r="A16" i="29"/>
  <c r="A16" i="28"/>
  <c r="A16" i="27"/>
  <c r="A38" i="26"/>
  <c r="E16" i="26"/>
  <c r="A43" i="25"/>
  <c r="E21" i="25"/>
  <c r="E38" i="21"/>
  <c r="I16" i="21"/>
  <c r="M16" i="21"/>
  <c r="I38" i="21"/>
  <c r="M38" i="21"/>
  <c r="Q16" i="21"/>
  <c r="Q38" i="21"/>
  <c r="E45" i="21"/>
  <c r="Q23" i="21"/>
  <c r="I45" i="21"/>
  <c r="M45" i="21"/>
  <c r="Q45" i="21"/>
  <c r="I23" i="21"/>
  <c r="M23" i="21"/>
  <c r="Q44" i="18"/>
  <c r="I44" i="18"/>
  <c r="M22" i="18"/>
  <c r="Q22" i="18"/>
  <c r="E44" i="18"/>
  <c r="M44" i="18"/>
  <c r="I22" i="18"/>
  <c r="E46" i="18"/>
  <c r="Q46" i="18"/>
  <c r="I46" i="18"/>
  <c r="M24" i="18"/>
  <c r="I24" i="18"/>
  <c r="Q24" i="18"/>
  <c r="M46" i="18"/>
  <c r="Q53" i="20"/>
  <c r="M31" i="20"/>
  <c r="E53" i="20"/>
  <c r="Q31" i="20"/>
  <c r="I53" i="20"/>
  <c r="I31" i="20"/>
  <c r="M53" i="20"/>
  <c r="E50" i="20"/>
  <c r="I28" i="20"/>
  <c r="M28" i="20"/>
  <c r="I50" i="20"/>
  <c r="M50" i="20"/>
  <c r="Q50" i="20"/>
  <c r="Q28" i="20"/>
  <c r="M52" i="18"/>
  <c r="I52" i="18"/>
  <c r="M30" i="18"/>
  <c r="Q30" i="18"/>
  <c r="E52" i="18"/>
  <c r="Q52" i="18"/>
  <c r="I30" i="18"/>
  <c r="A55" i="23"/>
  <c r="E33" i="23"/>
  <c r="Q42" i="21"/>
  <c r="Q20" i="21"/>
  <c r="I20" i="21"/>
  <c r="E42" i="21"/>
  <c r="M42" i="21"/>
  <c r="M20" i="21"/>
  <c r="I42" i="21"/>
  <c r="M44" i="21"/>
  <c r="E44" i="21"/>
  <c r="Q44" i="21"/>
  <c r="M22" i="21"/>
  <c r="Q22" i="21"/>
  <c r="I22" i="21"/>
  <c r="I44" i="21"/>
  <c r="A53" i="24"/>
  <c r="E31" i="24"/>
  <c r="Q56" i="20"/>
  <c r="I56" i="20"/>
  <c r="I34" i="20"/>
  <c r="Q34" i="20"/>
  <c r="E56" i="20"/>
  <c r="M34" i="20"/>
  <c r="M56" i="20"/>
  <c r="E48" i="19"/>
  <c r="Q48" i="19"/>
  <c r="I48" i="19"/>
  <c r="I26" i="19"/>
  <c r="M26" i="19"/>
  <c r="Q26" i="19"/>
  <c r="M48" i="19"/>
  <c r="M27" i="20"/>
  <c r="E49" i="20"/>
  <c r="Q27" i="20"/>
  <c r="I49" i="20"/>
  <c r="Q49" i="20"/>
  <c r="I27" i="20"/>
  <c r="M49" i="20"/>
  <c r="I37" i="18"/>
  <c r="I15" i="18"/>
  <c r="E37" i="18"/>
  <c r="M37" i="18"/>
  <c r="Q15" i="18"/>
  <c r="M15" i="18"/>
  <c r="Q37" i="18"/>
  <c r="M25" i="20"/>
  <c r="M47" i="20"/>
  <c r="I47" i="20"/>
  <c r="Q25" i="20"/>
  <c r="Q47" i="20"/>
  <c r="E47" i="20"/>
  <c r="I25" i="20"/>
  <c r="E29" i="22"/>
  <c r="A51" i="22"/>
  <c r="E35" i="25"/>
  <c r="A57" i="25"/>
  <c r="I37" i="21"/>
  <c r="I15" i="21"/>
  <c r="M15" i="21"/>
  <c r="E37" i="21"/>
  <c r="M37" i="21"/>
  <c r="Q15" i="21"/>
  <c r="Q37" i="21"/>
  <c r="E30" i="23"/>
  <c r="A52" i="23"/>
  <c r="I30" i="21"/>
  <c r="Q52" i="21"/>
  <c r="M30" i="21"/>
  <c r="M52" i="21"/>
  <c r="I52" i="21"/>
  <c r="Q30" i="21"/>
  <c r="E52" i="21"/>
  <c r="A56" i="25"/>
  <c r="E34" i="25"/>
  <c r="A49" i="24"/>
  <c r="E27" i="24"/>
  <c r="E56" i="18"/>
  <c r="Q56" i="18"/>
  <c r="M34" i="18"/>
  <c r="M56" i="18"/>
  <c r="I34" i="18"/>
  <c r="I56" i="18"/>
  <c r="Q34" i="18"/>
  <c r="E48" i="20"/>
  <c r="Q48" i="20"/>
  <c r="M26" i="20"/>
  <c r="I26" i="20"/>
  <c r="I48" i="20"/>
  <c r="M48" i="20"/>
  <c r="Q26" i="20"/>
  <c r="I53" i="17"/>
  <c r="Q53" i="17"/>
  <c r="I31" i="17"/>
  <c r="M53" i="17"/>
  <c r="Q31" i="17"/>
  <c r="E53" i="17"/>
  <c r="M31" i="17"/>
  <c r="I47" i="21"/>
  <c r="Q47" i="21"/>
  <c r="Q25" i="21"/>
  <c r="I25" i="21"/>
  <c r="E47" i="21"/>
  <c r="M25" i="21"/>
  <c r="M47" i="21"/>
  <c r="A46" i="25"/>
  <c r="E24" i="25"/>
  <c r="I42" i="20"/>
  <c r="M20" i="20"/>
  <c r="Q20" i="20"/>
  <c r="Q42" i="20"/>
  <c r="M42" i="20"/>
  <c r="I20" i="20"/>
  <c r="E42" i="20"/>
  <c r="E50" i="18"/>
  <c r="M28" i="18"/>
  <c r="M50" i="18"/>
  <c r="I28" i="18"/>
  <c r="Q28" i="18"/>
  <c r="I50" i="18"/>
  <c r="Q50" i="18"/>
  <c r="A41" i="26"/>
  <c r="A19" i="31"/>
  <c r="A19" i="29"/>
  <c r="E19" i="26"/>
  <c r="A19" i="28"/>
  <c r="A19" i="27"/>
  <c r="A15" i="31"/>
  <c r="A15" i="29"/>
  <c r="E15" i="26"/>
  <c r="A15" i="28"/>
  <c r="A15" i="27"/>
  <c r="A37" i="26"/>
  <c r="A40" i="26"/>
  <c r="A18" i="31"/>
  <c r="A18" i="28"/>
  <c r="A18" i="27"/>
  <c r="E18" i="26"/>
  <c r="A18" i="29"/>
  <c r="A20" i="31"/>
  <c r="A20" i="29"/>
  <c r="A20" i="28"/>
  <c r="A20" i="27"/>
  <c r="A42" i="26"/>
  <c r="E20" i="26"/>
  <c r="A35" i="31"/>
  <c r="A35" i="29"/>
  <c r="A35" i="28"/>
  <c r="A35" i="27"/>
  <c r="A57" i="26"/>
  <c r="E35" i="26"/>
  <c r="A29" i="28"/>
  <c r="A29" i="27"/>
  <c r="A51" i="26"/>
  <c r="A29" i="31"/>
  <c r="A29" i="29"/>
  <c r="E29" i="26"/>
  <c r="E21" i="23"/>
  <c r="A43" i="23"/>
  <c r="A48" i="25"/>
  <c r="E26" i="25"/>
  <c r="M48" i="21"/>
  <c r="E48" i="21"/>
  <c r="M26" i="21"/>
  <c r="Q26" i="21"/>
  <c r="I48" i="21"/>
  <c r="Q48" i="21"/>
  <c r="I26" i="21"/>
  <c r="E16" i="22"/>
  <c r="A38" i="22"/>
  <c r="E19" i="25"/>
  <c r="A41" i="25"/>
  <c r="A45" i="23"/>
  <c r="E23" i="23"/>
  <c r="Q57" i="18"/>
  <c r="E57" i="18"/>
  <c r="I35" i="18"/>
  <c r="Q35" i="18"/>
  <c r="M57" i="18"/>
  <c r="M35" i="18"/>
  <c r="I57" i="18"/>
  <c r="A54" i="23"/>
  <c r="E32" i="23"/>
  <c r="Q16" i="20"/>
  <c r="Q38" i="20"/>
  <c r="M38" i="20"/>
  <c r="I16" i="20"/>
  <c r="E38" i="20"/>
  <c r="M16" i="20"/>
  <c r="I38" i="20"/>
  <c r="I26" i="18"/>
  <c r="Q48" i="18"/>
  <c r="I48" i="18"/>
  <c r="M26" i="18"/>
  <c r="Q26" i="18"/>
  <c r="E48" i="18"/>
  <c r="M48" i="18"/>
  <c r="I43" i="20"/>
  <c r="M43" i="20"/>
  <c r="Q43" i="20"/>
  <c r="E43" i="20"/>
  <c r="I21" i="20"/>
  <c r="M21" i="20"/>
  <c r="Q21" i="20"/>
  <c r="Q18" i="17"/>
  <c r="M18" i="17"/>
  <c r="I18" i="17"/>
  <c r="E40" i="17"/>
  <c r="I40" i="17"/>
  <c r="M40" i="17"/>
  <c r="Q40" i="17"/>
  <c r="M54" i="18"/>
  <c r="E54" i="18"/>
  <c r="M32" i="18"/>
  <c r="Q54" i="18"/>
  <c r="I54" i="18"/>
  <c r="Q32" i="18"/>
  <c r="I32" i="18"/>
  <c r="A55" i="25"/>
  <c r="E33" i="25"/>
  <c r="Q55" i="21"/>
  <c r="E55" i="21"/>
  <c r="I33" i="21"/>
  <c r="M33" i="21"/>
  <c r="M55" i="21"/>
  <c r="I55" i="21"/>
  <c r="Q33" i="21"/>
  <c r="I39" i="21"/>
  <c r="M17" i="21"/>
  <c r="M39" i="21"/>
  <c r="Q39" i="21"/>
  <c r="Q17" i="21"/>
  <c r="I17" i="21"/>
  <c r="E39" i="21"/>
  <c r="A42" i="22"/>
  <c r="E20" i="22"/>
  <c r="A42" i="25"/>
  <c r="E20" i="25"/>
  <c r="A44" i="24"/>
  <c r="E22" i="24"/>
  <c r="A44" i="23"/>
  <c r="E22" i="23"/>
  <c r="M17" i="20"/>
  <c r="M39" i="20"/>
  <c r="Q17" i="20"/>
  <c r="I39" i="20"/>
  <c r="Q39" i="20"/>
  <c r="E39" i="20"/>
  <c r="I17" i="20"/>
  <c r="M44" i="19"/>
  <c r="Q44" i="19"/>
  <c r="I44" i="19"/>
  <c r="I22" i="19"/>
  <c r="Q22" i="19"/>
  <c r="M22" i="19"/>
  <c r="E44" i="19"/>
  <c r="M41" i="17"/>
  <c r="E41" i="17"/>
  <c r="Q19" i="17"/>
  <c r="M19" i="17"/>
  <c r="I41" i="17"/>
  <c r="I19" i="17"/>
  <c r="Q41" i="17"/>
  <c r="I46" i="17"/>
  <c r="M24" i="17"/>
  <c r="M46" i="17"/>
  <c r="Q24" i="17"/>
  <c r="E46" i="17"/>
  <c r="I24" i="17"/>
  <c r="Q46" i="17"/>
  <c r="I18" i="18"/>
  <c r="Q18" i="18"/>
  <c r="E40" i="18"/>
  <c r="M18" i="18"/>
  <c r="I40" i="18"/>
  <c r="M40" i="18"/>
  <c r="Q40" i="18"/>
  <c r="A53" i="22"/>
  <c r="E31" i="22"/>
  <c r="A50" i="22"/>
  <c r="E28" i="22"/>
  <c r="E28" i="23"/>
  <c r="A50" i="23"/>
  <c r="Q57" i="19"/>
  <c r="M35" i="19"/>
  <c r="Q35" i="19"/>
  <c r="I57" i="19"/>
  <c r="M57" i="19"/>
  <c r="E57" i="19"/>
  <c r="I35" i="19"/>
  <c r="I55" i="18"/>
  <c r="M55" i="18"/>
  <c r="E55" i="18"/>
  <c r="Q33" i="18"/>
  <c r="I33" i="18"/>
  <c r="Q55" i="18"/>
  <c r="M33" i="18"/>
  <c r="Q50" i="17"/>
  <c r="M50" i="17"/>
  <c r="I28" i="17"/>
  <c r="M28" i="17"/>
  <c r="I50" i="17"/>
  <c r="Q28" i="17"/>
  <c r="E50" i="17"/>
  <c r="A51" i="23"/>
  <c r="E29" i="23"/>
  <c r="A57" i="22"/>
  <c r="E35" i="22"/>
  <c r="E15" i="25"/>
  <c r="A37" i="25"/>
  <c r="A52" i="24"/>
  <c r="E30" i="24"/>
  <c r="A56" i="23"/>
  <c r="E34" i="23"/>
  <c r="M56" i="21"/>
  <c r="M34" i="21"/>
  <c r="E56" i="21"/>
  <c r="I34" i="21"/>
  <c r="I56" i="21"/>
  <c r="Q56" i="21"/>
  <c r="Q34" i="21"/>
  <c r="E27" i="22"/>
  <c r="A49" i="22"/>
  <c r="Q39" i="17"/>
  <c r="I17" i="17"/>
  <c r="M39" i="17"/>
  <c r="E39" i="17"/>
  <c r="Q17" i="17"/>
  <c r="I39" i="17"/>
  <c r="M17" i="17"/>
  <c r="Q44" i="20"/>
  <c r="M44" i="20"/>
  <c r="I22" i="20"/>
  <c r="I44" i="20"/>
  <c r="E44" i="20"/>
  <c r="Q22" i="20"/>
  <c r="M22" i="20"/>
  <c r="I57" i="17"/>
  <c r="M57" i="17"/>
  <c r="E57" i="17"/>
  <c r="M35" i="17"/>
  <c r="Q57" i="17"/>
  <c r="I35" i="17"/>
  <c r="Q35" i="17"/>
  <c r="E54" i="17"/>
  <c r="Q32" i="17"/>
  <c r="Q54" i="17"/>
  <c r="M54" i="17"/>
  <c r="I32" i="17"/>
  <c r="M32" i="17"/>
  <c r="I54" i="17"/>
  <c r="E25" i="24"/>
  <c r="A47" i="24"/>
  <c r="A46" i="22"/>
  <c r="E24" i="22"/>
  <c r="Q46" i="21"/>
  <c r="Q24" i="21"/>
  <c r="I24" i="21"/>
  <c r="E46" i="21"/>
  <c r="M46" i="21"/>
  <c r="I46" i="21"/>
  <c r="M24" i="21"/>
  <c r="I44" i="17"/>
  <c r="Q44" i="17"/>
  <c r="M22" i="17"/>
  <c r="I22" i="17"/>
  <c r="Q22" i="17"/>
  <c r="M44" i="17"/>
  <c r="E44" i="17"/>
  <c r="Q53" i="19"/>
  <c r="M31" i="19"/>
  <c r="Q31" i="19"/>
  <c r="I53" i="19"/>
  <c r="M53" i="19"/>
  <c r="E53" i="19"/>
  <c r="I31" i="19"/>
  <c r="A25" i="28"/>
  <c r="A25" i="27"/>
  <c r="A47" i="26"/>
  <c r="A25" i="31"/>
  <c r="A25" i="29"/>
  <c r="E25" i="26"/>
  <c r="A41" i="23"/>
  <c r="E19" i="23"/>
  <c r="I25" i="19"/>
  <c r="E47" i="19"/>
  <c r="M47" i="19"/>
  <c r="M25" i="19"/>
  <c r="I47" i="19"/>
  <c r="Q47" i="19"/>
  <c r="Q25" i="19"/>
  <c r="E17" i="23"/>
  <c r="A39" i="23"/>
  <c r="A40" i="25"/>
  <c r="E18" i="25"/>
  <c r="Q50" i="21"/>
  <c r="E50" i="21"/>
  <c r="I28" i="21"/>
  <c r="M28" i="21"/>
  <c r="I50" i="21"/>
  <c r="M50" i="21"/>
  <c r="Q28" i="21"/>
  <c r="Q52" i="17"/>
  <c r="M52" i="17"/>
  <c r="I52" i="17"/>
  <c r="Q30" i="17"/>
  <c r="M30" i="17"/>
  <c r="E52" i="17"/>
  <c r="I30" i="17"/>
  <c r="I46" i="19"/>
  <c r="E46" i="19"/>
  <c r="Q46" i="19"/>
  <c r="I24" i="19"/>
  <c r="Q24" i="19"/>
  <c r="M46" i="19"/>
  <c r="M24" i="19"/>
  <c r="E55" i="19"/>
  <c r="M55" i="19"/>
  <c r="M33" i="19"/>
  <c r="I55" i="19"/>
  <c r="Q55" i="19"/>
  <c r="Q33" i="19"/>
  <c r="I33" i="19"/>
  <c r="E45" i="20"/>
  <c r="I45" i="20"/>
  <c r="M23" i="20"/>
  <c r="Q45" i="20"/>
  <c r="Q23" i="20"/>
  <c r="M45" i="20"/>
  <c r="I23" i="20"/>
  <c r="E43" i="18"/>
  <c r="M43" i="18"/>
  <c r="M21" i="18"/>
  <c r="Q43" i="18"/>
  <c r="I21" i="18"/>
  <c r="I43" i="18"/>
  <c r="Q21" i="18"/>
  <c r="E52" i="20"/>
  <c r="M30" i="20"/>
  <c r="M52" i="20"/>
  <c r="Q30" i="20"/>
  <c r="I30" i="20"/>
  <c r="I52" i="20"/>
  <c r="Q52" i="20"/>
  <c r="M54" i="19"/>
  <c r="I32" i="19"/>
  <c r="Q32" i="19"/>
  <c r="I54" i="19"/>
  <c r="Q54" i="19"/>
  <c r="E54" i="19"/>
  <c r="M32" i="19"/>
  <c r="A22" i="31"/>
  <c r="A22" i="29"/>
  <c r="A44" i="26"/>
  <c r="E22" i="26"/>
  <c r="A22" i="28"/>
  <c r="A22" i="27"/>
  <c r="A23" i="31"/>
  <c r="A23" i="29"/>
  <c r="A23" i="28"/>
  <c r="A23" i="27"/>
  <c r="A45" i="26"/>
  <c r="E23" i="26"/>
  <c r="A48" i="26"/>
  <c r="E26" i="26"/>
  <c r="A26" i="31"/>
  <c r="A26" i="29"/>
  <c r="A26" i="28"/>
  <c r="A26" i="27"/>
  <c r="A46" i="26"/>
  <c r="A24" i="31"/>
  <c r="A24" i="29"/>
  <c r="A24" i="28"/>
  <c r="A24" i="27"/>
  <c r="E24" i="26"/>
  <c r="A17" i="28"/>
  <c r="A17" i="27"/>
  <c r="A17" i="31"/>
  <c r="A39" i="26"/>
  <c r="A17" i="29"/>
  <c r="E17" i="26"/>
  <c r="A55" i="26"/>
  <c r="A33" i="28"/>
  <c r="A33" i="27"/>
  <c r="A33" i="31"/>
  <c r="A33" i="29"/>
  <c r="E33" i="26"/>
  <c r="I21" i="21"/>
  <c r="I43" i="21"/>
  <c r="M43" i="21"/>
  <c r="Q21" i="21"/>
  <c r="E43" i="21"/>
  <c r="Q43" i="21"/>
  <c r="M21" i="21"/>
  <c r="A48" i="24"/>
  <c r="E26" i="24"/>
  <c r="A48" i="23"/>
  <c r="E26" i="23"/>
  <c r="E16" i="23"/>
  <c r="A38" i="23"/>
  <c r="A41" i="24"/>
  <c r="E19" i="24"/>
  <c r="Q41" i="21"/>
  <c r="I41" i="21"/>
  <c r="E41" i="21"/>
  <c r="I19" i="21"/>
  <c r="M41" i="21"/>
  <c r="Q19" i="21"/>
  <c r="M19" i="21"/>
  <c r="E23" i="25"/>
  <c r="A45" i="25"/>
  <c r="M17" i="19"/>
  <c r="Q17" i="19"/>
  <c r="Q39" i="19"/>
  <c r="I39" i="19"/>
  <c r="I17" i="19"/>
  <c r="E39" i="19"/>
  <c r="M39" i="19"/>
  <c r="Q34" i="17"/>
  <c r="I34" i="17"/>
  <c r="E56" i="17"/>
  <c r="I56" i="17"/>
  <c r="Q56" i="17"/>
  <c r="M56" i="17"/>
  <c r="M34" i="17"/>
  <c r="E38" i="17"/>
  <c r="M38" i="17"/>
  <c r="M16" i="17"/>
  <c r="Q16" i="17"/>
  <c r="I38" i="17"/>
  <c r="I16" i="17"/>
  <c r="Q38" i="17"/>
  <c r="A54" i="24"/>
  <c r="E32" i="24"/>
  <c r="Q42" i="17"/>
  <c r="Q20" i="17"/>
  <c r="E42" i="17"/>
  <c r="I20" i="17"/>
  <c r="M20" i="17"/>
  <c r="M42" i="17"/>
  <c r="I42" i="17"/>
  <c r="E49" i="17"/>
  <c r="I27" i="17"/>
  <c r="M27" i="17"/>
  <c r="M49" i="17"/>
  <c r="Q49" i="17"/>
  <c r="Q27" i="17"/>
  <c r="I49" i="17"/>
  <c r="I47" i="18"/>
  <c r="Q47" i="18"/>
  <c r="E47" i="18"/>
  <c r="I25" i="18"/>
  <c r="M25" i="18"/>
  <c r="M47" i="18"/>
  <c r="Q25" i="18"/>
  <c r="A55" i="24"/>
  <c r="E33" i="24"/>
  <c r="A39" i="24"/>
  <c r="E17" i="24"/>
  <c r="A42" i="23"/>
  <c r="E20" i="23"/>
  <c r="A44" i="22"/>
  <c r="E22" i="22"/>
  <c r="A40" i="24"/>
  <c r="E18" i="24"/>
  <c r="M40" i="21"/>
  <c r="I18" i="21"/>
  <c r="M18" i="21"/>
  <c r="I40" i="21"/>
  <c r="E40" i="21"/>
  <c r="Q40" i="21"/>
  <c r="Q18" i="21"/>
  <c r="Q16" i="19"/>
  <c r="E38" i="19"/>
  <c r="Q38" i="19"/>
  <c r="I38" i="19"/>
  <c r="M16" i="19"/>
  <c r="M38" i="19"/>
  <c r="I16" i="19"/>
  <c r="I28" i="19"/>
  <c r="Q28" i="19"/>
  <c r="M28" i="19"/>
  <c r="E50" i="19"/>
  <c r="I50" i="19"/>
  <c r="M50" i="19"/>
  <c r="Q50" i="19"/>
  <c r="A50" i="24"/>
  <c r="E28" i="24"/>
  <c r="I46" i="20"/>
  <c r="M24" i="20"/>
  <c r="E46" i="20"/>
  <c r="M46" i="20"/>
  <c r="Q46" i="20"/>
  <c r="Q24" i="20"/>
  <c r="I24" i="20"/>
  <c r="E45" i="19"/>
  <c r="Q45" i="19"/>
  <c r="I23" i="19"/>
  <c r="M23" i="19"/>
  <c r="M45" i="19"/>
  <c r="I45" i="19"/>
  <c r="Q23" i="19"/>
  <c r="E43" i="17"/>
  <c r="Q43" i="17"/>
  <c r="M43" i="17"/>
  <c r="I43" i="17"/>
  <c r="I21" i="17"/>
  <c r="M21" i="17"/>
  <c r="Q21" i="17"/>
  <c r="I54" i="20"/>
  <c r="M32" i="20"/>
  <c r="Q32" i="20"/>
  <c r="Q54" i="20"/>
  <c r="M54" i="20"/>
  <c r="I32" i="20"/>
  <c r="E54" i="20"/>
  <c r="A51" i="25"/>
  <c r="E29" i="25"/>
  <c r="M51" i="21"/>
  <c r="Q51" i="21"/>
  <c r="E51" i="21"/>
  <c r="I29" i="21"/>
  <c r="M29" i="21"/>
  <c r="I51" i="21"/>
  <c r="Q29" i="21"/>
  <c r="E35" i="23"/>
  <c r="A57" i="23"/>
  <c r="A37" i="24"/>
  <c r="E15" i="24"/>
  <c r="A37" i="23"/>
  <c r="E15" i="23"/>
  <c r="E30" i="22"/>
  <c r="A52" i="22"/>
  <c r="A56" i="24"/>
  <c r="E34" i="24"/>
  <c r="I49" i="21"/>
  <c r="Q49" i="21"/>
  <c r="M27" i="21"/>
  <c r="Q27" i="21"/>
  <c r="I27" i="21"/>
  <c r="E49" i="21"/>
  <c r="M49" i="21"/>
  <c r="Q55" i="20"/>
  <c r="E55" i="20"/>
  <c r="I33" i="20"/>
  <c r="M33" i="20"/>
  <c r="Q33" i="20"/>
  <c r="I55" i="20"/>
  <c r="M55" i="20"/>
  <c r="E45" i="17"/>
  <c r="M45" i="17"/>
  <c r="Q45" i="17"/>
  <c r="I23" i="17"/>
  <c r="I45" i="17"/>
  <c r="M23" i="17"/>
  <c r="Q23" i="17"/>
  <c r="M49" i="18"/>
  <c r="E49" i="18"/>
  <c r="M27" i="18"/>
  <c r="Q49" i="18"/>
  <c r="Q27" i="18"/>
  <c r="I49" i="18"/>
  <c r="I27" i="18"/>
  <c r="M30" i="19"/>
  <c r="M52" i="19"/>
  <c r="E52" i="19"/>
  <c r="Q52" i="19"/>
  <c r="Q30" i="19"/>
  <c r="I30" i="19"/>
  <c r="I52" i="19"/>
  <c r="M37" i="17"/>
  <c r="E37" i="17"/>
  <c r="M15" i="17"/>
  <c r="Q37" i="17"/>
  <c r="I37" i="17"/>
  <c r="Q15" i="17"/>
  <c r="I15" i="17"/>
  <c r="E25" i="22"/>
  <c r="A47" i="22"/>
  <c r="A46" i="24"/>
  <c r="E24" i="24"/>
  <c r="M17" i="18"/>
  <c r="M39" i="18"/>
  <c r="Q39" i="18"/>
  <c r="I39" i="18"/>
  <c r="Q17" i="18"/>
  <c r="E39" i="18"/>
  <c r="I17" i="18"/>
  <c r="A49" i="26"/>
  <c r="A27" i="31"/>
  <c r="A27" i="29"/>
  <c r="A27" i="27"/>
  <c r="A27" i="28"/>
  <c r="E27" i="26"/>
  <c r="A54" i="26"/>
  <c r="A32" i="31"/>
  <c r="A32" i="29"/>
  <c r="A32" i="28"/>
  <c r="A32" i="27"/>
  <c r="E32" i="26"/>
  <c r="A43" i="22"/>
  <c r="E21" i="22"/>
  <c r="A38" i="24"/>
  <c r="E16" i="24"/>
  <c r="A45" i="22"/>
  <c r="E23" i="22"/>
  <c r="E54" i="21"/>
  <c r="I32" i="21"/>
  <c r="M32" i="21"/>
  <c r="I54" i="21"/>
  <c r="M54" i="21"/>
  <c r="Q32" i="21"/>
  <c r="Q54" i="21"/>
  <c r="I27" i="19"/>
  <c r="M49" i="19"/>
  <c r="Q27" i="19"/>
  <c r="I49" i="19"/>
  <c r="Q49" i="19"/>
  <c r="E49" i="19"/>
  <c r="M27" i="19"/>
  <c r="E20" i="24"/>
  <c r="A42" i="24"/>
  <c r="A44" i="25"/>
  <c r="E22" i="25"/>
  <c r="A53" i="23"/>
  <c r="E31" i="23"/>
  <c r="A49" i="23"/>
  <c r="E27" i="23"/>
  <c r="Q51" i="18"/>
  <c r="I29" i="18"/>
  <c r="M29" i="18"/>
  <c r="Q29" i="18"/>
  <c r="I51" i="18"/>
  <c r="M51" i="18"/>
  <c r="E51" i="18"/>
  <c r="Q37" i="20"/>
  <c r="M15" i="20"/>
  <c r="Q15" i="20"/>
  <c r="I37" i="20"/>
  <c r="I15" i="20"/>
  <c r="E37" i="20"/>
  <c r="M37" i="20"/>
  <c r="M47" i="17"/>
  <c r="E47" i="17"/>
  <c r="I47" i="17"/>
  <c r="Q47" i="17"/>
  <c r="M25" i="17"/>
  <c r="I25" i="17"/>
  <c r="Q25" i="17"/>
  <c r="A30" i="31"/>
  <c r="A30" i="29"/>
  <c r="E30" i="26"/>
  <c r="A52" i="26"/>
  <c r="A30" i="28"/>
  <c r="A30" i="27"/>
  <c r="A31" i="31"/>
  <c r="A31" i="29"/>
  <c r="A53" i="26"/>
  <c r="E31" i="26"/>
  <c r="A31" i="28"/>
  <c r="A31" i="27"/>
  <c r="A56" i="26"/>
  <c r="A34" i="31"/>
  <c r="A34" i="29"/>
  <c r="A34" i="28"/>
  <c r="A34" i="27"/>
  <c r="E34" i="26"/>
  <c r="A28" i="31"/>
  <c r="A28" i="29"/>
  <c r="A28" i="28"/>
  <c r="A28" i="27"/>
  <c r="A50" i="26"/>
  <c r="E28" i="26"/>
  <c r="A21" i="28"/>
  <c r="A21" i="27"/>
  <c r="A21" i="29"/>
  <c r="A43" i="26"/>
  <c r="A21" i="31"/>
  <c r="E21" i="26"/>
  <c r="E21" i="24"/>
  <c r="A43" i="24"/>
  <c r="E26" i="22"/>
  <c r="A48" i="22"/>
  <c r="E16" i="25"/>
  <c r="A38" i="25"/>
  <c r="E19" i="22"/>
  <c r="A41" i="22"/>
  <c r="A45" i="24"/>
  <c r="E23" i="24"/>
  <c r="M19" i="20"/>
  <c r="I41" i="20"/>
  <c r="Q19" i="20"/>
  <c r="Q41" i="20"/>
  <c r="E41" i="20"/>
  <c r="M41" i="20"/>
  <c r="I19" i="20"/>
  <c r="I45" i="18"/>
  <c r="Q45" i="18"/>
  <c r="I23" i="18"/>
  <c r="Q23" i="18"/>
  <c r="E45" i="18"/>
  <c r="M23" i="18"/>
  <c r="M45" i="18"/>
  <c r="E32" i="22"/>
  <c r="A54" i="22"/>
  <c r="A54" i="25"/>
  <c r="E32" i="25"/>
  <c r="M55" i="17"/>
  <c r="I33" i="17"/>
  <c r="E55" i="17"/>
  <c r="Q55" i="17"/>
  <c r="I55" i="17"/>
  <c r="Q33" i="17"/>
  <c r="M33" i="17"/>
  <c r="I31" i="18"/>
  <c r="E53" i="18"/>
  <c r="M31" i="18"/>
  <c r="Q31" i="18"/>
  <c r="Q53" i="18"/>
  <c r="I53" i="18"/>
  <c r="M53" i="18"/>
  <c r="M51" i="19"/>
  <c r="I51" i="19"/>
  <c r="Q51" i="19"/>
  <c r="E51" i="19"/>
  <c r="I29" i="19"/>
  <c r="Q29" i="19"/>
  <c r="M29" i="19"/>
  <c r="Q37" i="19"/>
  <c r="M37" i="19"/>
  <c r="I37" i="19"/>
  <c r="Q15" i="19"/>
  <c r="I15" i="19"/>
  <c r="E37" i="19"/>
  <c r="M15" i="19"/>
  <c r="A55" i="22"/>
  <c r="E33" i="22"/>
  <c r="E17" i="22"/>
  <c r="A39" i="22"/>
  <c r="A39" i="25"/>
  <c r="E17" i="25"/>
  <c r="A40" i="22"/>
  <c r="E18" i="22"/>
  <c r="A40" i="23"/>
  <c r="E18" i="23"/>
  <c r="M56" i="19"/>
  <c r="I34" i="19"/>
  <c r="E56" i="19"/>
  <c r="M34" i="19"/>
  <c r="Q34" i="19"/>
  <c r="Q56" i="19"/>
  <c r="I56" i="19"/>
  <c r="E57" i="20"/>
  <c r="M57" i="20"/>
  <c r="M35" i="20"/>
  <c r="I57" i="20"/>
  <c r="Q57" i="20"/>
  <c r="Q35" i="20"/>
  <c r="I35" i="20"/>
  <c r="A53" i="25"/>
  <c r="E31" i="25"/>
  <c r="I53" i="21"/>
  <c r="I31" i="21"/>
  <c r="M31" i="21"/>
  <c r="E53" i="21"/>
  <c r="M53" i="21"/>
  <c r="Q53" i="21"/>
  <c r="Q31" i="21"/>
  <c r="A50" i="25"/>
  <c r="E28" i="25"/>
  <c r="M42" i="19"/>
  <c r="Q20" i="19"/>
  <c r="M20" i="19"/>
  <c r="Q42" i="19"/>
  <c r="E42" i="19"/>
  <c r="I42" i="19"/>
  <c r="I20" i="19"/>
  <c r="M29" i="20"/>
  <c r="E51" i="20"/>
  <c r="I51" i="20"/>
  <c r="Q51" i="20"/>
  <c r="I29" i="20"/>
  <c r="M51" i="20"/>
  <c r="Q29" i="20"/>
  <c r="M18" i="19"/>
  <c r="Q18" i="19"/>
  <c r="Q40" i="19"/>
  <c r="M40" i="19"/>
  <c r="E40" i="19"/>
  <c r="I40" i="19"/>
  <c r="I18" i="19"/>
  <c r="A51" i="24"/>
  <c r="E29" i="24"/>
  <c r="A57" i="24"/>
  <c r="E35" i="24"/>
  <c r="M35" i="21"/>
  <c r="I57" i="21"/>
  <c r="M57" i="21"/>
  <c r="Q35" i="21"/>
  <c r="Q57" i="21"/>
  <c r="E57" i="21"/>
  <c r="I35" i="21"/>
  <c r="E15" i="22"/>
  <c r="A37" i="22"/>
  <c r="A52" i="25"/>
  <c r="E30" i="25"/>
  <c r="E34" i="22"/>
  <c r="A56" i="22"/>
  <c r="E27" i="25"/>
  <c r="A49" i="25"/>
  <c r="I38" i="18"/>
  <c r="Q16" i="18"/>
  <c r="I16" i="18"/>
  <c r="E38" i="18"/>
  <c r="M16" i="18"/>
  <c r="M38" i="18"/>
  <c r="Q38" i="18"/>
  <c r="M41" i="19"/>
  <c r="Q19" i="19"/>
  <c r="I19" i="19"/>
  <c r="E41" i="19"/>
  <c r="I41" i="19"/>
  <c r="Q41" i="19"/>
  <c r="M19" i="19"/>
  <c r="E42" i="18"/>
  <c r="M20" i="18"/>
  <c r="I20" i="18"/>
  <c r="M42" i="18"/>
  <c r="I42" i="18"/>
  <c r="Q20" i="18"/>
  <c r="Q42" i="18"/>
  <c r="E43" i="19"/>
  <c r="M43" i="19"/>
  <c r="M21" i="19"/>
  <c r="Q21" i="19"/>
  <c r="Q43" i="19"/>
  <c r="I43" i="19"/>
  <c r="I21" i="19"/>
  <c r="I51" i="17"/>
  <c r="Q51" i="17"/>
  <c r="M29" i="17"/>
  <c r="Q29" i="17"/>
  <c r="I29" i="17"/>
  <c r="E51" i="17"/>
  <c r="M51" i="17"/>
  <c r="A47" i="23"/>
  <c r="E25" i="23"/>
  <c r="A47" i="25"/>
  <c r="E25" i="25"/>
  <c r="A46" i="23"/>
  <c r="E24" i="23"/>
  <c r="I41" i="18"/>
  <c r="M19" i="18"/>
  <c r="Q41" i="18"/>
  <c r="Q19" i="18"/>
  <c r="I19" i="18"/>
  <c r="E41" i="18"/>
  <c r="M41" i="18"/>
  <c r="F60" i="1"/>
  <c r="F61" i="1" s="1"/>
  <c r="F49" i="1"/>
  <c r="F50" i="1" s="1"/>
  <c r="N15" i="32"/>
  <c r="T12" i="36" s="1"/>
  <c r="A62" i="16"/>
  <c r="R15" i="32"/>
  <c r="AF12" i="36" s="1"/>
  <c r="Q62" i="16"/>
  <c r="M62" i="16"/>
  <c r="I62" i="16"/>
  <c r="E62" i="16"/>
  <c r="N17" i="32"/>
  <c r="T14" i="36" s="1"/>
  <c r="A62" i="18"/>
  <c r="M62" i="18"/>
  <c r="Q62" i="18"/>
  <c r="E62" i="18"/>
  <c r="I62" i="18"/>
  <c r="N18" i="32"/>
  <c r="T15" i="36" s="1"/>
  <c r="I62" i="19"/>
  <c r="Q62" i="19"/>
  <c r="A62" i="19"/>
  <c r="E62" i="19"/>
  <c r="M62" i="19"/>
  <c r="A84" i="16"/>
  <c r="A84" i="18" s="1"/>
  <c r="F33" i="1"/>
  <c r="F34" i="1" s="1"/>
  <c r="F35" i="1" s="1"/>
  <c r="I66" i="20"/>
  <c r="I66" i="31"/>
  <c r="I66" i="25"/>
  <c r="I46" i="15"/>
  <c r="I25" i="9"/>
  <c r="M31" i="7"/>
  <c r="I71" i="19"/>
  <c r="I71" i="29"/>
  <c r="I71" i="24"/>
  <c r="I51" i="14"/>
  <c r="I30" i="7"/>
  <c r="I66" i="29"/>
  <c r="I66" i="19"/>
  <c r="I66" i="24"/>
  <c r="I46" i="14"/>
  <c r="I25" i="7"/>
  <c r="P18" i="32"/>
  <c r="AD15" i="36" s="1"/>
  <c r="O18" i="32"/>
  <c r="AC15" i="36" s="1"/>
  <c r="R18" i="32"/>
  <c r="AF15" i="36" s="1"/>
  <c r="Q18" i="32"/>
  <c r="AE15" i="36" s="1"/>
  <c r="I74" i="29"/>
  <c r="I74" i="19"/>
  <c r="I74" i="24"/>
  <c r="I54" i="14"/>
  <c r="I33" i="7"/>
  <c r="P17" i="32"/>
  <c r="AD14" i="36" s="1"/>
  <c r="O17" i="32"/>
  <c r="AC14" i="36" s="1"/>
  <c r="R17" i="32"/>
  <c r="AF14" i="36" s="1"/>
  <c r="Q17" i="32"/>
  <c r="AE14" i="36" s="1"/>
  <c r="I74" i="23"/>
  <c r="I74" i="28"/>
  <c r="I74" i="18"/>
  <c r="I54" i="13"/>
  <c r="I33" i="6"/>
  <c r="M72" i="18"/>
  <c r="I71" i="23"/>
  <c r="I71" i="18"/>
  <c r="I71" i="28"/>
  <c r="I51" i="13"/>
  <c r="I30" i="6"/>
  <c r="I25" i="6"/>
  <c r="I66" i="28"/>
  <c r="I66" i="23"/>
  <c r="I66" i="18"/>
  <c r="I46" i="13"/>
  <c r="P15" i="32"/>
  <c r="AD12" i="36" s="1"/>
  <c r="O15" i="32"/>
  <c r="AC12" i="36" s="1"/>
  <c r="Q15" i="32"/>
  <c r="AE12" i="36" s="1"/>
  <c r="I71" i="26"/>
  <c r="I71" i="16"/>
  <c r="I71" i="21"/>
  <c r="I74" i="16"/>
  <c r="I74" i="21"/>
  <c r="I74" i="26"/>
  <c r="I66" i="26"/>
  <c r="I66" i="16"/>
  <c r="I66" i="21"/>
  <c r="I25" i="4"/>
  <c r="I72" i="21"/>
  <c r="I72" i="26"/>
  <c r="I72" i="16"/>
  <c r="E64" i="12"/>
  <c r="I64" i="12"/>
  <c r="M64" i="12"/>
  <c r="Q64" i="12"/>
  <c r="A43" i="5"/>
  <c r="I43" i="5" s="1"/>
  <c r="A43" i="9"/>
  <c r="E43" i="9" s="1"/>
  <c r="A43" i="7"/>
  <c r="M43" i="7" s="1"/>
  <c r="A64" i="13"/>
  <c r="A64" i="15"/>
  <c r="A64" i="14"/>
  <c r="I47" i="10"/>
  <c r="E65" i="10"/>
  <c r="Q65" i="10"/>
  <c r="M65" i="10"/>
  <c r="I65" i="10"/>
  <c r="Q43" i="4"/>
  <c r="M43" i="4"/>
  <c r="I43" i="4"/>
  <c r="E43" i="4"/>
  <c r="Q43" i="6"/>
  <c r="M43" i="6"/>
  <c r="I43" i="6"/>
  <c r="I53" i="10"/>
  <c r="I52" i="10"/>
  <c r="I30" i="4"/>
  <c r="I55" i="10"/>
  <c r="I33" i="4"/>
  <c r="A59" i="26"/>
  <c r="F69" i="1"/>
  <c r="F91" i="1"/>
  <c r="F80" i="1"/>
  <c r="F93" i="1"/>
  <c r="F94" i="1" s="1"/>
  <c r="F82" i="1"/>
  <c r="F83" i="1" s="1"/>
  <c r="F71" i="1"/>
  <c r="F72" i="1" s="1"/>
  <c r="M31" i="4" l="1"/>
  <c r="M73" i="16"/>
  <c r="M32" i="4"/>
  <c r="M65" i="5"/>
  <c r="M26" i="5"/>
  <c r="M47" i="15"/>
  <c r="M26" i="9"/>
  <c r="M67" i="25"/>
  <c r="M67" i="20"/>
  <c r="M67" i="31"/>
  <c r="Q73" i="28"/>
  <c r="Q53" i="13"/>
  <c r="Q32" i="6"/>
  <c r="Q73" i="23"/>
  <c r="Q73" i="18"/>
  <c r="M32" i="9"/>
  <c r="M53" i="15"/>
  <c r="M73" i="20"/>
  <c r="M73" i="31"/>
  <c r="M73" i="25"/>
  <c r="M53" i="5"/>
  <c r="M74" i="5"/>
  <c r="M26" i="4"/>
  <c r="M67" i="26"/>
  <c r="M67" i="21"/>
  <c r="M48" i="10"/>
  <c r="M67" i="16"/>
  <c r="M26" i="7"/>
  <c r="M67" i="24"/>
  <c r="M67" i="19"/>
  <c r="M47" i="14"/>
  <c r="M67" i="29"/>
  <c r="M47" i="13"/>
  <c r="M67" i="23"/>
  <c r="M67" i="18"/>
  <c r="M67" i="28"/>
  <c r="M26" i="6"/>
  <c r="M73" i="29"/>
  <c r="M73" i="19"/>
  <c r="M73" i="24"/>
  <c r="M53" i="14"/>
  <c r="M32" i="7"/>
  <c r="M67" i="22"/>
  <c r="M67" i="27"/>
  <c r="M67" i="17"/>
  <c r="M47" i="12"/>
  <c r="A84" i="20"/>
  <c r="E84" i="20" s="1"/>
  <c r="M74" i="25"/>
  <c r="M74" i="31"/>
  <c r="M74" i="20"/>
  <c r="M54" i="15"/>
  <c r="M33" i="9"/>
  <c r="M71" i="31"/>
  <c r="M71" i="20"/>
  <c r="M71" i="25"/>
  <c r="M51" i="15"/>
  <c r="M30" i="9"/>
  <c r="M66" i="26"/>
  <c r="M66" i="27"/>
  <c r="A84" i="19"/>
  <c r="E84" i="19" s="1"/>
  <c r="Q84" i="16"/>
  <c r="M84" i="16"/>
  <c r="E84" i="16"/>
  <c r="I84" i="16"/>
  <c r="A84" i="17"/>
  <c r="I84" i="17" s="1"/>
  <c r="I60" i="31"/>
  <c r="E60" i="31"/>
  <c r="M60" i="31"/>
  <c r="Q60" i="31"/>
  <c r="I60" i="24"/>
  <c r="Q60" i="24"/>
  <c r="M60" i="24"/>
  <c r="E60" i="24"/>
  <c r="M60" i="27"/>
  <c r="Q60" i="27"/>
  <c r="E60" i="27"/>
  <c r="I60" i="27"/>
  <c r="E60" i="25"/>
  <c r="I60" i="25"/>
  <c r="M60" i="25"/>
  <c r="Q60" i="25"/>
  <c r="I60" i="28"/>
  <c r="M60" i="28"/>
  <c r="Q60" i="28"/>
  <c r="E60" i="28"/>
  <c r="E60" i="22"/>
  <c r="M60" i="22"/>
  <c r="I60" i="22"/>
  <c r="Q60" i="22"/>
  <c r="M60" i="29"/>
  <c r="I60" i="29"/>
  <c r="Q60" i="29"/>
  <c r="E60" i="29"/>
  <c r="I60" i="23"/>
  <c r="E60" i="23"/>
  <c r="M60" i="23"/>
  <c r="Q60" i="23"/>
  <c r="E62" i="25"/>
  <c r="M62" i="25"/>
  <c r="R24" i="32"/>
  <c r="AF21" i="36" s="1"/>
  <c r="O24" i="32"/>
  <c r="AC21" i="36" s="1"/>
  <c r="N24" i="32"/>
  <c r="T21" i="36" s="1"/>
  <c r="P24" i="32"/>
  <c r="AD21" i="36" s="1"/>
  <c r="Q62" i="25"/>
  <c r="Q24" i="32"/>
  <c r="AE21" i="36" s="1"/>
  <c r="A62" i="25"/>
  <c r="I62" i="25"/>
  <c r="E59" i="22"/>
  <c r="M59" i="22"/>
  <c r="I59" i="22"/>
  <c r="Q59" i="22"/>
  <c r="M59" i="24"/>
  <c r="Q59" i="24"/>
  <c r="E59" i="24"/>
  <c r="I59" i="24"/>
  <c r="M59" i="26"/>
  <c r="A59" i="31"/>
  <c r="A59" i="29"/>
  <c r="A59" i="28"/>
  <c r="E59" i="26"/>
  <c r="Q59" i="26"/>
  <c r="A59" i="27"/>
  <c r="I59" i="26"/>
  <c r="E59" i="23"/>
  <c r="M59" i="23"/>
  <c r="I59" i="23"/>
  <c r="Q59" i="23"/>
  <c r="M59" i="25"/>
  <c r="E59" i="25"/>
  <c r="I59" i="25"/>
  <c r="Q59" i="25"/>
  <c r="E13" i="25"/>
  <c r="Q13" i="25"/>
  <c r="M13" i="25"/>
  <c r="I13" i="25"/>
  <c r="Q13" i="22"/>
  <c r="M13" i="22"/>
  <c r="E13" i="22"/>
  <c r="I13" i="22"/>
  <c r="M13" i="24"/>
  <c r="I13" i="24"/>
  <c r="Q13" i="24"/>
  <c r="E13" i="24"/>
  <c r="I13" i="26"/>
  <c r="A13" i="31"/>
  <c r="E13" i="26"/>
  <c r="A13" i="27"/>
  <c r="M13" i="26"/>
  <c r="A13" i="29"/>
  <c r="A13" i="28"/>
  <c r="Q13" i="26"/>
  <c r="Q13" i="23"/>
  <c r="E13" i="23"/>
  <c r="M13" i="23"/>
  <c r="I13" i="23"/>
  <c r="M45" i="24"/>
  <c r="I45" i="24"/>
  <c r="M23" i="24"/>
  <c r="E45" i="24"/>
  <c r="I23" i="24"/>
  <c r="Q45" i="24"/>
  <c r="Q23" i="24"/>
  <c r="E21" i="29"/>
  <c r="A43" i="29"/>
  <c r="A56" i="29"/>
  <c r="E34" i="29"/>
  <c r="I44" i="25"/>
  <c r="Q44" i="25"/>
  <c r="Q22" i="25"/>
  <c r="I22" i="25"/>
  <c r="E44" i="25"/>
  <c r="M44" i="25"/>
  <c r="M22" i="25"/>
  <c r="Q38" i="24"/>
  <c r="Q16" i="24"/>
  <c r="E38" i="24"/>
  <c r="M16" i="24"/>
  <c r="M38" i="24"/>
  <c r="I38" i="24"/>
  <c r="I16" i="24"/>
  <c r="A49" i="29"/>
  <c r="E27" i="29"/>
  <c r="I47" i="22"/>
  <c r="E47" i="22"/>
  <c r="M25" i="22"/>
  <c r="Q25" i="22"/>
  <c r="I25" i="22"/>
  <c r="M47" i="22"/>
  <c r="Q47" i="22"/>
  <c r="Q35" i="23"/>
  <c r="M35" i="23"/>
  <c r="E57" i="23"/>
  <c r="I35" i="23"/>
  <c r="M57" i="23"/>
  <c r="I57" i="23"/>
  <c r="Q57" i="23"/>
  <c r="I28" i="24"/>
  <c r="M28" i="24"/>
  <c r="I50" i="24"/>
  <c r="Q50" i="24"/>
  <c r="E50" i="24"/>
  <c r="Q28" i="24"/>
  <c r="M50" i="24"/>
  <c r="A55" i="27"/>
  <c r="E33" i="27"/>
  <c r="A46" i="29"/>
  <c r="E24" i="29"/>
  <c r="E22" i="28"/>
  <c r="A44" i="28"/>
  <c r="A47" i="27"/>
  <c r="E25" i="27"/>
  <c r="I28" i="22"/>
  <c r="Q28" i="22"/>
  <c r="M50" i="22"/>
  <c r="I50" i="22"/>
  <c r="E50" i="22"/>
  <c r="Q50" i="22"/>
  <c r="M28" i="22"/>
  <c r="I32" i="23"/>
  <c r="M54" i="23"/>
  <c r="Q32" i="23"/>
  <c r="E54" i="23"/>
  <c r="M32" i="23"/>
  <c r="Q54" i="23"/>
  <c r="I54" i="23"/>
  <c r="M16" i="22"/>
  <c r="Q38" i="22"/>
  <c r="I38" i="22"/>
  <c r="I16" i="22"/>
  <c r="E38" i="22"/>
  <c r="Q16" i="22"/>
  <c r="M38" i="22"/>
  <c r="I29" i="26"/>
  <c r="Q29" i="26"/>
  <c r="M51" i="26"/>
  <c r="E51" i="26"/>
  <c r="M29" i="26"/>
  <c r="Q51" i="26"/>
  <c r="I51" i="26"/>
  <c r="M35" i="26"/>
  <c r="M57" i="26"/>
  <c r="Q35" i="26"/>
  <c r="I57" i="26"/>
  <c r="Q57" i="26"/>
  <c r="E57" i="26"/>
  <c r="I35" i="26"/>
  <c r="E35" i="31"/>
  <c r="A57" i="31"/>
  <c r="A42" i="28"/>
  <c r="E20" i="28"/>
  <c r="Q18" i="26"/>
  <c r="E40" i="26"/>
  <c r="I40" i="26"/>
  <c r="M40" i="26"/>
  <c r="Q40" i="26"/>
  <c r="I18" i="26"/>
  <c r="M18" i="26"/>
  <c r="A41" i="28"/>
  <c r="E19" i="28"/>
  <c r="E41" i="26"/>
  <c r="I19" i="26"/>
  <c r="M19" i="26"/>
  <c r="I41" i="26"/>
  <c r="M41" i="26"/>
  <c r="Q41" i="26"/>
  <c r="Q19" i="26"/>
  <c r="I57" i="25"/>
  <c r="M35" i="25"/>
  <c r="I35" i="25"/>
  <c r="Q57" i="25"/>
  <c r="E57" i="25"/>
  <c r="Q35" i="25"/>
  <c r="M57" i="25"/>
  <c r="I31" i="24"/>
  <c r="Q31" i="24"/>
  <c r="M53" i="24"/>
  <c r="E53" i="24"/>
  <c r="M31" i="24"/>
  <c r="Q53" i="24"/>
  <c r="I53" i="24"/>
  <c r="Q33" i="23"/>
  <c r="E55" i="23"/>
  <c r="I55" i="23"/>
  <c r="I33" i="23"/>
  <c r="M55" i="23"/>
  <c r="M33" i="23"/>
  <c r="Q55" i="23"/>
  <c r="A38" i="29"/>
  <c r="E16" i="29"/>
  <c r="E39" i="25"/>
  <c r="I17" i="25"/>
  <c r="M17" i="25"/>
  <c r="I39" i="25"/>
  <c r="Q17" i="25"/>
  <c r="M39" i="25"/>
  <c r="Q39" i="25"/>
  <c r="M33" i="22"/>
  <c r="E55" i="22"/>
  <c r="I33" i="22"/>
  <c r="M55" i="22"/>
  <c r="Q55" i="22"/>
  <c r="I55" i="22"/>
  <c r="Q33" i="22"/>
  <c r="M41" i="22"/>
  <c r="Q41" i="22"/>
  <c r="I41" i="22"/>
  <c r="I19" i="22"/>
  <c r="Q19" i="22"/>
  <c r="M19" i="22"/>
  <c r="E41" i="22"/>
  <c r="M48" i="22"/>
  <c r="E48" i="22"/>
  <c r="M26" i="22"/>
  <c r="Q26" i="22"/>
  <c r="I48" i="22"/>
  <c r="Q48" i="22"/>
  <c r="I26" i="22"/>
  <c r="A43" i="27"/>
  <c r="E21" i="27"/>
  <c r="A50" i="27"/>
  <c r="E28" i="27"/>
  <c r="A56" i="31"/>
  <c r="E34" i="31"/>
  <c r="A52" i="27"/>
  <c r="E30" i="27"/>
  <c r="A52" i="29"/>
  <c r="E30" i="29"/>
  <c r="Q49" i="23"/>
  <c r="E49" i="23"/>
  <c r="I27" i="23"/>
  <c r="M27" i="23"/>
  <c r="Q27" i="23"/>
  <c r="M49" i="23"/>
  <c r="I49" i="23"/>
  <c r="I20" i="24"/>
  <c r="Q20" i="24"/>
  <c r="M42" i="24"/>
  <c r="E42" i="24"/>
  <c r="Q42" i="24"/>
  <c r="M20" i="24"/>
  <c r="I42" i="24"/>
  <c r="A54" i="28"/>
  <c r="E32" i="28"/>
  <c r="A49" i="31"/>
  <c r="E27" i="31"/>
  <c r="I34" i="24"/>
  <c r="I56" i="24"/>
  <c r="M56" i="24"/>
  <c r="Q34" i="24"/>
  <c r="M34" i="24"/>
  <c r="E56" i="24"/>
  <c r="Q56" i="24"/>
  <c r="I15" i="23"/>
  <c r="M15" i="23"/>
  <c r="I37" i="23"/>
  <c r="E37" i="23"/>
  <c r="M37" i="23"/>
  <c r="Q37" i="23"/>
  <c r="Q15" i="23"/>
  <c r="I22" i="22"/>
  <c r="I44" i="22"/>
  <c r="Q22" i="22"/>
  <c r="M44" i="22"/>
  <c r="E44" i="22"/>
  <c r="Q44" i="22"/>
  <c r="M22" i="22"/>
  <c r="Q42" i="23"/>
  <c r="I20" i="23"/>
  <c r="I42" i="23"/>
  <c r="M20" i="23"/>
  <c r="Q20" i="23"/>
  <c r="M42" i="23"/>
  <c r="E42" i="23"/>
  <c r="M55" i="24"/>
  <c r="I55" i="24"/>
  <c r="Q33" i="24"/>
  <c r="I33" i="24"/>
  <c r="Q55" i="24"/>
  <c r="M33" i="24"/>
  <c r="E55" i="24"/>
  <c r="Q45" i="25"/>
  <c r="I23" i="25"/>
  <c r="E45" i="25"/>
  <c r="M45" i="25"/>
  <c r="Q23" i="25"/>
  <c r="I45" i="25"/>
  <c r="M23" i="25"/>
  <c r="E48" i="24"/>
  <c r="M48" i="24"/>
  <c r="M26" i="24"/>
  <c r="I48" i="24"/>
  <c r="Q48" i="24"/>
  <c r="Q26" i="24"/>
  <c r="I26" i="24"/>
  <c r="A55" i="28"/>
  <c r="E33" i="28"/>
  <c r="I17" i="26"/>
  <c r="Q17" i="26"/>
  <c r="M39" i="26"/>
  <c r="M17" i="26"/>
  <c r="E39" i="26"/>
  <c r="I39" i="26"/>
  <c r="Q39" i="26"/>
  <c r="A46" i="31"/>
  <c r="E24" i="31"/>
  <c r="A48" i="29"/>
  <c r="E26" i="29"/>
  <c r="A45" i="29"/>
  <c r="E23" i="29"/>
  <c r="I39" i="23"/>
  <c r="E39" i="23"/>
  <c r="I17" i="23"/>
  <c r="M39" i="23"/>
  <c r="Q17" i="23"/>
  <c r="Q39" i="23"/>
  <c r="M17" i="23"/>
  <c r="A47" i="29"/>
  <c r="E25" i="29"/>
  <c r="A47" i="28"/>
  <c r="E25" i="28"/>
  <c r="I27" i="22"/>
  <c r="E49" i="22"/>
  <c r="M49" i="22"/>
  <c r="M27" i="22"/>
  <c r="I49" i="22"/>
  <c r="Q49" i="22"/>
  <c r="Q27" i="22"/>
  <c r="Q30" i="24"/>
  <c r="E52" i="24"/>
  <c r="Q52" i="24"/>
  <c r="M30" i="24"/>
  <c r="I30" i="24"/>
  <c r="I52" i="24"/>
  <c r="M52" i="24"/>
  <c r="M57" i="22"/>
  <c r="I57" i="22"/>
  <c r="E57" i="22"/>
  <c r="Q57" i="22"/>
  <c r="M35" i="22"/>
  <c r="Q35" i="22"/>
  <c r="I35" i="22"/>
  <c r="Q50" i="23"/>
  <c r="I28" i="23"/>
  <c r="I50" i="23"/>
  <c r="M28" i="23"/>
  <c r="M50" i="23"/>
  <c r="Q28" i="23"/>
  <c r="E50" i="23"/>
  <c r="Q44" i="24"/>
  <c r="Q22" i="24"/>
  <c r="I22" i="24"/>
  <c r="E44" i="24"/>
  <c r="I44" i="24"/>
  <c r="M44" i="24"/>
  <c r="M22" i="24"/>
  <c r="Q20" i="25"/>
  <c r="Q42" i="25"/>
  <c r="M42" i="25"/>
  <c r="I20" i="25"/>
  <c r="E42" i="25"/>
  <c r="I42" i="25"/>
  <c r="M20" i="25"/>
  <c r="I45" i="23"/>
  <c r="Q45" i="23"/>
  <c r="E45" i="23"/>
  <c r="I23" i="23"/>
  <c r="M23" i="23"/>
  <c r="M45" i="23"/>
  <c r="Q23" i="23"/>
  <c r="A51" i="27"/>
  <c r="E29" i="27"/>
  <c r="E35" i="27"/>
  <c r="A57" i="27"/>
  <c r="A42" i="29"/>
  <c r="E20" i="29"/>
  <c r="A40" i="27"/>
  <c r="E18" i="27"/>
  <c r="I37" i="26"/>
  <c r="M37" i="26"/>
  <c r="Q15" i="26"/>
  <c r="Q37" i="26"/>
  <c r="E37" i="26"/>
  <c r="I15" i="26"/>
  <c r="M15" i="26"/>
  <c r="A37" i="29"/>
  <c r="E15" i="29"/>
  <c r="M49" i="24"/>
  <c r="Q49" i="24"/>
  <c r="E49" i="24"/>
  <c r="I27" i="24"/>
  <c r="I49" i="24"/>
  <c r="M27" i="24"/>
  <c r="Q27" i="24"/>
  <c r="M16" i="26"/>
  <c r="I38" i="26"/>
  <c r="Q16" i="26"/>
  <c r="M38" i="26"/>
  <c r="Q38" i="26"/>
  <c r="E38" i="26"/>
  <c r="I16" i="26"/>
  <c r="E16" i="31"/>
  <c r="A38" i="31"/>
  <c r="Q25" i="25"/>
  <c r="M47" i="25"/>
  <c r="Q47" i="25"/>
  <c r="E47" i="25"/>
  <c r="I25" i="25"/>
  <c r="M25" i="25"/>
  <c r="I47" i="25"/>
  <c r="I34" i="22"/>
  <c r="M34" i="22"/>
  <c r="E56" i="22"/>
  <c r="Q34" i="22"/>
  <c r="M56" i="22"/>
  <c r="I56" i="22"/>
  <c r="Q56" i="22"/>
  <c r="Q53" i="25"/>
  <c r="M31" i="25"/>
  <c r="Q31" i="25"/>
  <c r="M53" i="25"/>
  <c r="E53" i="25"/>
  <c r="I31" i="25"/>
  <c r="I53" i="25"/>
  <c r="E28" i="31"/>
  <c r="A50" i="31"/>
  <c r="A53" i="31"/>
  <c r="E31" i="31"/>
  <c r="Q54" i="26"/>
  <c r="E54" i="26"/>
  <c r="I32" i="26"/>
  <c r="M32" i="26"/>
  <c r="M54" i="26"/>
  <c r="Q32" i="26"/>
  <c r="I54" i="26"/>
  <c r="E17" i="29"/>
  <c r="A39" i="29"/>
  <c r="A48" i="28"/>
  <c r="E26" i="28"/>
  <c r="A45" i="28"/>
  <c r="E23" i="28"/>
  <c r="I24" i="23"/>
  <c r="M24" i="23"/>
  <c r="M46" i="23"/>
  <c r="I46" i="23"/>
  <c r="Q46" i="23"/>
  <c r="Q24" i="23"/>
  <c r="E46" i="23"/>
  <c r="I25" i="23"/>
  <c r="Q25" i="23"/>
  <c r="M47" i="23"/>
  <c r="Q47" i="23"/>
  <c r="I47" i="23"/>
  <c r="M25" i="23"/>
  <c r="E47" i="23"/>
  <c r="Q49" i="25"/>
  <c r="M27" i="25"/>
  <c r="E49" i="25"/>
  <c r="I49" i="25"/>
  <c r="Q27" i="25"/>
  <c r="M49" i="25"/>
  <c r="I27" i="25"/>
  <c r="E57" i="24"/>
  <c r="M35" i="24"/>
  <c r="I35" i="24"/>
  <c r="M57" i="24"/>
  <c r="Q57" i="24"/>
  <c r="Q35" i="24"/>
  <c r="I57" i="24"/>
  <c r="Q40" i="22"/>
  <c r="Q18" i="22"/>
  <c r="M40" i="22"/>
  <c r="I40" i="22"/>
  <c r="E40" i="22"/>
  <c r="M18" i="22"/>
  <c r="I18" i="22"/>
  <c r="M17" i="22"/>
  <c r="Q17" i="22"/>
  <c r="I39" i="22"/>
  <c r="M39" i="22"/>
  <c r="I17" i="22"/>
  <c r="E39" i="22"/>
  <c r="Q39" i="22"/>
  <c r="Q32" i="25"/>
  <c r="Q54" i="25"/>
  <c r="E54" i="25"/>
  <c r="I32" i="25"/>
  <c r="M32" i="25"/>
  <c r="I54" i="25"/>
  <c r="M54" i="25"/>
  <c r="A43" i="31"/>
  <c r="E21" i="31"/>
  <c r="A43" i="28"/>
  <c r="E21" i="28"/>
  <c r="A50" i="28"/>
  <c r="E28" i="28"/>
  <c r="A56" i="27"/>
  <c r="E34" i="27"/>
  <c r="Q34" i="26"/>
  <c r="E56" i="26"/>
  <c r="I56" i="26"/>
  <c r="M56" i="26"/>
  <c r="Q56" i="26"/>
  <c r="I34" i="26"/>
  <c r="M34" i="26"/>
  <c r="I53" i="26"/>
  <c r="Q53" i="26"/>
  <c r="Q31" i="26"/>
  <c r="I31" i="26"/>
  <c r="E53" i="26"/>
  <c r="M53" i="26"/>
  <c r="M31" i="26"/>
  <c r="A52" i="28"/>
  <c r="E30" i="28"/>
  <c r="A52" i="31"/>
  <c r="E30" i="31"/>
  <c r="Q45" i="22"/>
  <c r="Q23" i="22"/>
  <c r="I45" i="22"/>
  <c r="E45" i="22"/>
  <c r="I23" i="22"/>
  <c r="M23" i="22"/>
  <c r="M45" i="22"/>
  <c r="Q21" i="22"/>
  <c r="I43" i="22"/>
  <c r="I21" i="22"/>
  <c r="M21" i="22"/>
  <c r="Q43" i="22"/>
  <c r="M43" i="22"/>
  <c r="E43" i="22"/>
  <c r="A54" i="29"/>
  <c r="E32" i="29"/>
  <c r="A49" i="28"/>
  <c r="E27" i="28"/>
  <c r="M27" i="26"/>
  <c r="I49" i="26"/>
  <c r="Q49" i="26"/>
  <c r="Q27" i="26"/>
  <c r="I27" i="26"/>
  <c r="E49" i="26"/>
  <c r="M49" i="26"/>
  <c r="Q30" i="22"/>
  <c r="I30" i="22"/>
  <c r="M30" i="22"/>
  <c r="M52" i="22"/>
  <c r="Q52" i="22"/>
  <c r="E52" i="22"/>
  <c r="I52" i="22"/>
  <c r="E51" i="25"/>
  <c r="I29" i="25"/>
  <c r="M29" i="25"/>
  <c r="Q29" i="25"/>
  <c r="I51" i="25"/>
  <c r="M51" i="25"/>
  <c r="Q51" i="25"/>
  <c r="A55" i="29"/>
  <c r="E33" i="29"/>
  <c r="M55" i="26"/>
  <c r="Q55" i="26"/>
  <c r="I55" i="26"/>
  <c r="I33" i="26"/>
  <c r="Q33" i="26"/>
  <c r="M33" i="26"/>
  <c r="E55" i="26"/>
  <c r="E17" i="31"/>
  <c r="A39" i="31"/>
  <c r="E24" i="27"/>
  <c r="A46" i="27"/>
  <c r="Q46" i="26"/>
  <c r="M46" i="26"/>
  <c r="I24" i="26"/>
  <c r="E46" i="26"/>
  <c r="I46" i="26"/>
  <c r="M24" i="26"/>
  <c r="Q24" i="26"/>
  <c r="A48" i="31"/>
  <c r="E26" i="31"/>
  <c r="M45" i="26"/>
  <c r="I23" i="26"/>
  <c r="E45" i="26"/>
  <c r="I45" i="26"/>
  <c r="M23" i="26"/>
  <c r="Q23" i="26"/>
  <c r="Q45" i="26"/>
  <c r="A45" i="31"/>
  <c r="E23" i="31"/>
  <c r="M44" i="26"/>
  <c r="I22" i="26"/>
  <c r="M22" i="26"/>
  <c r="E44" i="26"/>
  <c r="Q22" i="26"/>
  <c r="I44" i="26"/>
  <c r="Q44" i="26"/>
  <c r="I18" i="25"/>
  <c r="Q18" i="25"/>
  <c r="M18" i="25"/>
  <c r="E40" i="25"/>
  <c r="M40" i="25"/>
  <c r="Q40" i="25"/>
  <c r="I40" i="25"/>
  <c r="A47" i="31"/>
  <c r="E25" i="31"/>
  <c r="Q46" i="22"/>
  <c r="I46" i="22"/>
  <c r="I24" i="22"/>
  <c r="Q24" i="22"/>
  <c r="M46" i="22"/>
  <c r="E46" i="22"/>
  <c r="M24" i="22"/>
  <c r="E37" i="25"/>
  <c r="Q37" i="25"/>
  <c r="Q15" i="25"/>
  <c r="I15" i="25"/>
  <c r="I37" i="25"/>
  <c r="M15" i="25"/>
  <c r="M37" i="25"/>
  <c r="I53" i="22"/>
  <c r="E53" i="22"/>
  <c r="I31" i="22"/>
  <c r="M31" i="22"/>
  <c r="Q31" i="22"/>
  <c r="Q53" i="22"/>
  <c r="M53" i="22"/>
  <c r="Q41" i="25"/>
  <c r="I41" i="25"/>
  <c r="Q19" i="25"/>
  <c r="M19" i="25"/>
  <c r="I19" i="25"/>
  <c r="M41" i="25"/>
  <c r="E41" i="25"/>
  <c r="M48" i="25"/>
  <c r="M26" i="25"/>
  <c r="I48" i="25"/>
  <c r="Q48" i="25"/>
  <c r="Q26" i="25"/>
  <c r="I26" i="25"/>
  <c r="E48" i="25"/>
  <c r="A51" i="29"/>
  <c r="E29" i="29"/>
  <c r="E29" i="28"/>
  <c r="A51" i="28"/>
  <c r="A57" i="28"/>
  <c r="E35" i="28"/>
  <c r="M20" i="26"/>
  <c r="I42" i="26"/>
  <c r="Q42" i="26"/>
  <c r="Q20" i="26"/>
  <c r="I20" i="26"/>
  <c r="E42" i="26"/>
  <c r="M42" i="26"/>
  <c r="E20" i="31"/>
  <c r="A42" i="31"/>
  <c r="A40" i="28"/>
  <c r="E18" i="28"/>
  <c r="A37" i="27"/>
  <c r="E15" i="27"/>
  <c r="A37" i="31"/>
  <c r="E15" i="31"/>
  <c r="A41" i="29"/>
  <c r="E19" i="29"/>
  <c r="M51" i="22"/>
  <c r="E51" i="22"/>
  <c r="I51" i="22"/>
  <c r="I29" i="22"/>
  <c r="Q51" i="22"/>
  <c r="Q29" i="22"/>
  <c r="M29" i="22"/>
  <c r="A38" i="27"/>
  <c r="E16" i="27"/>
  <c r="E37" i="22"/>
  <c r="I37" i="22"/>
  <c r="M15" i="22"/>
  <c r="Q37" i="22"/>
  <c r="M37" i="22"/>
  <c r="Q15" i="22"/>
  <c r="I15" i="22"/>
  <c r="E51" i="24"/>
  <c r="M29" i="24"/>
  <c r="M51" i="24"/>
  <c r="I51" i="24"/>
  <c r="Q29" i="24"/>
  <c r="Q51" i="24"/>
  <c r="I29" i="24"/>
  <c r="I18" i="23"/>
  <c r="Q18" i="23"/>
  <c r="E40" i="23"/>
  <c r="M40" i="23"/>
  <c r="I40" i="23"/>
  <c r="M18" i="23"/>
  <c r="Q40" i="23"/>
  <c r="Q50" i="26"/>
  <c r="E50" i="26"/>
  <c r="I28" i="26"/>
  <c r="M28" i="26"/>
  <c r="Q28" i="26"/>
  <c r="I50" i="26"/>
  <c r="M50" i="26"/>
  <c r="A53" i="28"/>
  <c r="E31" i="28"/>
  <c r="E32" i="27"/>
  <c r="A54" i="27"/>
  <c r="M38" i="23"/>
  <c r="I16" i="23"/>
  <c r="Q38" i="23"/>
  <c r="M16" i="23"/>
  <c r="E38" i="23"/>
  <c r="I38" i="23"/>
  <c r="Q16" i="23"/>
  <c r="A39" i="28"/>
  <c r="E17" i="28"/>
  <c r="M48" i="26"/>
  <c r="I26" i="26"/>
  <c r="Q26" i="26"/>
  <c r="Q48" i="26"/>
  <c r="E48" i="26"/>
  <c r="I48" i="26"/>
  <c r="M26" i="26"/>
  <c r="A44" i="31"/>
  <c r="E22" i="31"/>
  <c r="Q52" i="25"/>
  <c r="E52" i="25"/>
  <c r="M52" i="25"/>
  <c r="I30" i="25"/>
  <c r="I52" i="25"/>
  <c r="M30" i="25"/>
  <c r="Q30" i="25"/>
  <c r="Q28" i="25"/>
  <c r="M50" i="25"/>
  <c r="M28" i="25"/>
  <c r="E50" i="25"/>
  <c r="Q50" i="25"/>
  <c r="I28" i="25"/>
  <c r="I50" i="25"/>
  <c r="I32" i="22"/>
  <c r="E54" i="22"/>
  <c r="M54" i="22"/>
  <c r="Q32" i="22"/>
  <c r="M32" i="22"/>
  <c r="I54" i="22"/>
  <c r="Q54" i="22"/>
  <c r="E38" i="25"/>
  <c r="Q16" i="25"/>
  <c r="M38" i="25"/>
  <c r="I16" i="25"/>
  <c r="Q38" i="25"/>
  <c r="I38" i="25"/>
  <c r="M16" i="25"/>
  <c r="E43" i="24"/>
  <c r="I21" i="24"/>
  <c r="M21" i="24"/>
  <c r="Q21" i="24"/>
  <c r="I43" i="24"/>
  <c r="Q43" i="24"/>
  <c r="M43" i="24"/>
  <c r="Q43" i="26"/>
  <c r="M21" i="26"/>
  <c r="I21" i="26"/>
  <c r="I43" i="26"/>
  <c r="M43" i="26"/>
  <c r="Q21" i="26"/>
  <c r="E43" i="26"/>
  <c r="A50" i="29"/>
  <c r="E28" i="29"/>
  <c r="A56" i="28"/>
  <c r="E34" i="28"/>
  <c r="A53" i="27"/>
  <c r="E31" i="27"/>
  <c r="A53" i="29"/>
  <c r="E31" i="29"/>
  <c r="M52" i="26"/>
  <c r="E52" i="26"/>
  <c r="I52" i="26"/>
  <c r="I30" i="26"/>
  <c r="M30" i="26"/>
  <c r="Q52" i="26"/>
  <c r="Q30" i="26"/>
  <c r="E53" i="23"/>
  <c r="I31" i="23"/>
  <c r="I53" i="23"/>
  <c r="Q31" i="23"/>
  <c r="M53" i="23"/>
  <c r="Q53" i="23"/>
  <c r="M31" i="23"/>
  <c r="E32" i="31"/>
  <c r="A54" i="31"/>
  <c r="A49" i="27"/>
  <c r="E27" i="27"/>
  <c r="I24" i="24"/>
  <c r="E46" i="24"/>
  <c r="I46" i="24"/>
  <c r="M24" i="24"/>
  <c r="Q24" i="24"/>
  <c r="Q46" i="24"/>
  <c r="M46" i="24"/>
  <c r="I15" i="24"/>
  <c r="Q15" i="24"/>
  <c r="M37" i="24"/>
  <c r="M15" i="24"/>
  <c r="E37" i="24"/>
  <c r="Q37" i="24"/>
  <c r="I37" i="24"/>
  <c r="Q40" i="24"/>
  <c r="Q18" i="24"/>
  <c r="M40" i="24"/>
  <c r="I18" i="24"/>
  <c r="I40" i="24"/>
  <c r="M18" i="24"/>
  <c r="E40" i="24"/>
  <c r="M39" i="24"/>
  <c r="I39" i="24"/>
  <c r="Q17" i="24"/>
  <c r="I17" i="24"/>
  <c r="Q39" i="24"/>
  <c r="M17" i="24"/>
  <c r="E39" i="24"/>
  <c r="E54" i="24"/>
  <c r="I32" i="24"/>
  <c r="M54" i="24"/>
  <c r="Q54" i="24"/>
  <c r="Q32" i="24"/>
  <c r="M32" i="24"/>
  <c r="I54" i="24"/>
  <c r="E41" i="24"/>
  <c r="Q19" i="24"/>
  <c r="M19" i="24"/>
  <c r="Q41" i="24"/>
  <c r="M41" i="24"/>
  <c r="I19" i="24"/>
  <c r="I41" i="24"/>
  <c r="Q48" i="23"/>
  <c r="Q26" i="23"/>
  <c r="I26" i="23"/>
  <c r="E48" i="23"/>
  <c r="M48" i="23"/>
  <c r="I48" i="23"/>
  <c r="M26" i="23"/>
  <c r="E33" i="31"/>
  <c r="A55" i="31"/>
  <c r="E17" i="27"/>
  <c r="A39" i="27"/>
  <c r="A46" i="28"/>
  <c r="E24" i="28"/>
  <c r="A48" i="27"/>
  <c r="E26" i="27"/>
  <c r="A45" i="27"/>
  <c r="E23" i="27"/>
  <c r="A44" i="27"/>
  <c r="E22" i="27"/>
  <c r="A44" i="29"/>
  <c r="E22" i="29"/>
  <c r="I19" i="23"/>
  <c r="E41" i="23"/>
  <c r="M41" i="23"/>
  <c r="Q19" i="23"/>
  <c r="I41" i="23"/>
  <c r="Q41" i="23"/>
  <c r="M19" i="23"/>
  <c r="E47" i="26"/>
  <c r="Q25" i="26"/>
  <c r="M47" i="26"/>
  <c r="Q47" i="26"/>
  <c r="M25" i="26"/>
  <c r="I25" i="26"/>
  <c r="I47" i="26"/>
  <c r="M25" i="24"/>
  <c r="Q25" i="24"/>
  <c r="M47" i="24"/>
  <c r="I47" i="24"/>
  <c r="I25" i="24"/>
  <c r="Q47" i="24"/>
  <c r="E47" i="24"/>
  <c r="E56" i="23"/>
  <c r="M56" i="23"/>
  <c r="M34" i="23"/>
  <c r="Q34" i="23"/>
  <c r="Q56" i="23"/>
  <c r="I56" i="23"/>
  <c r="I34" i="23"/>
  <c r="I51" i="23"/>
  <c r="E51" i="23"/>
  <c r="M29" i="23"/>
  <c r="I29" i="23"/>
  <c r="Q29" i="23"/>
  <c r="M51" i="23"/>
  <c r="Q51" i="23"/>
  <c r="Q22" i="23"/>
  <c r="E44" i="23"/>
  <c r="M44" i="23"/>
  <c r="M22" i="23"/>
  <c r="Q44" i="23"/>
  <c r="I44" i="23"/>
  <c r="I22" i="23"/>
  <c r="E42" i="22"/>
  <c r="Q42" i="22"/>
  <c r="M20" i="22"/>
  <c r="I20" i="22"/>
  <c r="I42" i="22"/>
  <c r="Q20" i="22"/>
  <c r="M42" i="22"/>
  <c r="Q55" i="25"/>
  <c r="Q33" i="25"/>
  <c r="I55" i="25"/>
  <c r="M55" i="25"/>
  <c r="I33" i="25"/>
  <c r="M33" i="25"/>
  <c r="E55" i="25"/>
  <c r="M43" i="23"/>
  <c r="I21" i="23"/>
  <c r="M21" i="23"/>
  <c r="Q43" i="23"/>
  <c r="E43" i="23"/>
  <c r="I43" i="23"/>
  <c r="Q21" i="23"/>
  <c r="E29" i="31"/>
  <c r="A51" i="31"/>
  <c r="A57" i="29"/>
  <c r="E35" i="29"/>
  <c r="A42" i="27"/>
  <c r="E20" i="27"/>
  <c r="A40" i="29"/>
  <c r="E18" i="29"/>
  <c r="A40" i="31"/>
  <c r="E18" i="31"/>
  <c r="A37" i="28"/>
  <c r="E15" i="28"/>
  <c r="A41" i="27"/>
  <c r="E19" i="27"/>
  <c r="A41" i="31"/>
  <c r="E19" i="31"/>
  <c r="I24" i="25"/>
  <c r="Q46" i="25"/>
  <c r="Q24" i="25"/>
  <c r="I46" i="25"/>
  <c r="M24" i="25"/>
  <c r="M46" i="25"/>
  <c r="E46" i="25"/>
  <c r="M34" i="25"/>
  <c r="Q56" i="25"/>
  <c r="I56" i="25"/>
  <c r="I34" i="25"/>
  <c r="Q34" i="25"/>
  <c r="M56" i="25"/>
  <c r="E56" i="25"/>
  <c r="M52" i="23"/>
  <c r="Q30" i="23"/>
  <c r="Q52" i="23"/>
  <c r="E52" i="23"/>
  <c r="I30" i="23"/>
  <c r="I52" i="23"/>
  <c r="M30" i="23"/>
  <c r="I21" i="25"/>
  <c r="E43" i="25"/>
  <c r="M43" i="25"/>
  <c r="M21" i="25"/>
  <c r="I43" i="25"/>
  <c r="Q43" i="25"/>
  <c r="Q21" i="25"/>
  <c r="A38" i="28"/>
  <c r="E16" i="28"/>
  <c r="G49" i="1"/>
  <c r="G50" i="1" s="1"/>
  <c r="G60" i="1"/>
  <c r="G61" i="1" s="1"/>
  <c r="N20" i="32"/>
  <c r="T17" i="36" s="1"/>
  <c r="A62" i="21"/>
  <c r="Q62" i="21"/>
  <c r="I62" i="21"/>
  <c r="E62" i="21"/>
  <c r="M62" i="21"/>
  <c r="R20" i="32"/>
  <c r="AF17" i="36" s="1"/>
  <c r="E62" i="23"/>
  <c r="N22" i="32"/>
  <c r="T19" i="36" s="1"/>
  <c r="A62" i="23"/>
  <c r="I62" i="23"/>
  <c r="M62" i="23"/>
  <c r="Q62" i="23"/>
  <c r="M62" i="24"/>
  <c r="N23" i="32"/>
  <c r="T20" i="36" s="1"/>
  <c r="E62" i="24"/>
  <c r="I62" i="24"/>
  <c r="Q62" i="24"/>
  <c r="A62" i="24"/>
  <c r="M66" i="25"/>
  <c r="M66" i="20"/>
  <c r="M66" i="31"/>
  <c r="M46" i="15"/>
  <c r="M25" i="9"/>
  <c r="G33" i="1"/>
  <c r="G34" i="1" s="1"/>
  <c r="G35" i="1" s="1"/>
  <c r="M84" i="18"/>
  <c r="I84" i="18"/>
  <c r="Q84" i="18"/>
  <c r="E84" i="18"/>
  <c r="M43" i="5"/>
  <c r="M84" i="20"/>
  <c r="Q84" i="20"/>
  <c r="Q43" i="5"/>
  <c r="I83" i="17"/>
  <c r="M83" i="17" s="1"/>
  <c r="Q83" i="17" s="1"/>
  <c r="M71" i="24"/>
  <c r="M71" i="19"/>
  <c r="M71" i="29"/>
  <c r="M51" i="14"/>
  <c r="M30" i="7"/>
  <c r="P23" i="32"/>
  <c r="AD20" i="36" s="1"/>
  <c r="Q23" i="32"/>
  <c r="AE20" i="36" s="1"/>
  <c r="O23" i="32"/>
  <c r="AC20" i="36" s="1"/>
  <c r="R23" i="32"/>
  <c r="AF20" i="36" s="1"/>
  <c r="M66" i="19"/>
  <c r="M66" i="29"/>
  <c r="M66" i="24"/>
  <c r="M46" i="14"/>
  <c r="M25" i="7"/>
  <c r="M74" i="19"/>
  <c r="M74" i="24"/>
  <c r="M74" i="29"/>
  <c r="M54" i="14"/>
  <c r="M33" i="7"/>
  <c r="Q31" i="7"/>
  <c r="M25" i="6"/>
  <c r="M66" i="28"/>
  <c r="M66" i="23"/>
  <c r="M66" i="18"/>
  <c r="M46" i="13"/>
  <c r="M74" i="28"/>
  <c r="M74" i="18"/>
  <c r="M74" i="23"/>
  <c r="M54" i="13"/>
  <c r="M33" i="6"/>
  <c r="Q72" i="18"/>
  <c r="M71" i="18"/>
  <c r="M71" i="28"/>
  <c r="M71" i="23"/>
  <c r="M51" i="13"/>
  <c r="M30" i="6"/>
  <c r="R22" i="32"/>
  <c r="AF19" i="36" s="1"/>
  <c r="Q22" i="32"/>
  <c r="AE19" i="36" s="1"/>
  <c r="P22" i="32"/>
  <c r="AD19" i="36" s="1"/>
  <c r="O22" i="32"/>
  <c r="AC19" i="36" s="1"/>
  <c r="M71" i="16"/>
  <c r="M71" i="26"/>
  <c r="M71" i="21"/>
  <c r="M52" i="10"/>
  <c r="M66" i="16"/>
  <c r="M66" i="21"/>
  <c r="M47" i="10"/>
  <c r="M74" i="21"/>
  <c r="M74" i="16"/>
  <c r="M74" i="26"/>
  <c r="M55" i="10"/>
  <c r="M72" i="26"/>
  <c r="M72" i="16"/>
  <c r="M72" i="21"/>
  <c r="M53" i="10"/>
  <c r="O20" i="32"/>
  <c r="AC17" i="36" s="1"/>
  <c r="P20" i="32"/>
  <c r="AD17" i="36" s="1"/>
  <c r="Q20" i="32"/>
  <c r="AE17" i="36" s="1"/>
  <c r="Q43" i="9"/>
  <c r="I43" i="9"/>
  <c r="E43" i="5"/>
  <c r="M43" i="9"/>
  <c r="E43" i="7"/>
  <c r="I43" i="7"/>
  <c r="Q43" i="7"/>
  <c r="E64" i="15"/>
  <c r="I64" i="15"/>
  <c r="Q64" i="15"/>
  <c r="M64" i="15"/>
  <c r="I64" i="14"/>
  <c r="E64" i="14"/>
  <c r="Q64" i="14"/>
  <c r="M64" i="14"/>
  <c r="Q64" i="13"/>
  <c r="E64" i="13"/>
  <c r="I64" i="13"/>
  <c r="M64" i="13"/>
  <c r="M25" i="4"/>
  <c r="A84" i="26"/>
  <c r="A84" i="21"/>
  <c r="M33" i="4"/>
  <c r="M30" i="4"/>
  <c r="G80" i="1"/>
  <c r="G91" i="1"/>
  <c r="G82" i="1"/>
  <c r="G83" i="1" s="1"/>
  <c r="G93" i="1"/>
  <c r="G94" i="1" s="1"/>
  <c r="G71" i="1"/>
  <c r="G72" i="1" s="1"/>
  <c r="I84" i="20" l="1"/>
  <c r="Q31" i="4"/>
  <c r="Q73" i="16"/>
  <c r="Q32" i="4"/>
  <c r="I84" i="19"/>
  <c r="Q84" i="19"/>
  <c r="M84" i="19"/>
  <c r="Q53" i="5"/>
  <c r="Q74" i="5"/>
  <c r="Q67" i="27"/>
  <c r="Q67" i="17"/>
  <c r="Q47" i="12"/>
  <c r="Q67" i="22"/>
  <c r="Q73" i="31"/>
  <c r="Q73" i="25"/>
  <c r="Q53" i="15"/>
  <c r="Q73" i="20"/>
  <c r="Q32" i="9"/>
  <c r="Q67" i="28"/>
  <c r="Q26" i="6"/>
  <c r="Q67" i="23"/>
  <c r="Q47" i="13"/>
  <c r="Q67" i="18"/>
  <c r="Q65" i="5"/>
  <c r="Q26" i="5"/>
  <c r="Q67" i="31"/>
  <c r="Q47" i="15"/>
  <c r="Q67" i="25"/>
  <c r="Q26" i="9"/>
  <c r="Q67" i="20"/>
  <c r="Q26" i="7"/>
  <c r="Q67" i="24"/>
  <c r="Q67" i="19"/>
  <c r="Q47" i="14"/>
  <c r="Q67" i="29"/>
  <c r="Q32" i="7"/>
  <c r="Q73" i="19"/>
  <c r="Q73" i="24"/>
  <c r="Q73" i="29"/>
  <c r="Q53" i="14"/>
  <c r="Q26" i="4"/>
  <c r="Q67" i="21"/>
  <c r="Q67" i="16"/>
  <c r="Q67" i="26"/>
  <c r="Q48" i="10"/>
  <c r="Q84" i="17"/>
  <c r="M84" i="17"/>
  <c r="E84" i="17"/>
  <c r="Q66" i="27"/>
  <c r="Q47" i="10"/>
  <c r="Q71" i="31"/>
  <c r="Q71" i="25"/>
  <c r="Q71" i="20"/>
  <c r="Q51" i="15"/>
  <c r="Q30" i="9"/>
  <c r="Q74" i="25"/>
  <c r="Q74" i="31"/>
  <c r="Q74" i="20"/>
  <c r="Q54" i="15"/>
  <c r="Q33" i="9"/>
  <c r="Q62" i="31"/>
  <c r="Q29" i="32"/>
  <c r="AE26" i="36" s="1"/>
  <c r="A62" i="31"/>
  <c r="E62" i="31"/>
  <c r="P29" i="32"/>
  <c r="AD26" i="36" s="1"/>
  <c r="N29" i="32"/>
  <c r="T26" i="36" s="1"/>
  <c r="I62" i="31"/>
  <c r="M62" i="31"/>
  <c r="R29" i="32"/>
  <c r="AF26" i="36" s="1"/>
  <c r="O29" i="32"/>
  <c r="AC26" i="36" s="1"/>
  <c r="M59" i="28"/>
  <c r="I59" i="28"/>
  <c r="Q59" i="28"/>
  <c r="E59" i="28"/>
  <c r="M59" i="31"/>
  <c r="I59" i="31"/>
  <c r="Q59" i="31"/>
  <c r="E59" i="31"/>
  <c r="M59" i="27"/>
  <c r="I59" i="27"/>
  <c r="E59" i="27"/>
  <c r="Q59" i="27"/>
  <c r="I59" i="29"/>
  <c r="M59" i="29"/>
  <c r="E59" i="29"/>
  <c r="Q59" i="29"/>
  <c r="I13" i="28"/>
  <c r="E13" i="28"/>
  <c r="Q13" i="28"/>
  <c r="M13" i="28"/>
  <c r="M13" i="29"/>
  <c r="Q13" i="29"/>
  <c r="E13" i="29"/>
  <c r="I13" i="29"/>
  <c r="M13" i="31"/>
  <c r="E13" i="31"/>
  <c r="Q13" i="31"/>
  <c r="I13" i="31"/>
  <c r="M13" i="27"/>
  <c r="E13" i="27"/>
  <c r="I13" i="27"/>
  <c r="Q13" i="27"/>
  <c r="I39" i="27"/>
  <c r="I17" i="27"/>
  <c r="M39" i="27"/>
  <c r="Q17" i="27"/>
  <c r="M17" i="27"/>
  <c r="E39" i="27"/>
  <c r="Q39" i="27"/>
  <c r="Q39" i="28"/>
  <c r="I17" i="28"/>
  <c r="E39" i="28"/>
  <c r="Q17" i="28"/>
  <c r="M39" i="28"/>
  <c r="M17" i="28"/>
  <c r="I39" i="28"/>
  <c r="M37" i="31"/>
  <c r="M15" i="31"/>
  <c r="E37" i="31"/>
  <c r="Q37" i="31"/>
  <c r="I37" i="31"/>
  <c r="I15" i="31"/>
  <c r="Q15" i="31"/>
  <c r="I29" i="28"/>
  <c r="M51" i="28"/>
  <c r="M29" i="28"/>
  <c r="E51" i="28"/>
  <c r="I51" i="28"/>
  <c r="Q51" i="28"/>
  <c r="Q29" i="28"/>
  <c r="M49" i="28"/>
  <c r="Q27" i="28"/>
  <c r="Q49" i="28"/>
  <c r="E49" i="28"/>
  <c r="I27" i="28"/>
  <c r="I49" i="28"/>
  <c r="M27" i="28"/>
  <c r="M34" i="27"/>
  <c r="I34" i="27"/>
  <c r="I56" i="27"/>
  <c r="M56" i="27"/>
  <c r="Q34" i="27"/>
  <c r="E56" i="27"/>
  <c r="Q56" i="27"/>
  <c r="Q41" i="31"/>
  <c r="Q19" i="31"/>
  <c r="I19" i="31"/>
  <c r="E41" i="31"/>
  <c r="M41" i="31"/>
  <c r="M19" i="31"/>
  <c r="I41" i="31"/>
  <c r="E37" i="28"/>
  <c r="I15" i="28"/>
  <c r="M15" i="28"/>
  <c r="I37" i="28"/>
  <c r="M37" i="28"/>
  <c r="Q15" i="28"/>
  <c r="Q37" i="28"/>
  <c r="E40" i="29"/>
  <c r="I18" i="29"/>
  <c r="M18" i="29"/>
  <c r="I40" i="29"/>
  <c r="Q18" i="29"/>
  <c r="M40" i="29"/>
  <c r="Q40" i="29"/>
  <c r="M57" i="29"/>
  <c r="I35" i="29"/>
  <c r="M35" i="29"/>
  <c r="Q35" i="29"/>
  <c r="Q57" i="29"/>
  <c r="I57" i="29"/>
  <c r="E57" i="29"/>
  <c r="Q44" i="27"/>
  <c r="Q22" i="27"/>
  <c r="I22" i="27"/>
  <c r="E44" i="27"/>
  <c r="I44" i="27"/>
  <c r="M22" i="27"/>
  <c r="M44" i="27"/>
  <c r="I26" i="27"/>
  <c r="E48" i="27"/>
  <c r="I48" i="27"/>
  <c r="M26" i="27"/>
  <c r="M48" i="27"/>
  <c r="Q48" i="27"/>
  <c r="Q26" i="27"/>
  <c r="I27" i="27"/>
  <c r="I49" i="27"/>
  <c r="M49" i="27"/>
  <c r="Q27" i="27"/>
  <c r="E49" i="27"/>
  <c r="Q49" i="27"/>
  <c r="M27" i="27"/>
  <c r="E53" i="27"/>
  <c r="Q31" i="27"/>
  <c r="M31" i="27"/>
  <c r="Q53" i="27"/>
  <c r="M53" i="27"/>
  <c r="I31" i="27"/>
  <c r="I53" i="27"/>
  <c r="M50" i="29"/>
  <c r="M28" i="29"/>
  <c r="E50" i="29"/>
  <c r="Q28" i="29"/>
  <c r="I50" i="29"/>
  <c r="I28" i="29"/>
  <c r="Q50" i="29"/>
  <c r="M38" i="27"/>
  <c r="I16" i="27"/>
  <c r="Q16" i="27"/>
  <c r="I38" i="27"/>
  <c r="Q38" i="27"/>
  <c r="E38" i="27"/>
  <c r="M16" i="27"/>
  <c r="M42" i="31"/>
  <c r="I20" i="31"/>
  <c r="I42" i="31"/>
  <c r="M20" i="31"/>
  <c r="Q42" i="31"/>
  <c r="Q20" i="31"/>
  <c r="E42" i="31"/>
  <c r="M26" i="31"/>
  <c r="M48" i="31"/>
  <c r="Q48" i="31"/>
  <c r="Q26" i="31"/>
  <c r="I26" i="31"/>
  <c r="E48" i="31"/>
  <c r="I48" i="31"/>
  <c r="M46" i="27"/>
  <c r="I46" i="27"/>
  <c r="E46" i="27"/>
  <c r="M24" i="27"/>
  <c r="Q24" i="27"/>
  <c r="Q46" i="27"/>
  <c r="I24" i="27"/>
  <c r="I55" i="29"/>
  <c r="Q55" i="29"/>
  <c r="Q33" i="29"/>
  <c r="I33" i="29"/>
  <c r="E55" i="29"/>
  <c r="M55" i="29"/>
  <c r="M33" i="29"/>
  <c r="M23" i="28"/>
  <c r="Q23" i="28"/>
  <c r="M45" i="28"/>
  <c r="I45" i="28"/>
  <c r="Q45" i="28"/>
  <c r="E45" i="28"/>
  <c r="I23" i="28"/>
  <c r="I48" i="29"/>
  <c r="M48" i="29"/>
  <c r="Q48" i="29"/>
  <c r="E48" i="29"/>
  <c r="I26" i="29"/>
  <c r="Q26" i="29"/>
  <c r="M26" i="29"/>
  <c r="M32" i="28"/>
  <c r="M54" i="28"/>
  <c r="I32" i="28"/>
  <c r="I54" i="28"/>
  <c r="E54" i="28"/>
  <c r="Q32" i="28"/>
  <c r="Q54" i="28"/>
  <c r="I30" i="29"/>
  <c r="E52" i="29"/>
  <c r="M52" i="29"/>
  <c r="M30" i="29"/>
  <c r="I52" i="29"/>
  <c r="Q30" i="29"/>
  <c r="Q52" i="29"/>
  <c r="I34" i="31"/>
  <c r="E56" i="31"/>
  <c r="I56" i="31"/>
  <c r="M34" i="31"/>
  <c r="Q34" i="31"/>
  <c r="Q56" i="31"/>
  <c r="M56" i="31"/>
  <c r="I43" i="27"/>
  <c r="M43" i="27"/>
  <c r="I21" i="27"/>
  <c r="Q43" i="27"/>
  <c r="M21" i="27"/>
  <c r="Q21" i="27"/>
  <c r="E43" i="27"/>
  <c r="Q41" i="28"/>
  <c r="Q19" i="28"/>
  <c r="I19" i="28"/>
  <c r="E41" i="28"/>
  <c r="M41" i="28"/>
  <c r="I41" i="28"/>
  <c r="M19" i="28"/>
  <c r="I47" i="27"/>
  <c r="I25" i="27"/>
  <c r="M47" i="27"/>
  <c r="E47" i="27"/>
  <c r="Q47" i="27"/>
  <c r="Q25" i="27"/>
  <c r="M25" i="27"/>
  <c r="M46" i="29"/>
  <c r="I24" i="29"/>
  <c r="Q46" i="29"/>
  <c r="E46" i="29"/>
  <c r="I46" i="29"/>
  <c r="Q24" i="29"/>
  <c r="M24" i="29"/>
  <c r="M54" i="27"/>
  <c r="I32" i="27"/>
  <c r="Q32" i="27"/>
  <c r="I54" i="27"/>
  <c r="E54" i="27"/>
  <c r="M32" i="27"/>
  <c r="Q54" i="27"/>
  <c r="I40" i="28"/>
  <c r="I18" i="28"/>
  <c r="M40" i="28"/>
  <c r="Q40" i="28"/>
  <c r="M18" i="28"/>
  <c r="E40" i="28"/>
  <c r="Q18" i="28"/>
  <c r="I52" i="28"/>
  <c r="I30" i="28"/>
  <c r="E52" i="28"/>
  <c r="Q52" i="28"/>
  <c r="M30" i="28"/>
  <c r="Q30" i="28"/>
  <c r="M52" i="28"/>
  <c r="I33" i="28"/>
  <c r="Q55" i="28"/>
  <c r="I55" i="28"/>
  <c r="M55" i="28"/>
  <c r="E55" i="28"/>
  <c r="M33" i="28"/>
  <c r="Q33" i="28"/>
  <c r="E51" i="31"/>
  <c r="M51" i="31"/>
  <c r="M29" i="31"/>
  <c r="I51" i="31"/>
  <c r="Q51" i="31"/>
  <c r="Q29" i="31"/>
  <c r="I29" i="31"/>
  <c r="Q33" i="31"/>
  <c r="I33" i="31"/>
  <c r="E55" i="31"/>
  <c r="M55" i="31"/>
  <c r="M33" i="31"/>
  <c r="I55" i="31"/>
  <c r="Q55" i="31"/>
  <c r="M54" i="31"/>
  <c r="Q32" i="31"/>
  <c r="I32" i="31"/>
  <c r="M32" i="31"/>
  <c r="Q54" i="31"/>
  <c r="I54" i="31"/>
  <c r="E54" i="31"/>
  <c r="M41" i="29"/>
  <c r="M19" i="29"/>
  <c r="E41" i="29"/>
  <c r="Q41" i="29"/>
  <c r="I41" i="29"/>
  <c r="I19" i="29"/>
  <c r="Q19" i="29"/>
  <c r="M15" i="27"/>
  <c r="Q15" i="27"/>
  <c r="M37" i="27"/>
  <c r="Q37" i="27"/>
  <c r="E37" i="27"/>
  <c r="I37" i="27"/>
  <c r="I15" i="27"/>
  <c r="M54" i="29"/>
  <c r="Q54" i="29"/>
  <c r="E54" i="29"/>
  <c r="I54" i="29"/>
  <c r="M32" i="29"/>
  <c r="I32" i="29"/>
  <c r="Q32" i="29"/>
  <c r="E52" i="31"/>
  <c r="I30" i="31"/>
  <c r="M30" i="31"/>
  <c r="Q30" i="31"/>
  <c r="I52" i="31"/>
  <c r="M52" i="31"/>
  <c r="Q52" i="31"/>
  <c r="E50" i="28"/>
  <c r="Q50" i="28"/>
  <c r="M50" i="28"/>
  <c r="I28" i="28"/>
  <c r="I50" i="28"/>
  <c r="M28" i="28"/>
  <c r="Q28" i="28"/>
  <c r="I43" i="31"/>
  <c r="Q43" i="31"/>
  <c r="Q21" i="31"/>
  <c r="I21" i="31"/>
  <c r="E43" i="31"/>
  <c r="M43" i="31"/>
  <c r="M21" i="31"/>
  <c r="Q53" i="31"/>
  <c r="Q31" i="31"/>
  <c r="I31" i="31"/>
  <c r="E53" i="31"/>
  <c r="M53" i="31"/>
  <c r="M31" i="31"/>
  <c r="I53" i="31"/>
  <c r="M38" i="31"/>
  <c r="Q16" i="31"/>
  <c r="I16" i="31"/>
  <c r="Q38" i="31"/>
  <c r="M16" i="31"/>
  <c r="E38" i="31"/>
  <c r="I38" i="31"/>
  <c r="M42" i="29"/>
  <c r="I20" i="29"/>
  <c r="M20" i="29"/>
  <c r="Q20" i="29"/>
  <c r="E42" i="29"/>
  <c r="I42" i="29"/>
  <c r="Q42" i="29"/>
  <c r="I51" i="27"/>
  <c r="I29" i="27"/>
  <c r="Q51" i="27"/>
  <c r="M29" i="27"/>
  <c r="M51" i="27"/>
  <c r="Q29" i="27"/>
  <c r="E51" i="27"/>
  <c r="M47" i="29"/>
  <c r="I25" i="29"/>
  <c r="E47" i="29"/>
  <c r="I47" i="29"/>
  <c r="M25" i="29"/>
  <c r="Q25" i="29"/>
  <c r="Q47" i="29"/>
  <c r="M20" i="28"/>
  <c r="E42" i="28"/>
  <c r="I20" i="28"/>
  <c r="Q42" i="28"/>
  <c r="M42" i="28"/>
  <c r="I42" i="28"/>
  <c r="Q20" i="28"/>
  <c r="I44" i="28"/>
  <c r="I22" i="28"/>
  <c r="M44" i="28"/>
  <c r="Q22" i="28"/>
  <c r="E44" i="28"/>
  <c r="Q44" i="28"/>
  <c r="M22" i="28"/>
  <c r="M27" i="29"/>
  <c r="Q49" i="29"/>
  <c r="I49" i="29"/>
  <c r="I27" i="29"/>
  <c r="Q27" i="29"/>
  <c r="M49" i="29"/>
  <c r="E49" i="29"/>
  <c r="E56" i="29"/>
  <c r="I34" i="29"/>
  <c r="M34" i="29"/>
  <c r="Q34" i="29"/>
  <c r="I56" i="29"/>
  <c r="M56" i="29"/>
  <c r="Q56" i="29"/>
  <c r="E47" i="31"/>
  <c r="M47" i="31"/>
  <c r="M25" i="31"/>
  <c r="I47" i="31"/>
  <c r="Q47" i="31"/>
  <c r="Q25" i="31"/>
  <c r="I25" i="31"/>
  <c r="M45" i="31"/>
  <c r="Q45" i="31"/>
  <c r="I45" i="31"/>
  <c r="I23" i="31"/>
  <c r="Q23" i="31"/>
  <c r="M23" i="31"/>
  <c r="E45" i="31"/>
  <c r="M21" i="28"/>
  <c r="I43" i="28"/>
  <c r="Q21" i="28"/>
  <c r="I21" i="28"/>
  <c r="Q43" i="28"/>
  <c r="M43" i="28"/>
  <c r="E43" i="28"/>
  <c r="Q17" i="29"/>
  <c r="Q39" i="29"/>
  <c r="M39" i="29"/>
  <c r="I17" i="29"/>
  <c r="E39" i="29"/>
  <c r="I39" i="29"/>
  <c r="M17" i="29"/>
  <c r="M18" i="27"/>
  <c r="Q18" i="27"/>
  <c r="Q40" i="27"/>
  <c r="M40" i="27"/>
  <c r="I18" i="27"/>
  <c r="E40" i="27"/>
  <c r="I40" i="27"/>
  <c r="Q47" i="28"/>
  <c r="I25" i="28"/>
  <c r="M47" i="28"/>
  <c r="M25" i="28"/>
  <c r="I47" i="28"/>
  <c r="Q25" i="28"/>
  <c r="E47" i="28"/>
  <c r="M16" i="28"/>
  <c r="I38" i="28"/>
  <c r="Q38" i="28"/>
  <c r="Q16" i="28"/>
  <c r="I16" i="28"/>
  <c r="E38" i="28"/>
  <c r="M38" i="28"/>
  <c r="M41" i="27"/>
  <c r="Q41" i="27"/>
  <c r="E41" i="27"/>
  <c r="I19" i="27"/>
  <c r="I41" i="27"/>
  <c r="M19" i="27"/>
  <c r="Q19" i="27"/>
  <c r="Q40" i="31"/>
  <c r="E40" i="31"/>
  <c r="I18" i="31"/>
  <c r="M18" i="31"/>
  <c r="M40" i="31"/>
  <c r="I40" i="31"/>
  <c r="Q18" i="31"/>
  <c r="M42" i="27"/>
  <c r="I20" i="27"/>
  <c r="M20" i="27"/>
  <c r="Q42" i="27"/>
  <c r="I42" i="27"/>
  <c r="Q20" i="27"/>
  <c r="E42" i="27"/>
  <c r="I22" i="29"/>
  <c r="E44" i="29"/>
  <c r="M44" i="29"/>
  <c r="M22" i="29"/>
  <c r="I44" i="29"/>
  <c r="Q44" i="29"/>
  <c r="Q22" i="29"/>
  <c r="Q45" i="27"/>
  <c r="M23" i="27"/>
  <c r="I23" i="27"/>
  <c r="I45" i="27"/>
  <c r="M45" i="27"/>
  <c r="Q23" i="27"/>
  <c r="E45" i="27"/>
  <c r="E46" i="28"/>
  <c r="M46" i="28"/>
  <c r="M24" i="28"/>
  <c r="Q24" i="28"/>
  <c r="Q46" i="28"/>
  <c r="I24" i="28"/>
  <c r="I46" i="28"/>
  <c r="E53" i="29"/>
  <c r="Q31" i="29"/>
  <c r="M53" i="29"/>
  <c r="Q53" i="29"/>
  <c r="M31" i="29"/>
  <c r="I31" i="29"/>
  <c r="I53" i="29"/>
  <c r="I56" i="28"/>
  <c r="M56" i="28"/>
  <c r="I34" i="28"/>
  <c r="Q56" i="28"/>
  <c r="M34" i="28"/>
  <c r="E56" i="28"/>
  <c r="Q34" i="28"/>
  <c r="Q44" i="31"/>
  <c r="E44" i="31"/>
  <c r="I22" i="31"/>
  <c r="M22" i="31"/>
  <c r="Q22" i="31"/>
  <c r="I44" i="31"/>
  <c r="M44" i="31"/>
  <c r="Q53" i="28"/>
  <c r="E53" i="28"/>
  <c r="I31" i="28"/>
  <c r="M31" i="28"/>
  <c r="I53" i="28"/>
  <c r="M53" i="28"/>
  <c r="Q31" i="28"/>
  <c r="M35" i="28"/>
  <c r="I57" i="28"/>
  <c r="Q35" i="28"/>
  <c r="E57" i="28"/>
  <c r="Q57" i="28"/>
  <c r="I35" i="28"/>
  <c r="M57" i="28"/>
  <c r="E51" i="29"/>
  <c r="I51" i="29"/>
  <c r="M29" i="29"/>
  <c r="Q29" i="29"/>
  <c r="Q51" i="29"/>
  <c r="M51" i="29"/>
  <c r="I29" i="29"/>
  <c r="Q17" i="31"/>
  <c r="Q39" i="31"/>
  <c r="E39" i="31"/>
  <c r="I17" i="31"/>
  <c r="M17" i="31"/>
  <c r="M39" i="31"/>
  <c r="I39" i="31"/>
  <c r="I48" i="28"/>
  <c r="I26" i="28"/>
  <c r="M48" i="28"/>
  <c r="Q48" i="28"/>
  <c r="Q26" i="28"/>
  <c r="E48" i="28"/>
  <c r="M26" i="28"/>
  <c r="M50" i="31"/>
  <c r="I28" i="31"/>
  <c r="Q50" i="31"/>
  <c r="M28" i="31"/>
  <c r="E50" i="31"/>
  <c r="I50" i="31"/>
  <c r="Q28" i="31"/>
  <c r="I15" i="29"/>
  <c r="Q15" i="29"/>
  <c r="I37" i="29"/>
  <c r="Q37" i="29"/>
  <c r="M15" i="29"/>
  <c r="M37" i="29"/>
  <c r="E37" i="29"/>
  <c r="M57" i="27"/>
  <c r="I35" i="27"/>
  <c r="M35" i="27"/>
  <c r="I57" i="27"/>
  <c r="Q35" i="27"/>
  <c r="Q57" i="27"/>
  <c r="E57" i="27"/>
  <c r="I23" i="29"/>
  <c r="I45" i="29"/>
  <c r="M23" i="29"/>
  <c r="Q23" i="29"/>
  <c r="M45" i="29"/>
  <c r="Q45" i="29"/>
  <c r="E45" i="29"/>
  <c r="E46" i="31"/>
  <c r="Q24" i="31"/>
  <c r="M46" i="31"/>
  <c r="I24" i="31"/>
  <c r="Q46" i="31"/>
  <c r="M24" i="31"/>
  <c r="I46" i="31"/>
  <c r="I27" i="31"/>
  <c r="Q27" i="31"/>
  <c r="M27" i="31"/>
  <c r="E49" i="31"/>
  <c r="M49" i="31"/>
  <c r="Q49" i="31"/>
  <c r="I49" i="31"/>
  <c r="E52" i="27"/>
  <c r="I30" i="27"/>
  <c r="M30" i="27"/>
  <c r="Q30" i="27"/>
  <c r="I52" i="27"/>
  <c r="M52" i="27"/>
  <c r="Q52" i="27"/>
  <c r="M50" i="27"/>
  <c r="I28" i="27"/>
  <c r="M28" i="27"/>
  <c r="Q28" i="27"/>
  <c r="Q50" i="27"/>
  <c r="I50" i="27"/>
  <c r="E50" i="27"/>
  <c r="M38" i="29"/>
  <c r="I16" i="29"/>
  <c r="E38" i="29"/>
  <c r="Q38" i="29"/>
  <c r="I38" i="29"/>
  <c r="Q16" i="29"/>
  <c r="M16" i="29"/>
  <c r="M57" i="31"/>
  <c r="I35" i="31"/>
  <c r="I57" i="31"/>
  <c r="Q57" i="31"/>
  <c r="M35" i="31"/>
  <c r="E57" i="31"/>
  <c r="Q35" i="31"/>
  <c r="I55" i="27"/>
  <c r="M55" i="27"/>
  <c r="I33" i="27"/>
  <c r="Q33" i="27"/>
  <c r="M33" i="27"/>
  <c r="E55" i="27"/>
  <c r="Q55" i="27"/>
  <c r="Q21" i="29"/>
  <c r="Q43" i="29"/>
  <c r="E43" i="29"/>
  <c r="I21" i="29"/>
  <c r="M21" i="29"/>
  <c r="I43" i="29"/>
  <c r="M43" i="29"/>
  <c r="A62" i="26"/>
  <c r="M62" i="26"/>
  <c r="I62" i="26"/>
  <c r="N25" i="32"/>
  <c r="T22" i="36" s="1"/>
  <c r="Q62" i="26"/>
  <c r="E62" i="26"/>
  <c r="M62" i="29"/>
  <c r="A62" i="29"/>
  <c r="E62" i="29"/>
  <c r="I62" i="29"/>
  <c r="Q62" i="29"/>
  <c r="N28" i="32"/>
  <c r="T25" i="36" s="1"/>
  <c r="I62" i="28"/>
  <c r="M62" i="28"/>
  <c r="Q62" i="28"/>
  <c r="N27" i="32"/>
  <c r="T24" i="36" s="1"/>
  <c r="E62" i="28"/>
  <c r="A62" i="28"/>
  <c r="Q66" i="31"/>
  <c r="Q66" i="20"/>
  <c r="Q66" i="25"/>
  <c r="Q46" i="15"/>
  <c r="Q25" i="9"/>
  <c r="M84" i="21"/>
  <c r="Q84" i="21"/>
  <c r="I84" i="21"/>
  <c r="A84" i="24"/>
  <c r="E84" i="21"/>
  <c r="A84" i="23"/>
  <c r="A84" i="22"/>
  <c r="A84" i="25"/>
  <c r="R28" i="32"/>
  <c r="AF25" i="36" s="1"/>
  <c r="Q28" i="32"/>
  <c r="AE25" i="36" s="1"/>
  <c r="P28" i="32"/>
  <c r="AD25" i="36" s="1"/>
  <c r="O28" i="32"/>
  <c r="AC25" i="36" s="1"/>
  <c r="Q74" i="24"/>
  <c r="Q74" i="19"/>
  <c r="Q74" i="29"/>
  <c r="Q54" i="14"/>
  <c r="Q33" i="7"/>
  <c r="Q66" i="24"/>
  <c r="Q66" i="19"/>
  <c r="Q66" i="29"/>
  <c r="Q46" i="14"/>
  <c r="Q25" i="7"/>
  <c r="Q71" i="29"/>
  <c r="Q71" i="24"/>
  <c r="Q71" i="19"/>
  <c r="Q51" i="14"/>
  <c r="Q30" i="7"/>
  <c r="Q71" i="18"/>
  <c r="Q71" i="28"/>
  <c r="Q71" i="23"/>
  <c r="Q51" i="13"/>
  <c r="Q30" i="6"/>
  <c r="Q25" i="6"/>
  <c r="Q66" i="18"/>
  <c r="Q66" i="28"/>
  <c r="Q66" i="23"/>
  <c r="Q46" i="13"/>
  <c r="Q74" i="18"/>
  <c r="Q74" i="23"/>
  <c r="Q74" i="28"/>
  <c r="Q54" i="13"/>
  <c r="Q33" i="6"/>
  <c r="M84" i="26"/>
  <c r="Q84" i="26"/>
  <c r="I84" i="26"/>
  <c r="A84" i="31"/>
  <c r="A84" i="28"/>
  <c r="A84" i="29"/>
  <c r="A84" i="27"/>
  <c r="E84" i="26"/>
  <c r="O27" i="32"/>
  <c r="AC24" i="36" s="1"/>
  <c r="R27" i="32"/>
  <c r="AF24" i="36" s="1"/>
  <c r="Q27" i="32"/>
  <c r="AE24" i="36" s="1"/>
  <c r="P27" i="32"/>
  <c r="AD24" i="36" s="1"/>
  <c r="Q66" i="16"/>
  <c r="Q66" i="21"/>
  <c r="Q66" i="26"/>
  <c r="Q74" i="26"/>
  <c r="Q74" i="21"/>
  <c r="Q74" i="16"/>
  <c r="Q71" i="21"/>
  <c r="Q71" i="16"/>
  <c r="Q71" i="26"/>
  <c r="Q72" i="26"/>
  <c r="Q72" i="16"/>
  <c r="Q72" i="21"/>
  <c r="P25" i="32"/>
  <c r="AD22" i="36" s="1"/>
  <c r="R25" i="32"/>
  <c r="AF22" i="36" s="1"/>
  <c r="O25" i="32"/>
  <c r="AC22" i="36" s="1"/>
  <c r="Q25" i="32"/>
  <c r="AE22" i="36" s="1"/>
  <c r="Q25" i="4"/>
  <c r="Q53" i="10"/>
  <c r="Q55" i="10"/>
  <c r="Q33" i="4"/>
  <c r="Q52" i="10"/>
  <c r="I84" i="22" l="1"/>
  <c r="M84" i="22"/>
  <c r="Q84" i="22"/>
  <c r="E84" i="22"/>
  <c r="Q84" i="25"/>
  <c r="I84" i="25"/>
  <c r="M84" i="25"/>
  <c r="E84" i="25"/>
  <c r="I84" i="24"/>
  <c r="M84" i="24"/>
  <c r="Q84" i="24"/>
  <c r="E84" i="24"/>
  <c r="E84" i="23"/>
  <c r="Q84" i="23"/>
  <c r="I84" i="23"/>
  <c r="M84" i="23"/>
  <c r="I84" i="27"/>
  <c r="M84" i="27"/>
  <c r="Q84" i="27"/>
  <c r="E84" i="27"/>
  <c r="I84" i="29"/>
  <c r="M84" i="29"/>
  <c r="Q84" i="29"/>
  <c r="E84" i="29"/>
  <c r="M84" i="31"/>
  <c r="Q84" i="31"/>
  <c r="I84" i="31"/>
  <c r="E84" i="31"/>
  <c r="M84" i="28"/>
  <c r="Q84" i="28"/>
  <c r="I84" i="28"/>
  <c r="E84" i="28"/>
  <c r="Q60" i="16" l="1"/>
  <c r="E60" i="16"/>
  <c r="I60" i="16"/>
  <c r="A60" i="20"/>
  <c r="Q60" i="20" s="1"/>
  <c r="M60" i="16"/>
  <c r="I59" i="16"/>
  <c r="E59" i="16"/>
  <c r="M59" i="16"/>
  <c r="A59" i="20"/>
  <c r="Q59" i="20" s="1"/>
  <c r="Q59" i="16"/>
  <c r="A59" i="18"/>
  <c r="E59" i="18" s="1"/>
  <c r="A59" i="17"/>
  <c r="A60" i="17"/>
  <c r="A60" i="19"/>
  <c r="Q60" i="19" s="1"/>
  <c r="A59" i="19"/>
  <c r="Q59" i="19" s="1"/>
  <c r="A60" i="18"/>
  <c r="M60" i="18" s="1"/>
  <c r="I59" i="17" l="1"/>
  <c r="E59" i="17"/>
  <c r="Q60" i="17"/>
  <c r="E60" i="17"/>
  <c r="E60" i="18"/>
  <c r="I60" i="19"/>
  <c r="E59" i="19"/>
  <c r="E60" i="19"/>
  <c r="M60" i="19"/>
  <c r="Q60" i="18"/>
  <c r="E60" i="20"/>
  <c r="E59" i="20"/>
  <c r="M59" i="19"/>
  <c r="I59" i="19"/>
  <c r="M59" i="17"/>
  <c r="I59" i="20"/>
  <c r="M60" i="20"/>
  <c r="I60" i="18"/>
  <c r="M60" i="17"/>
  <c r="Q59" i="17"/>
  <c r="M59" i="18"/>
  <c r="M59" i="20"/>
  <c r="I60" i="20"/>
  <c r="I60" i="17"/>
  <c r="I59" i="18"/>
  <c r="Q59" i="18"/>
  <c r="Q60" i="21"/>
  <c r="I60" i="21"/>
  <c r="M60" i="21"/>
  <c r="E60" i="21"/>
  <c r="Q59" i="21"/>
  <c r="E59" i="21"/>
  <c r="I59" i="21"/>
  <c r="M59" i="21"/>
  <c r="E58" i="1"/>
  <c r="C58" i="1"/>
  <c r="D58" i="1"/>
  <c r="F58" i="1"/>
  <c r="C56" i="1"/>
  <c r="A74" i="27" s="1"/>
  <c r="G58" i="1"/>
  <c r="C57" i="1"/>
  <c r="A32" i="5" s="1"/>
  <c r="C54" i="1"/>
  <c r="A31" i="5" s="1"/>
  <c r="C55" i="1"/>
  <c r="A71" i="17" s="1"/>
  <c r="Q66" i="17"/>
  <c r="A73" i="22" l="1"/>
  <c r="A73" i="17"/>
  <c r="A53" i="12"/>
  <c r="A73" i="27"/>
  <c r="N16" i="32"/>
  <c r="T13" i="36" s="1"/>
  <c r="Q62" i="17"/>
  <c r="E62" i="17"/>
  <c r="I62" i="17"/>
  <c r="A62" i="17"/>
  <c r="M62" i="17"/>
  <c r="Q6" i="32"/>
  <c r="N6" i="32"/>
  <c r="T3" i="36" s="1"/>
  <c r="E21" i="5"/>
  <c r="M21" i="5"/>
  <c r="A21" i="5"/>
  <c r="I21" i="5"/>
  <c r="Q21" i="5"/>
  <c r="E62" i="27"/>
  <c r="I62" i="27"/>
  <c r="M62" i="27"/>
  <c r="N26" i="32"/>
  <c r="Q62" i="27"/>
  <c r="A62" i="27"/>
  <c r="P21" i="32"/>
  <c r="A62" i="22"/>
  <c r="M62" i="22"/>
  <c r="Q62" i="22"/>
  <c r="N21" i="32"/>
  <c r="E62" i="22"/>
  <c r="I62" i="22"/>
  <c r="A42" i="12"/>
  <c r="E42" i="12"/>
  <c r="P11" i="32"/>
  <c r="R11" i="32"/>
  <c r="N11" i="32"/>
  <c r="I42" i="12"/>
  <c r="M42" i="12"/>
  <c r="Q11" i="32"/>
  <c r="Q42" i="12"/>
  <c r="Q21" i="32"/>
  <c r="I74" i="22"/>
  <c r="Q46" i="12"/>
  <c r="A71" i="22"/>
  <c r="P26" i="32"/>
  <c r="E66" i="22"/>
  <c r="I46" i="12"/>
  <c r="E25" i="5"/>
  <c r="R21" i="32"/>
  <c r="O6" i="32"/>
  <c r="R26" i="32"/>
  <c r="A33" i="5"/>
  <c r="M46" i="12"/>
  <c r="M25" i="5"/>
  <c r="M66" i="17"/>
  <c r="E31" i="5"/>
  <c r="M66" i="22"/>
  <c r="E32" i="5"/>
  <c r="A46" i="12"/>
  <c r="A66" i="22"/>
  <c r="A66" i="17"/>
  <c r="Q25" i="5"/>
  <c r="Q66" i="22"/>
  <c r="O26" i="32"/>
  <c r="R16" i="32"/>
  <c r="Q16" i="32"/>
  <c r="O16" i="32"/>
  <c r="I66" i="22"/>
  <c r="O11" i="32"/>
  <c r="E46" i="12"/>
  <c r="A54" i="12"/>
  <c r="A74" i="17"/>
  <c r="A30" i="5"/>
  <c r="P6" i="32"/>
  <c r="Q26" i="32"/>
  <c r="O21" i="32"/>
  <c r="P16" i="32"/>
  <c r="I66" i="17"/>
  <c r="I25" i="5"/>
  <c r="E66" i="17"/>
  <c r="A74" i="22"/>
  <c r="A51" i="12"/>
  <c r="A71" i="27"/>
  <c r="R6" i="32"/>
  <c r="T7" i="32" l="1"/>
  <c r="E73" i="22"/>
  <c r="E73" i="17"/>
  <c r="E53" i="12"/>
  <c r="E73" i="27"/>
  <c r="W9" i="32"/>
  <c r="AE23" i="36"/>
  <c r="U9" i="32"/>
  <c r="AC23" i="36"/>
  <c r="V5" i="32"/>
  <c r="AD3" i="36"/>
  <c r="U6" i="32"/>
  <c r="AC8" i="36"/>
  <c r="V9" i="32"/>
  <c r="AD23" i="36"/>
  <c r="X6" i="32"/>
  <c r="AF8" i="36"/>
  <c r="U7" i="32"/>
  <c r="AC13" i="36"/>
  <c r="X9" i="32"/>
  <c r="AF23" i="36"/>
  <c r="V8" i="32"/>
  <c r="AD18" i="36"/>
  <c r="W7" i="32"/>
  <c r="AE13" i="36"/>
  <c r="U5" i="32"/>
  <c r="AC3" i="36"/>
  <c r="W5" i="32"/>
  <c r="AE3" i="36"/>
  <c r="V7" i="32"/>
  <c r="AD13" i="36"/>
  <c r="X7" i="32"/>
  <c r="AF13" i="36"/>
  <c r="X8" i="32"/>
  <c r="AF18" i="36"/>
  <c r="W6" i="32"/>
  <c r="AE8" i="36"/>
  <c r="X5" i="32"/>
  <c r="AF3" i="36"/>
  <c r="U8" i="32"/>
  <c r="AC18" i="36"/>
  <c r="W8" i="32"/>
  <c r="AE18" i="36"/>
  <c r="V6" i="32"/>
  <c r="AD8" i="36"/>
  <c r="T6" i="32"/>
  <c r="T8" i="36"/>
  <c r="T8" i="32"/>
  <c r="T18" i="36"/>
  <c r="T9" i="32"/>
  <c r="T23" i="36"/>
  <c r="T5" i="32"/>
  <c r="B13" i="32" s="1"/>
  <c r="E71" i="17"/>
  <c r="I51" i="12"/>
  <c r="I74" i="27"/>
  <c r="E33" i="5"/>
  <c r="E54" i="12"/>
  <c r="I54" i="12"/>
  <c r="I33" i="5"/>
  <c r="E74" i="17"/>
  <c r="I74" i="17"/>
  <c r="I71" i="17"/>
  <c r="E71" i="27"/>
  <c r="E51" i="12"/>
  <c r="E30" i="5"/>
  <c r="I30" i="5"/>
  <c r="E74" i="27"/>
  <c r="M33" i="5"/>
  <c r="I71" i="27"/>
  <c r="I71" i="22"/>
  <c r="E71" i="22"/>
  <c r="E74" i="22"/>
  <c r="M71" i="17"/>
  <c r="M71" i="27"/>
  <c r="M30" i="5"/>
  <c r="M51" i="12"/>
  <c r="M71" i="22"/>
  <c r="I32" i="5"/>
  <c r="I31" i="5"/>
  <c r="I73" i="22" l="1"/>
  <c r="I73" i="17"/>
  <c r="I53" i="12"/>
  <c r="I73" i="27"/>
  <c r="H14" i="32"/>
  <c r="H15" i="32" s="1"/>
  <c r="I36" i="32" s="1"/>
  <c r="E441" i="33" s="1"/>
  <c r="F14" i="32"/>
  <c r="F15" i="32" s="1"/>
  <c r="G32" i="32" s="1"/>
  <c r="D14" i="32"/>
  <c r="D15" i="32" s="1"/>
  <c r="E35" i="32" s="1"/>
  <c r="E383" i="33" s="1"/>
  <c r="J14" i="32"/>
  <c r="J15" i="32" s="1"/>
  <c r="K27" i="32" s="1"/>
  <c r="Q33" i="5"/>
  <c r="M74" i="22"/>
  <c r="M74" i="27"/>
  <c r="M54" i="12"/>
  <c r="M74" i="17"/>
  <c r="M31" i="5"/>
  <c r="M32" i="5"/>
  <c r="Q71" i="17"/>
  <c r="Q71" i="27"/>
  <c r="Q71" i="22"/>
  <c r="Q30" i="5"/>
  <c r="Q51" i="12"/>
  <c r="M73" i="17" l="1"/>
  <c r="M53" i="12"/>
  <c r="M73" i="27"/>
  <c r="M73" i="22"/>
  <c r="K30" i="32"/>
  <c r="G27" i="32"/>
  <c r="E301" i="33" s="1"/>
  <c r="G31" i="32"/>
  <c r="E195" i="33" s="1"/>
  <c r="D194" i="34" s="1"/>
  <c r="G29" i="32"/>
  <c r="E23" i="33" s="1"/>
  <c r="K29" i="32"/>
  <c r="I46" i="32" s="1"/>
  <c r="K46" i="32" s="1"/>
  <c r="E29" i="32"/>
  <c r="E18" i="33" s="1"/>
  <c r="I27" i="32"/>
  <c r="E531" i="33" s="1"/>
  <c r="F531" i="33" s="1"/>
  <c r="I31" i="32"/>
  <c r="E337" i="33" s="1"/>
  <c r="I338" i="33" s="1"/>
  <c r="E338" i="33" s="1"/>
  <c r="I28" i="32"/>
  <c r="E431" i="33" s="1"/>
  <c r="F431" i="33" s="1"/>
  <c r="I30" i="32"/>
  <c r="E373" i="33" s="1"/>
  <c r="I29" i="32"/>
  <c r="E528" i="33" s="1"/>
  <c r="F528" i="33" s="1"/>
  <c r="I35" i="32"/>
  <c r="E582" i="33" s="1"/>
  <c r="D518" i="34" s="1"/>
  <c r="I33" i="32"/>
  <c r="E96" i="33" s="1"/>
  <c r="F96" i="33" s="1"/>
  <c r="I32" i="32"/>
  <c r="E584" i="33" s="1"/>
  <c r="I34" i="32"/>
  <c r="E62" i="33" s="1"/>
  <c r="E28" i="32"/>
  <c r="D22" i="34" s="1"/>
  <c r="C22" i="34" s="1"/>
  <c r="J22" i="34" s="1"/>
  <c r="E34" i="32"/>
  <c r="E542" i="33" s="1"/>
  <c r="D484" i="34" s="1"/>
  <c r="E31" i="32"/>
  <c r="E367" i="33" s="1"/>
  <c r="E36" i="32"/>
  <c r="E525" i="33" s="1"/>
  <c r="F525" i="33" s="1"/>
  <c r="E39" i="32"/>
  <c r="E131" i="33" s="1"/>
  <c r="C130" i="34" s="1"/>
  <c r="J130" i="34" s="1"/>
  <c r="E30" i="32"/>
  <c r="E372" i="33" s="1"/>
  <c r="F372" i="33" s="1"/>
  <c r="E37" i="32"/>
  <c r="E97" i="33" s="1"/>
  <c r="E33" i="32"/>
  <c r="E546" i="33" s="1"/>
  <c r="E32" i="32"/>
  <c r="E19" i="33" s="1"/>
  <c r="G28" i="32"/>
  <c r="E22" i="33" s="1"/>
  <c r="G30" i="32"/>
  <c r="E24" i="33" s="1"/>
  <c r="E27" i="32"/>
  <c r="E11" i="33" s="1"/>
  <c r="E38" i="32"/>
  <c r="E78" i="33" s="1"/>
  <c r="F78" i="33" s="1"/>
  <c r="K31" i="32"/>
  <c r="I48" i="32" s="1"/>
  <c r="K48" i="32" s="1"/>
  <c r="E547" i="33" s="1"/>
  <c r="K28" i="32"/>
  <c r="I45" i="32" s="1"/>
  <c r="K45" i="32" s="1"/>
  <c r="K32" i="32"/>
  <c r="I49" i="32" s="1"/>
  <c r="K49" i="32" s="1"/>
  <c r="E559" i="33" s="1"/>
  <c r="G190" i="36" s="1"/>
  <c r="C190" i="36" s="1"/>
  <c r="F441" i="33"/>
  <c r="I442" i="33"/>
  <c r="E442" i="33" s="1"/>
  <c r="I246" i="33"/>
  <c r="M463" i="33"/>
  <c r="M459" i="33"/>
  <c r="M460" i="33"/>
  <c r="M461" i="33"/>
  <c r="M457" i="33"/>
  <c r="I443" i="33"/>
  <c r="E443" i="33" s="1"/>
  <c r="D392" i="34" s="1"/>
  <c r="M458" i="33"/>
  <c r="F383" i="33"/>
  <c r="F18" i="33"/>
  <c r="D18" i="34"/>
  <c r="C18" i="34"/>
  <c r="J18" i="34" s="1"/>
  <c r="F373" i="33"/>
  <c r="C336" i="34"/>
  <c r="J336" i="34" s="1"/>
  <c r="D336" i="34"/>
  <c r="F584" i="33"/>
  <c r="I585" i="33"/>
  <c r="F301" i="33"/>
  <c r="M359" i="33"/>
  <c r="M360" i="33"/>
  <c r="E360" i="33" s="1"/>
  <c r="E356" i="33"/>
  <c r="G184" i="36" s="1"/>
  <c r="C184" i="36" s="1"/>
  <c r="I47" i="32"/>
  <c r="K47" i="32" s="1"/>
  <c r="E434" i="33"/>
  <c r="G175" i="36" s="1"/>
  <c r="C175" i="36" s="1"/>
  <c r="I44" i="32"/>
  <c r="K44" i="32" s="1"/>
  <c r="E21" i="33"/>
  <c r="E196" i="33"/>
  <c r="M540" i="33"/>
  <c r="I98" i="33"/>
  <c r="E98" i="33" s="1"/>
  <c r="M586" i="33"/>
  <c r="I409" i="33"/>
  <c r="E409" i="33" s="1"/>
  <c r="I374" i="33"/>
  <c r="E374" i="33" s="1"/>
  <c r="I359" i="33"/>
  <c r="I245" i="33"/>
  <c r="E245" i="33" s="1"/>
  <c r="I258" i="33"/>
  <c r="E258" i="33" s="1"/>
  <c r="M75" i="33"/>
  <c r="E75" i="33" s="1"/>
  <c r="I25" i="33"/>
  <c r="E25" i="33" s="1"/>
  <c r="I28" i="33"/>
  <c r="E28" i="33" s="1"/>
  <c r="I260" i="33"/>
  <c r="E260" i="33" s="1"/>
  <c r="I352" i="33"/>
  <c r="E352" i="33" s="1"/>
  <c r="Q74" i="17"/>
  <c r="Q74" i="27"/>
  <c r="Q54" i="12"/>
  <c r="Q74" i="22"/>
  <c r="Q32" i="5"/>
  <c r="Q31" i="5"/>
  <c r="I142" i="33" l="1"/>
  <c r="E142" i="33" s="1"/>
  <c r="C194" i="34"/>
  <c r="J194" i="34" s="1"/>
  <c r="F195" i="33"/>
  <c r="I534" i="33"/>
  <c r="E63" i="33"/>
  <c r="I560" i="33"/>
  <c r="E560" i="33" s="1"/>
  <c r="F560" i="33" s="1"/>
  <c r="F559" i="33"/>
  <c r="I428" i="33"/>
  <c r="E428" i="33" s="1"/>
  <c r="F428" i="33" s="1"/>
  <c r="Q549" i="33"/>
  <c r="E545" i="33"/>
  <c r="I204" i="33" s="1"/>
  <c r="D496" i="34"/>
  <c r="M533" i="33"/>
  <c r="E533" i="33" s="1"/>
  <c r="M450" i="33" s="1"/>
  <c r="E529" i="33"/>
  <c r="C496" i="34"/>
  <c r="J496" i="34" s="1"/>
  <c r="Q53" i="12"/>
  <c r="Q73" i="27"/>
  <c r="Q73" i="22"/>
  <c r="Q73" i="17"/>
  <c r="I56" i="36"/>
  <c r="C56" i="36" s="1"/>
  <c r="AA26" i="36" s="1"/>
  <c r="I57" i="36"/>
  <c r="C57" i="36" s="1"/>
  <c r="AA10" i="36" s="1"/>
  <c r="AA2" i="36"/>
  <c r="U2" i="36" s="1"/>
  <c r="AA12" i="36"/>
  <c r="U12" i="36" s="1"/>
  <c r="AA7" i="36"/>
  <c r="U7" i="36" s="1"/>
  <c r="M7" i="33"/>
  <c r="E7" i="33" s="1"/>
  <c r="M5" i="33" s="1"/>
  <c r="E5" i="33" s="1"/>
  <c r="C484" i="34"/>
  <c r="J484" i="34" s="1"/>
  <c r="D95" i="34"/>
  <c r="I157" i="33"/>
  <c r="E157" i="33" s="1"/>
  <c r="F157" i="33" s="1"/>
  <c r="E122" i="33"/>
  <c r="F122" i="33" s="1"/>
  <c r="I5" i="33"/>
  <c r="Q154" i="33"/>
  <c r="M536" i="33"/>
  <c r="Q248" i="33"/>
  <c r="C95" i="34"/>
  <c r="J95" i="34" s="1"/>
  <c r="I99" i="33"/>
  <c r="E304" i="33"/>
  <c r="M265" i="33" s="1"/>
  <c r="E432" i="33"/>
  <c r="G181" i="36" s="1"/>
  <c r="C181" i="36" s="1"/>
  <c r="I371" i="33"/>
  <c r="E371" i="33" s="1"/>
  <c r="F371" i="33" s="1"/>
  <c r="I548" i="33"/>
  <c r="E548" i="33" s="1"/>
  <c r="F548" i="33" s="1"/>
  <c r="G187" i="36"/>
  <c r="C187" i="36" s="1"/>
  <c r="M281" i="33"/>
  <c r="M283" i="33"/>
  <c r="M285" i="33"/>
  <c r="M287" i="33"/>
  <c r="M289" i="33"/>
  <c r="M291" i="33"/>
  <c r="M293" i="33"/>
  <c r="M295" i="33"/>
  <c r="M282" i="33"/>
  <c r="M284" i="33"/>
  <c r="M286" i="33"/>
  <c r="M288" i="33"/>
  <c r="M290" i="33"/>
  <c r="M292" i="33"/>
  <c r="M294" i="33"/>
  <c r="M296" i="33"/>
  <c r="D318" i="34"/>
  <c r="I205" i="33"/>
  <c r="E205" i="33" s="1"/>
  <c r="D204" i="34" s="1"/>
  <c r="C318" i="34"/>
  <c r="J318" i="34" s="1"/>
  <c r="U410" i="33"/>
  <c r="F131" i="33"/>
  <c r="F337" i="33"/>
  <c r="M146" i="33"/>
  <c r="C78" i="34"/>
  <c r="J78" i="34" s="1"/>
  <c r="F582" i="33"/>
  <c r="I583" i="33"/>
  <c r="E583" i="33" s="1"/>
  <c r="F583" i="33" s="1"/>
  <c r="C518" i="34"/>
  <c r="J518" i="34" s="1"/>
  <c r="E384" i="33"/>
  <c r="F384" i="33" s="1"/>
  <c r="E387" i="33"/>
  <c r="M455" i="33" s="1"/>
  <c r="E386" i="33"/>
  <c r="D346" i="34" s="1"/>
  <c r="E385" i="33"/>
  <c r="C345" i="34" s="1"/>
  <c r="J345" i="34" s="1"/>
  <c r="E550" i="33"/>
  <c r="F550" i="33" s="1"/>
  <c r="D335" i="34"/>
  <c r="E551" i="33"/>
  <c r="F551" i="33" s="1"/>
  <c r="I243" i="33"/>
  <c r="E243" i="33" s="1"/>
  <c r="F243" i="33" s="1"/>
  <c r="M130" i="33"/>
  <c r="D130" i="34"/>
  <c r="D78" i="34"/>
  <c r="C335" i="34"/>
  <c r="J335" i="34" s="1"/>
  <c r="M267" i="33"/>
  <c r="I452" i="33"/>
  <c r="E452" i="33" s="1"/>
  <c r="I450" i="33"/>
  <c r="D391" i="34"/>
  <c r="I455" i="33"/>
  <c r="I451" i="33"/>
  <c r="I448" i="33"/>
  <c r="E448" i="33" s="1"/>
  <c r="F442" i="33"/>
  <c r="I449" i="33"/>
  <c r="C391" i="34"/>
  <c r="J391" i="34" s="1"/>
  <c r="I447" i="33"/>
  <c r="E447" i="33" s="1"/>
  <c r="I472" i="33"/>
  <c r="C490" i="34"/>
  <c r="M476" i="33"/>
  <c r="M470" i="33"/>
  <c r="M467" i="33"/>
  <c r="M477" i="33"/>
  <c r="M473" i="33"/>
  <c r="M468" i="33"/>
  <c r="M464" i="33"/>
  <c r="M478" i="33"/>
  <c r="M474" i="33"/>
  <c r="M465" i="33"/>
  <c r="I444" i="33"/>
  <c r="E444" i="33" s="1"/>
  <c r="D393" i="34" s="1"/>
  <c r="M475" i="33"/>
  <c r="M466" i="33"/>
  <c r="C392" i="34"/>
  <c r="J392" i="34" s="1"/>
  <c r="F443" i="33"/>
  <c r="E359" i="33"/>
  <c r="D326" i="34" s="1"/>
  <c r="I446" i="33"/>
  <c r="M446" i="33"/>
  <c r="F19" i="33"/>
  <c r="C19" i="34"/>
  <c r="J19" i="34" s="1"/>
  <c r="D19" i="34"/>
  <c r="E20" i="33"/>
  <c r="C11" i="34"/>
  <c r="J11" i="34" s="1"/>
  <c r="D11" i="34"/>
  <c r="F546" i="33"/>
  <c r="C488" i="34"/>
  <c r="J488" i="34" s="1"/>
  <c r="D488" i="34"/>
  <c r="M204" i="33"/>
  <c r="E204" i="33" s="1"/>
  <c r="F547" i="33"/>
  <c r="C489" i="34"/>
  <c r="J489" i="34" s="1"/>
  <c r="D489" i="34"/>
  <c r="C26" i="34"/>
  <c r="J26" i="34" s="1"/>
  <c r="D26" i="34"/>
  <c r="F529" i="33"/>
  <c r="C475" i="34"/>
  <c r="J475" i="34" s="1"/>
  <c r="D475" i="34"/>
  <c r="C327" i="34"/>
  <c r="J327" i="34" s="1"/>
  <c r="D327" i="34"/>
  <c r="F360" i="33"/>
  <c r="F63" i="33"/>
  <c r="C64" i="34"/>
  <c r="J64" i="34" s="1"/>
  <c r="D64" i="34"/>
  <c r="C195" i="34"/>
  <c r="J195" i="34" s="1"/>
  <c r="D195" i="34"/>
  <c r="C24" i="34"/>
  <c r="J24" i="34" s="1"/>
  <c r="D24" i="34"/>
  <c r="F386" i="33"/>
  <c r="C346" i="34"/>
  <c r="J346" i="34" s="1"/>
  <c r="F434" i="33"/>
  <c r="C390" i="34"/>
  <c r="J390" i="34" s="1"/>
  <c r="D390" i="34"/>
  <c r="F356" i="33"/>
  <c r="C324" i="34"/>
  <c r="J324" i="34" s="1"/>
  <c r="D324" i="34"/>
  <c r="F62" i="33"/>
  <c r="C63" i="34"/>
  <c r="J63" i="34" s="1"/>
  <c r="D63" i="34"/>
  <c r="C25" i="34"/>
  <c r="J25" i="34" s="1"/>
  <c r="D25" i="34"/>
  <c r="C23" i="34"/>
  <c r="J23" i="34" s="1"/>
  <c r="D23" i="34"/>
  <c r="C487" i="34"/>
  <c r="J487" i="34" s="1"/>
  <c r="F28" i="33"/>
  <c r="C30" i="34"/>
  <c r="J30" i="34" s="1"/>
  <c r="D30" i="34"/>
  <c r="F205" i="33"/>
  <c r="C204" i="34"/>
  <c r="J204" i="34" s="1"/>
  <c r="F352" i="33"/>
  <c r="F25" i="33"/>
  <c r="D27" i="34"/>
  <c r="C27" i="34"/>
  <c r="J27" i="34" s="1"/>
  <c r="F142" i="33"/>
  <c r="D141" i="34"/>
  <c r="C141" i="34"/>
  <c r="J141" i="34" s="1"/>
  <c r="F374" i="33"/>
  <c r="C337" i="34"/>
  <c r="J337" i="34" s="1"/>
  <c r="D337" i="34"/>
  <c r="D96" i="34"/>
  <c r="C96" i="34"/>
  <c r="J96" i="34" s="1"/>
  <c r="F245" i="33"/>
  <c r="C244" i="34"/>
  <c r="D244" i="34"/>
  <c r="F338" i="33"/>
  <c r="C319" i="34"/>
  <c r="J319" i="34" s="1"/>
  <c r="D319" i="34"/>
  <c r="F409" i="33"/>
  <c r="C367" i="34"/>
  <c r="J367" i="34" s="1"/>
  <c r="D367" i="34"/>
  <c r="F75" i="33"/>
  <c r="C76" i="34"/>
  <c r="J76" i="34" s="1"/>
  <c r="D76" i="34"/>
  <c r="F260" i="33"/>
  <c r="C259" i="34"/>
  <c r="J259" i="34" s="1"/>
  <c r="D259" i="34"/>
  <c r="F258" i="33"/>
  <c r="C257" i="34"/>
  <c r="D257" i="34"/>
  <c r="F98" i="33"/>
  <c r="C97" i="34"/>
  <c r="J97" i="34" s="1"/>
  <c r="D97" i="34"/>
  <c r="I390" i="33"/>
  <c r="E390" i="33" s="1"/>
  <c r="I527" i="33"/>
  <c r="E527" i="33" s="1"/>
  <c r="I74" i="33"/>
  <c r="E74" i="33" s="1"/>
  <c r="I12" i="33"/>
  <c r="E12" i="33" s="1"/>
  <c r="I426" i="33" s="1"/>
  <c r="E426" i="33" s="1"/>
  <c r="F21" i="33"/>
  <c r="I15" i="33"/>
  <c r="E15" i="33" s="1"/>
  <c r="F24" i="33"/>
  <c r="M248" i="33"/>
  <c r="F367" i="33"/>
  <c r="I87" i="33"/>
  <c r="E87" i="33" s="1"/>
  <c r="F11" i="33"/>
  <c r="I541" i="33"/>
  <c r="E541" i="33" s="1"/>
  <c r="F541" i="33" s="1"/>
  <c r="F97" i="33"/>
  <c r="I14" i="33"/>
  <c r="E14" i="33" s="1"/>
  <c r="F23" i="33"/>
  <c r="I17" i="33"/>
  <c r="E17" i="33" s="1"/>
  <c r="F196" i="33"/>
  <c r="I13" i="33"/>
  <c r="E13" i="33" s="1"/>
  <c r="F22" i="33"/>
  <c r="M521" i="33"/>
  <c r="E521" i="33" s="1"/>
  <c r="M449" i="33" s="1"/>
  <c r="E379" i="33"/>
  <c r="F379" i="33" s="1"/>
  <c r="E330" i="33"/>
  <c r="F330" i="33" s="1"/>
  <c r="Q32" i="33"/>
  <c r="M382" i="33"/>
  <c r="E382" i="33" s="1"/>
  <c r="I369" i="33"/>
  <c r="E369" i="33" s="1"/>
  <c r="M238" i="33"/>
  <c r="I239" i="33"/>
  <c r="E239" i="33" s="1"/>
  <c r="I155" i="33"/>
  <c r="E155" i="33" s="1"/>
  <c r="Q31" i="33"/>
  <c r="Q27" i="33"/>
  <c r="M132" i="33"/>
  <c r="Q35" i="33"/>
  <c r="I27" i="33"/>
  <c r="M88" i="33"/>
  <c r="I69" i="33"/>
  <c r="E69" i="33" s="1"/>
  <c r="I314" i="33"/>
  <c r="I549" i="33"/>
  <c r="I9" i="33"/>
  <c r="M35" i="33"/>
  <c r="I4" i="33"/>
  <c r="E4" i="33" s="1"/>
  <c r="F4" i="33" s="1"/>
  <c r="I317" i="33"/>
  <c r="I147" i="33"/>
  <c r="E147" i="33" s="1"/>
  <c r="I84" i="33"/>
  <c r="E84" i="33" s="1"/>
  <c r="I435" i="33"/>
  <c r="E435" i="33" s="1"/>
  <c r="F435" i="33" s="1"/>
  <c r="Q427" i="33"/>
  <c r="M518" i="33"/>
  <c r="E518" i="33" s="1"/>
  <c r="I224" i="33"/>
  <c r="E224" i="33" s="1"/>
  <c r="I315" i="33"/>
  <c r="I316" i="33"/>
  <c r="M543" i="33"/>
  <c r="I91" i="33"/>
  <c r="I536" i="33"/>
  <c r="I94" i="33"/>
  <c r="E94" i="33" s="1"/>
  <c r="I132" i="33"/>
  <c r="I513" i="33"/>
  <c r="E513" i="33" s="1"/>
  <c r="I139" i="33"/>
  <c r="E139" i="33" s="1"/>
  <c r="I252" i="33"/>
  <c r="E252" i="33" s="1"/>
  <c r="Q324" i="33"/>
  <c r="U549" i="33"/>
  <c r="M537" i="33"/>
  <c r="E537" i="33" s="1"/>
  <c r="M380" i="33"/>
  <c r="I375" i="33"/>
  <c r="I532" i="33"/>
  <c r="M324" i="33"/>
  <c r="Q515" i="33"/>
  <c r="I410" i="33"/>
  <c r="M515" i="33"/>
  <c r="I333" i="33"/>
  <c r="I146" i="33"/>
  <c r="E146" i="33" s="1"/>
  <c r="I154" i="33"/>
  <c r="I110" i="33"/>
  <c r="E110" i="33" s="1"/>
  <c r="I121" i="33"/>
  <c r="E121" i="33" s="1"/>
  <c r="I100" i="33"/>
  <c r="E100" i="33" s="1"/>
  <c r="I114" i="33"/>
  <c r="E114" i="33" s="1"/>
  <c r="I109" i="33"/>
  <c r="I104" i="33"/>
  <c r="E104" i="33" s="1"/>
  <c r="I102" i="33"/>
  <c r="I106" i="33"/>
  <c r="I103" i="33"/>
  <c r="E103" i="33" s="1"/>
  <c r="I105" i="33"/>
  <c r="I112" i="33"/>
  <c r="E112" i="33" s="1"/>
  <c r="I111" i="33"/>
  <c r="E111" i="33" s="1"/>
  <c r="I113" i="33"/>
  <c r="I115" i="33"/>
  <c r="E115" i="33" s="1"/>
  <c r="I30" i="33"/>
  <c r="E30" i="33" s="1"/>
  <c r="I67" i="33"/>
  <c r="E67" i="33" s="1"/>
  <c r="I320" i="33"/>
  <c r="I244" i="33"/>
  <c r="E244" i="33" s="1"/>
  <c r="D386" i="34" l="1"/>
  <c r="C386" i="34"/>
  <c r="J386" i="34" s="1"/>
  <c r="F545" i="33"/>
  <c r="D490" i="34"/>
  <c r="I201" i="33"/>
  <c r="E201" i="33" s="1"/>
  <c r="D200" i="34" s="1"/>
  <c r="I203" i="33"/>
  <c r="E203" i="33" s="1"/>
  <c r="C202" i="34" s="1"/>
  <c r="J202" i="34" s="1"/>
  <c r="F385" i="33"/>
  <c r="D487" i="34"/>
  <c r="D121" i="34"/>
  <c r="AA5" i="36"/>
  <c r="I433" i="33"/>
  <c r="E433" i="33" s="1"/>
  <c r="F433" i="33" s="1"/>
  <c r="AA4" i="36"/>
  <c r="AA24" i="36"/>
  <c r="D7" i="34"/>
  <c r="C7" i="34"/>
  <c r="J7" i="34" s="1"/>
  <c r="D477" i="34"/>
  <c r="AA8" i="36"/>
  <c r="M9" i="33"/>
  <c r="D389" i="34"/>
  <c r="C121" i="34"/>
  <c r="J121" i="34" s="1"/>
  <c r="I8" i="33"/>
  <c r="E8" i="33" s="1"/>
  <c r="F8" i="33" s="1"/>
  <c r="F7" i="33"/>
  <c r="C477" i="34"/>
  <c r="J477" i="34" s="1"/>
  <c r="E450" i="33"/>
  <c r="D399" i="34" s="1"/>
  <c r="AA15" i="36"/>
  <c r="AA21" i="36"/>
  <c r="F533" i="33"/>
  <c r="AA23" i="36"/>
  <c r="AA16" i="36"/>
  <c r="AA20" i="36"/>
  <c r="AA25" i="36"/>
  <c r="AA9" i="36"/>
  <c r="AA11" i="36"/>
  <c r="AA13" i="36"/>
  <c r="AA17" i="36"/>
  <c r="AA14" i="36"/>
  <c r="AA19" i="36"/>
  <c r="AA18" i="36"/>
  <c r="AA3" i="36"/>
  <c r="AA6" i="36"/>
  <c r="AA22" i="36"/>
  <c r="G195" i="36"/>
  <c r="C195" i="36" s="1"/>
  <c r="G196" i="36"/>
  <c r="C196" i="36" s="1"/>
  <c r="I160" i="33"/>
  <c r="E160" i="33" s="1"/>
  <c r="D159" i="34" s="1"/>
  <c r="D156" i="34"/>
  <c r="C156" i="34"/>
  <c r="J156" i="34" s="1"/>
  <c r="I73" i="33"/>
  <c r="E73" i="33" s="1"/>
  <c r="F73" i="33" s="1"/>
  <c r="E305" i="33"/>
  <c r="F305" i="33" s="1"/>
  <c r="I159" i="33"/>
  <c r="E159" i="33" s="1"/>
  <c r="D158" i="34" s="1"/>
  <c r="M268" i="33"/>
  <c r="C389" i="34"/>
  <c r="J389" i="34" s="1"/>
  <c r="F304" i="33"/>
  <c r="M266" i="33"/>
  <c r="I391" i="33"/>
  <c r="E391" i="33" s="1"/>
  <c r="C349" i="34" s="1"/>
  <c r="J349" i="34" s="1"/>
  <c r="F432" i="33"/>
  <c r="F20" i="33"/>
  <c r="I283" i="33"/>
  <c r="I287" i="33"/>
  <c r="I291" i="33"/>
  <c r="E291" i="33" s="1"/>
  <c r="I295" i="33"/>
  <c r="E295" i="33" s="1"/>
  <c r="I284" i="33"/>
  <c r="E284" i="33" s="1"/>
  <c r="I288" i="33"/>
  <c r="E288" i="33" s="1"/>
  <c r="I292" i="33"/>
  <c r="E292" i="33" s="1"/>
  <c r="I296" i="33"/>
  <c r="E296" i="33" s="1"/>
  <c r="I281" i="33"/>
  <c r="E281" i="33" s="1"/>
  <c r="I285" i="33"/>
  <c r="E285" i="33" s="1"/>
  <c r="I289" i="33"/>
  <c r="E289" i="33" s="1"/>
  <c r="I293" i="33"/>
  <c r="E293" i="33" s="1"/>
  <c r="I282" i="33"/>
  <c r="E282" i="33" s="1"/>
  <c r="I286" i="33"/>
  <c r="I290" i="33"/>
  <c r="I294" i="33"/>
  <c r="I388" i="33"/>
  <c r="E388" i="33" s="1"/>
  <c r="D363" i="34" s="1"/>
  <c r="G178" i="36"/>
  <c r="C178" i="36" s="1"/>
  <c r="D242" i="34"/>
  <c r="E455" i="33"/>
  <c r="F455" i="33" s="1"/>
  <c r="D347" i="34"/>
  <c r="F387" i="33"/>
  <c r="C347" i="34"/>
  <c r="J347" i="34" s="1"/>
  <c r="D344" i="34"/>
  <c r="M462" i="33"/>
  <c r="C344" i="34"/>
  <c r="J344" i="34" s="1"/>
  <c r="C242" i="34"/>
  <c r="J242" i="34" s="1"/>
  <c r="D345" i="34"/>
  <c r="I389" i="33"/>
  <c r="E389" i="33" s="1"/>
  <c r="F389" i="33" s="1"/>
  <c r="F426" i="33"/>
  <c r="C384" i="34"/>
  <c r="J384" i="34" s="1"/>
  <c r="D384" i="34"/>
  <c r="I424" i="33"/>
  <c r="I425" i="33"/>
  <c r="E425" i="33" s="1"/>
  <c r="I422" i="33"/>
  <c r="E422" i="33" s="1"/>
  <c r="I423" i="33"/>
  <c r="E423" i="33" s="1"/>
  <c r="I420" i="33"/>
  <c r="I421" i="33"/>
  <c r="E421" i="33" s="1"/>
  <c r="I418" i="33"/>
  <c r="E418" i="33" s="1"/>
  <c r="I419" i="33"/>
  <c r="E419" i="33" s="1"/>
  <c r="I416" i="33"/>
  <c r="I417" i="33"/>
  <c r="I414" i="33"/>
  <c r="E414" i="33" s="1"/>
  <c r="I415" i="33"/>
  <c r="E415" i="33" s="1"/>
  <c r="I412" i="33"/>
  <c r="E412" i="33" s="1"/>
  <c r="I413" i="33"/>
  <c r="E449" i="33"/>
  <c r="D398" i="34" s="1"/>
  <c r="D396" i="34"/>
  <c r="I459" i="33"/>
  <c r="E459" i="33" s="1"/>
  <c r="C396" i="34"/>
  <c r="J396" i="34" s="1"/>
  <c r="I466" i="33"/>
  <c r="E466" i="33" s="1"/>
  <c r="F447" i="33"/>
  <c r="I453" i="33"/>
  <c r="D397" i="34"/>
  <c r="C397" i="34"/>
  <c r="J397" i="34" s="1"/>
  <c r="I467" i="33"/>
  <c r="E467" i="33" s="1"/>
  <c r="I454" i="33"/>
  <c r="F448" i="33"/>
  <c r="I456" i="33"/>
  <c r="I470" i="33"/>
  <c r="E470" i="33" s="1"/>
  <c r="D401" i="34"/>
  <c r="C401" i="34"/>
  <c r="J401" i="34" s="1"/>
  <c r="I486" i="33"/>
  <c r="E486" i="33" s="1"/>
  <c r="F452" i="33"/>
  <c r="I461" i="33"/>
  <c r="E461" i="33" s="1"/>
  <c r="C365" i="34"/>
  <c r="J365" i="34" s="1"/>
  <c r="D365" i="34"/>
  <c r="I469" i="33"/>
  <c r="F444" i="33"/>
  <c r="C393" i="34"/>
  <c r="J393" i="34" s="1"/>
  <c r="C326" i="34"/>
  <c r="J326" i="34" s="1"/>
  <c r="F359" i="33"/>
  <c r="E446" i="33"/>
  <c r="D395" i="34" s="1"/>
  <c r="D203" i="34"/>
  <c r="F204" i="33"/>
  <c r="C203" i="34"/>
  <c r="J203" i="34" s="1"/>
  <c r="F104" i="33"/>
  <c r="C103" i="34"/>
  <c r="J103" i="34" s="1"/>
  <c r="D103" i="34"/>
  <c r="F67" i="33"/>
  <c r="C68" i="34"/>
  <c r="D68" i="34"/>
  <c r="F224" i="33"/>
  <c r="C223" i="34"/>
  <c r="J223" i="34" s="1"/>
  <c r="D223" i="34"/>
  <c r="F30" i="33"/>
  <c r="C32" i="34"/>
  <c r="J32" i="34" s="1"/>
  <c r="D32" i="34"/>
  <c r="F112" i="33"/>
  <c r="C111" i="34"/>
  <c r="J111" i="34" s="1"/>
  <c r="D111" i="34"/>
  <c r="F100" i="33"/>
  <c r="C99" i="34"/>
  <c r="J99" i="34" s="1"/>
  <c r="D99" i="34"/>
  <c r="F146" i="33"/>
  <c r="D145" i="34"/>
  <c r="C145" i="34"/>
  <c r="J145" i="34" s="1"/>
  <c r="F537" i="33"/>
  <c r="D480" i="34"/>
  <c r="C480" i="34"/>
  <c r="J480" i="34" s="1"/>
  <c r="F252" i="33"/>
  <c r="C251" i="34"/>
  <c r="J251" i="34" s="1"/>
  <c r="D251" i="34"/>
  <c r="F94" i="33"/>
  <c r="C93" i="34"/>
  <c r="J93" i="34" s="1"/>
  <c r="D93" i="34"/>
  <c r="F369" i="33"/>
  <c r="C334" i="34"/>
  <c r="J334" i="34" s="1"/>
  <c r="D334" i="34"/>
  <c r="F115" i="33"/>
  <c r="D114" i="34"/>
  <c r="C114" i="34"/>
  <c r="J114" i="34" s="1"/>
  <c r="F155" i="33"/>
  <c r="C154" i="34"/>
  <c r="J154" i="34" s="1"/>
  <c r="D154" i="34"/>
  <c r="F382" i="33"/>
  <c r="C343" i="34"/>
  <c r="J343" i="34" s="1"/>
  <c r="D343" i="34"/>
  <c r="F521" i="33"/>
  <c r="C469" i="34"/>
  <c r="J469" i="34" s="1"/>
  <c r="D469" i="34"/>
  <c r="F13" i="33"/>
  <c r="C13" i="34"/>
  <c r="J13" i="34" s="1"/>
  <c r="D13" i="34"/>
  <c r="F17" i="33"/>
  <c r="C17" i="34"/>
  <c r="J17" i="34" s="1"/>
  <c r="D17" i="34"/>
  <c r="F15" i="33"/>
  <c r="C15" i="34"/>
  <c r="J15" i="34" s="1"/>
  <c r="D15" i="34"/>
  <c r="F390" i="33"/>
  <c r="C348" i="34"/>
  <c r="J348" i="34" s="1"/>
  <c r="D348" i="34"/>
  <c r="C8" i="34"/>
  <c r="J8" i="34" s="1"/>
  <c r="F513" i="33"/>
  <c r="C462" i="34"/>
  <c r="J462" i="34" s="1"/>
  <c r="D462" i="34"/>
  <c r="F5" i="33"/>
  <c r="C5" i="34"/>
  <c r="J5" i="34" s="1"/>
  <c r="D5" i="34"/>
  <c r="F110" i="33"/>
  <c r="C109" i="34"/>
  <c r="J109" i="34" s="1"/>
  <c r="D109" i="34"/>
  <c r="F518" i="33"/>
  <c r="C466" i="34"/>
  <c r="J466" i="34" s="1"/>
  <c r="D466" i="34"/>
  <c r="F147" i="33"/>
  <c r="C146" i="34"/>
  <c r="J146" i="34" s="1"/>
  <c r="D146" i="34"/>
  <c r="F69" i="33"/>
  <c r="C70" i="34"/>
  <c r="J70" i="34" s="1"/>
  <c r="D70" i="34"/>
  <c r="F239" i="33"/>
  <c r="C238" i="34"/>
  <c r="J238" i="34" s="1"/>
  <c r="D238" i="34"/>
  <c r="F74" i="33"/>
  <c r="D75" i="34"/>
  <c r="C75" i="34"/>
  <c r="J75" i="34" s="1"/>
  <c r="F244" i="33"/>
  <c r="C243" i="34"/>
  <c r="D243" i="34"/>
  <c r="F121" i="33"/>
  <c r="C120" i="34"/>
  <c r="J120" i="34" s="1"/>
  <c r="D120" i="34"/>
  <c r="F84" i="33"/>
  <c r="C83" i="34"/>
  <c r="J83" i="34" s="1"/>
  <c r="D83" i="34"/>
  <c r="F103" i="33"/>
  <c r="D102" i="34"/>
  <c r="C102" i="34"/>
  <c r="J102" i="34" s="1"/>
  <c r="F111" i="33"/>
  <c r="D110" i="34"/>
  <c r="C110" i="34"/>
  <c r="J110" i="34" s="1"/>
  <c r="F114" i="33"/>
  <c r="C113" i="34"/>
  <c r="J113" i="34" s="1"/>
  <c r="D113" i="34"/>
  <c r="F159" i="33"/>
  <c r="F139" i="33"/>
  <c r="C138" i="34"/>
  <c r="J138" i="34" s="1"/>
  <c r="D138" i="34"/>
  <c r="F14" i="33"/>
  <c r="C14" i="34"/>
  <c r="J14" i="34" s="1"/>
  <c r="D14" i="34"/>
  <c r="F87" i="33"/>
  <c r="D86" i="34"/>
  <c r="C86" i="34"/>
  <c r="J86" i="34" s="1"/>
  <c r="F12" i="33"/>
  <c r="C12" i="34"/>
  <c r="J12" i="34" s="1"/>
  <c r="D12" i="34"/>
  <c r="F527" i="33"/>
  <c r="D474" i="34"/>
  <c r="C474" i="34"/>
  <c r="J474" i="34" s="1"/>
  <c r="I310" i="33"/>
  <c r="I76" i="33"/>
  <c r="M235" i="33"/>
  <c r="I136" i="33"/>
  <c r="E136" i="33" s="1"/>
  <c r="M230" i="33"/>
  <c r="I145" i="33"/>
  <c r="E145" i="33" s="1"/>
  <c r="I579" i="33"/>
  <c r="E579" i="33" s="1"/>
  <c r="I581" i="33"/>
  <c r="E581" i="33" s="1"/>
  <c r="M233" i="33"/>
  <c r="M236" i="33"/>
  <c r="M246" i="33"/>
  <c r="E246" i="33" s="1"/>
  <c r="I70" i="33"/>
  <c r="E70" i="33" s="1"/>
  <c r="I95" i="33"/>
  <c r="I587" i="33"/>
  <c r="I124" i="33"/>
  <c r="E124" i="33" s="1"/>
  <c r="I135" i="33"/>
  <c r="E135" i="33" s="1"/>
  <c r="I368" i="33"/>
  <c r="E368" i="33" s="1"/>
  <c r="I362" i="33"/>
  <c r="E362" i="33" s="1"/>
  <c r="I198" i="33"/>
  <c r="E198" i="33" s="1"/>
  <c r="M228" i="33"/>
  <c r="I134" i="33"/>
  <c r="E134" i="33" s="1"/>
  <c r="I332" i="33"/>
  <c r="I143" i="33"/>
  <c r="E143" i="33" s="1"/>
  <c r="M234" i="33"/>
  <c r="I90" i="33"/>
  <c r="E90" i="33" s="1"/>
  <c r="M361" i="33"/>
  <c r="I83" i="33"/>
  <c r="E83" i="33" s="1"/>
  <c r="I81" i="33"/>
  <c r="E81" i="33" s="1"/>
  <c r="M151" i="33" s="1"/>
  <c r="I578" i="33"/>
  <c r="E578" i="33" s="1"/>
  <c r="I35" i="33"/>
  <c r="Q141" i="33"/>
  <c r="I133" i="33"/>
  <c r="E133" i="33" s="1"/>
  <c r="I411" i="33"/>
  <c r="E411" i="33" s="1"/>
  <c r="I123" i="33"/>
  <c r="I116" i="33"/>
  <c r="E116" i="33" s="1"/>
  <c r="I144" i="33"/>
  <c r="E144" i="33" s="1"/>
  <c r="M229" i="33"/>
  <c r="I322" i="33"/>
  <c r="E322" i="33" s="1"/>
  <c r="M123" i="33" s="1"/>
  <c r="I323" i="33"/>
  <c r="E323" i="33" s="1"/>
  <c r="I149" i="33"/>
  <c r="E149" i="33" s="1"/>
  <c r="I312" i="33"/>
  <c r="I313" i="33"/>
  <c r="I311" i="33"/>
  <c r="I577" i="33"/>
  <c r="E577" i="33" s="1"/>
  <c r="D4" i="34"/>
  <c r="Q536" i="33"/>
  <c r="E536" i="33" s="1"/>
  <c r="Q410" i="33"/>
  <c r="Q303" i="33"/>
  <c r="I524" i="33"/>
  <c r="C4" i="34"/>
  <c r="J4" i="34" s="1"/>
  <c r="M526" i="33"/>
  <c r="M375" i="33"/>
  <c r="E375" i="33" s="1"/>
  <c r="I340" i="33"/>
  <c r="E340" i="33" s="1"/>
  <c r="I341" i="33"/>
  <c r="E341" i="33" s="1"/>
  <c r="I342" i="33"/>
  <c r="E342" i="33" s="1"/>
  <c r="I242" i="33"/>
  <c r="E242" i="33" s="1"/>
  <c r="I241" i="33"/>
  <c r="E241" i="33" s="1"/>
  <c r="E132" i="33"/>
  <c r="E9" i="33"/>
  <c r="M378" i="33"/>
  <c r="I227" i="33"/>
  <c r="E227" i="33" s="1"/>
  <c r="I226" i="33"/>
  <c r="E226" i="33" s="1"/>
  <c r="E515" i="33"/>
  <c r="M471" i="33" s="1"/>
  <c r="I199" i="33"/>
  <c r="E199" i="33" s="1"/>
  <c r="I127" i="33"/>
  <c r="E127" i="33" s="1"/>
  <c r="I138" i="33"/>
  <c r="E138" i="33" s="1"/>
  <c r="J244" i="34"/>
  <c r="I238" i="33"/>
  <c r="E238" i="33" s="1"/>
  <c r="I148" i="33"/>
  <c r="E148" i="33" s="1"/>
  <c r="J257" i="34"/>
  <c r="I126" i="33"/>
  <c r="I427" i="33"/>
  <c r="I540" i="33"/>
  <c r="I194" i="33"/>
  <c r="E194" i="33" s="1"/>
  <c r="I182" i="33"/>
  <c r="E182" i="33" s="1"/>
  <c r="I190" i="33"/>
  <c r="E190" i="33" s="1"/>
  <c r="I189" i="33"/>
  <c r="E189" i="33" s="1"/>
  <c r="I191" i="33"/>
  <c r="E191" i="33" s="1"/>
  <c r="I193" i="33"/>
  <c r="E193" i="33" s="1"/>
  <c r="I183" i="33"/>
  <c r="E183" i="33" s="1"/>
  <c r="I179" i="33"/>
  <c r="E179" i="33" s="1"/>
  <c r="I92" i="33"/>
  <c r="E92" i="33" s="1"/>
  <c r="I117" i="33"/>
  <c r="E117" i="33" s="1"/>
  <c r="I118" i="33" s="1"/>
  <c r="E118" i="33" s="1"/>
  <c r="I16" i="33"/>
  <c r="E16" i="33" s="1"/>
  <c r="I89" i="33"/>
  <c r="E89" i="33" s="1"/>
  <c r="I66" i="33"/>
  <c r="E66" i="33" s="1"/>
  <c r="I6" i="33"/>
  <c r="E6" i="33" s="1"/>
  <c r="I101" i="33"/>
  <c r="E101" i="33" s="1"/>
  <c r="D202" i="34" l="1"/>
  <c r="C158" i="34"/>
  <c r="J158" i="34" s="1"/>
  <c r="D8" i="34"/>
  <c r="F203" i="33"/>
  <c r="C200" i="34"/>
  <c r="J200" i="34" s="1"/>
  <c r="F201" i="33"/>
  <c r="F160" i="33"/>
  <c r="C399" i="34"/>
  <c r="J399" i="34" s="1"/>
  <c r="C404" i="34"/>
  <c r="J404" i="34" s="1"/>
  <c r="C159" i="34"/>
  <c r="J159" i="34" s="1"/>
  <c r="D404" i="34"/>
  <c r="I468" i="33"/>
  <c r="E468" i="33" s="1"/>
  <c r="F468" i="33" s="1"/>
  <c r="F450" i="33"/>
  <c r="F391" i="33"/>
  <c r="I473" i="33"/>
  <c r="E473" i="33" s="1"/>
  <c r="F473" i="33" s="1"/>
  <c r="X4" i="36"/>
  <c r="U4" i="36" s="1"/>
  <c r="X8" i="36"/>
  <c r="U8" i="36" s="1"/>
  <c r="X16" i="36"/>
  <c r="U16" i="36" s="1"/>
  <c r="X20" i="36"/>
  <c r="U20" i="36" s="1"/>
  <c r="X24" i="36"/>
  <c r="U24" i="36" s="1"/>
  <c r="X5" i="36"/>
  <c r="U5" i="36" s="1"/>
  <c r="X9" i="36"/>
  <c r="U9" i="36" s="1"/>
  <c r="X13" i="36"/>
  <c r="U13" i="36" s="1"/>
  <c r="X17" i="36"/>
  <c r="U17" i="36" s="1"/>
  <c r="X21" i="36"/>
  <c r="U21" i="36" s="1"/>
  <c r="X25" i="36"/>
  <c r="U25" i="36" s="1"/>
  <c r="X6" i="36"/>
  <c r="U6" i="36" s="1"/>
  <c r="X10" i="36"/>
  <c r="U10" i="36" s="1"/>
  <c r="X14" i="36"/>
  <c r="U14" i="36" s="1"/>
  <c r="X18" i="36"/>
  <c r="U18" i="36" s="1"/>
  <c r="X22" i="36"/>
  <c r="U22" i="36" s="1"/>
  <c r="X26" i="36"/>
  <c r="U26" i="36" s="1"/>
  <c r="X3" i="36"/>
  <c r="U3" i="36" s="1"/>
  <c r="X11" i="36"/>
  <c r="U11" i="36" s="1"/>
  <c r="X15" i="36"/>
  <c r="U15" i="36" s="1"/>
  <c r="X19" i="36"/>
  <c r="U19" i="36" s="1"/>
  <c r="X23" i="36"/>
  <c r="U23" i="36" s="1"/>
  <c r="D74" i="34"/>
  <c r="C74" i="34"/>
  <c r="J74" i="34" s="1"/>
  <c r="D366" i="34"/>
  <c r="D349" i="34"/>
  <c r="C366" i="34"/>
  <c r="J366" i="34" s="1"/>
  <c r="F388" i="33"/>
  <c r="F289" i="33"/>
  <c r="D288" i="34"/>
  <c r="C288" i="34"/>
  <c r="J288" i="34" s="1"/>
  <c r="D291" i="34"/>
  <c r="F292" i="33"/>
  <c r="C291" i="34"/>
  <c r="J291" i="34" s="1"/>
  <c r="D290" i="34"/>
  <c r="F291" i="33"/>
  <c r="C290" i="34"/>
  <c r="J290" i="34" s="1"/>
  <c r="C284" i="34"/>
  <c r="J284" i="34" s="1"/>
  <c r="F285" i="33"/>
  <c r="D284" i="34"/>
  <c r="F288" i="33"/>
  <c r="C287" i="34"/>
  <c r="J287" i="34" s="1"/>
  <c r="D287" i="34"/>
  <c r="F282" i="33"/>
  <c r="D281" i="34"/>
  <c r="C281" i="34"/>
  <c r="J281" i="34" s="1"/>
  <c r="F281" i="33"/>
  <c r="D280" i="34"/>
  <c r="C280" i="34"/>
  <c r="J280" i="34" s="1"/>
  <c r="F284" i="33"/>
  <c r="C283" i="34"/>
  <c r="J283" i="34" s="1"/>
  <c r="D283" i="34"/>
  <c r="C363" i="34"/>
  <c r="J363" i="34" s="1"/>
  <c r="D292" i="34"/>
  <c r="C292" i="34"/>
  <c r="J292" i="34" s="1"/>
  <c r="F293" i="33"/>
  <c r="F296" i="33"/>
  <c r="C295" i="34"/>
  <c r="J295" i="34" s="1"/>
  <c r="D295" i="34"/>
  <c r="C294" i="34"/>
  <c r="J294" i="34" s="1"/>
  <c r="D294" i="34"/>
  <c r="F295" i="33"/>
  <c r="C364" i="34"/>
  <c r="J364" i="34" s="1"/>
  <c r="D364" i="34"/>
  <c r="F412" i="33"/>
  <c r="C370" i="34"/>
  <c r="J370" i="34" s="1"/>
  <c r="D370" i="34"/>
  <c r="F415" i="33"/>
  <c r="C373" i="34"/>
  <c r="J373" i="34" s="1"/>
  <c r="D373" i="34"/>
  <c r="F419" i="33"/>
  <c r="C377" i="34"/>
  <c r="J377" i="34" s="1"/>
  <c r="D377" i="34"/>
  <c r="F423" i="33"/>
  <c r="C381" i="34"/>
  <c r="J381" i="34" s="1"/>
  <c r="D381" i="34"/>
  <c r="F414" i="33"/>
  <c r="C372" i="34"/>
  <c r="J372" i="34" s="1"/>
  <c r="D372" i="34"/>
  <c r="F418" i="33"/>
  <c r="C376" i="34"/>
  <c r="J376" i="34" s="1"/>
  <c r="D376" i="34"/>
  <c r="F422" i="33"/>
  <c r="C380" i="34"/>
  <c r="J380" i="34" s="1"/>
  <c r="D380" i="34"/>
  <c r="F421" i="33"/>
  <c r="D379" i="34"/>
  <c r="C379" i="34"/>
  <c r="J379" i="34" s="1"/>
  <c r="F425" i="33"/>
  <c r="D383" i="34"/>
  <c r="C383" i="34"/>
  <c r="J383" i="34" s="1"/>
  <c r="I507" i="33"/>
  <c r="E507" i="33" s="1"/>
  <c r="F507" i="33" s="1"/>
  <c r="D422" i="34"/>
  <c r="C398" i="34"/>
  <c r="J398" i="34" s="1"/>
  <c r="F449" i="33"/>
  <c r="C415" i="34"/>
  <c r="J415" i="34" s="1"/>
  <c r="I500" i="33"/>
  <c r="E500" i="33" s="1"/>
  <c r="F500" i="33" s="1"/>
  <c r="F466" i="33"/>
  <c r="D416" i="34"/>
  <c r="I501" i="33"/>
  <c r="E501" i="33" s="1"/>
  <c r="C450" i="34" s="1"/>
  <c r="J450" i="34" s="1"/>
  <c r="F467" i="33"/>
  <c r="C416" i="34"/>
  <c r="J416" i="34" s="1"/>
  <c r="D415" i="34"/>
  <c r="I471" i="33"/>
  <c r="E471" i="33" s="1"/>
  <c r="C419" i="34"/>
  <c r="J419" i="34" s="1"/>
  <c r="F470" i="33"/>
  <c r="D419" i="34"/>
  <c r="I504" i="33"/>
  <c r="E504" i="33" s="1"/>
  <c r="D453" i="34" s="1"/>
  <c r="F461" i="33"/>
  <c r="D410" i="34"/>
  <c r="I495" i="33"/>
  <c r="E495" i="33" s="1"/>
  <c r="C410" i="34"/>
  <c r="J410" i="34" s="1"/>
  <c r="I493" i="33"/>
  <c r="E493" i="33" s="1"/>
  <c r="F459" i="33"/>
  <c r="C408" i="34"/>
  <c r="J408" i="34" s="1"/>
  <c r="D408" i="34"/>
  <c r="D435" i="34"/>
  <c r="F486" i="33"/>
  <c r="C435" i="34"/>
  <c r="J435" i="34" s="1"/>
  <c r="F118" i="33"/>
  <c r="D117" i="34"/>
  <c r="C117" i="34"/>
  <c r="I465" i="33"/>
  <c r="E465" i="33" s="1"/>
  <c r="I499" i="33" s="1"/>
  <c r="E499" i="33" s="1"/>
  <c r="M456" i="33"/>
  <c r="E456" i="33" s="1"/>
  <c r="I490" i="33" s="1"/>
  <c r="E490" i="33" s="1"/>
  <c r="M469" i="33"/>
  <c r="E469" i="33" s="1"/>
  <c r="I458" i="33"/>
  <c r="E458" i="33" s="1"/>
  <c r="I460" i="33"/>
  <c r="E460" i="33" s="1"/>
  <c r="M454" i="33"/>
  <c r="E454" i="33" s="1"/>
  <c r="I488" i="33" s="1"/>
  <c r="E488" i="33" s="1"/>
  <c r="M453" i="33"/>
  <c r="E453" i="33" s="1"/>
  <c r="I445" i="33"/>
  <c r="E445" i="33" s="1"/>
  <c r="D394" i="34" s="1"/>
  <c r="M451" i="33"/>
  <c r="E451" i="33" s="1"/>
  <c r="D400" i="34" s="1"/>
  <c r="F446" i="33"/>
  <c r="C395" i="34"/>
  <c r="J395" i="34" s="1"/>
  <c r="F89" i="33"/>
  <c r="D88" i="34"/>
  <c r="C88" i="34"/>
  <c r="J88" i="34" s="1"/>
  <c r="F183" i="33"/>
  <c r="D182" i="34"/>
  <c r="C182" i="34"/>
  <c r="J182" i="34" s="1"/>
  <c r="F340" i="33"/>
  <c r="D321" i="34"/>
  <c r="C321" i="34"/>
  <c r="J321" i="34" s="1"/>
  <c r="F322" i="33"/>
  <c r="C308" i="34"/>
  <c r="J308" i="34" s="1"/>
  <c r="D308" i="34"/>
  <c r="F83" i="33"/>
  <c r="F124" i="33"/>
  <c r="D123" i="34"/>
  <c r="C123" i="34"/>
  <c r="J123" i="34" s="1"/>
  <c r="F145" i="33"/>
  <c r="C144" i="34"/>
  <c r="J144" i="34" s="1"/>
  <c r="D144" i="34"/>
  <c r="F193" i="33"/>
  <c r="C192" i="34"/>
  <c r="J192" i="34" s="1"/>
  <c r="D192" i="34"/>
  <c r="F226" i="33"/>
  <c r="C225" i="34"/>
  <c r="J225" i="34" s="1"/>
  <c r="D225" i="34"/>
  <c r="F241" i="33"/>
  <c r="C240" i="34"/>
  <c r="J240" i="34" s="1"/>
  <c r="D240" i="34"/>
  <c r="I231" i="33"/>
  <c r="F536" i="33"/>
  <c r="C479" i="34"/>
  <c r="J479" i="34" s="1"/>
  <c r="D479" i="34"/>
  <c r="F143" i="33"/>
  <c r="C142" i="34"/>
  <c r="J142" i="34" s="1"/>
  <c r="D142" i="34"/>
  <c r="F362" i="33"/>
  <c r="C329" i="34"/>
  <c r="J329" i="34" s="1"/>
  <c r="D329" i="34"/>
  <c r="F246" i="33"/>
  <c r="C245" i="34"/>
  <c r="J245" i="34" s="1"/>
  <c r="D245" i="34"/>
  <c r="F581" i="33"/>
  <c r="D517" i="34"/>
  <c r="C517" i="34"/>
  <c r="J517" i="34" s="1"/>
  <c r="F101" i="33"/>
  <c r="D100" i="34"/>
  <c r="C100" i="34"/>
  <c r="J100" i="34" s="1"/>
  <c r="F16" i="33"/>
  <c r="C16" i="34"/>
  <c r="J16" i="34" s="1"/>
  <c r="D16" i="34"/>
  <c r="F190" i="33"/>
  <c r="D189" i="34"/>
  <c r="C189" i="34"/>
  <c r="J189" i="34" s="1"/>
  <c r="F132" i="33"/>
  <c r="D131" i="34"/>
  <c r="C131" i="34"/>
  <c r="J131" i="34" s="1"/>
  <c r="F116" i="33"/>
  <c r="C115" i="34"/>
  <c r="J115" i="34" s="1"/>
  <c r="D115" i="34"/>
  <c r="F134" i="33"/>
  <c r="D133" i="34"/>
  <c r="C133" i="34"/>
  <c r="J133" i="34" s="1"/>
  <c r="F70" i="33"/>
  <c r="D71" i="34"/>
  <c r="C71" i="34"/>
  <c r="J71" i="34" s="1"/>
  <c r="F6" i="33"/>
  <c r="C6" i="34"/>
  <c r="J6" i="34" s="1"/>
  <c r="D6" i="34"/>
  <c r="F117" i="33"/>
  <c r="D116" i="34"/>
  <c r="C116" i="34"/>
  <c r="J116" i="34" s="1"/>
  <c r="F182" i="33"/>
  <c r="D181" i="34"/>
  <c r="C181" i="34"/>
  <c r="J181" i="34" s="1"/>
  <c r="F66" i="33"/>
  <c r="D67" i="34"/>
  <c r="C67" i="34"/>
  <c r="J67" i="34" s="1"/>
  <c r="F92" i="33"/>
  <c r="C91" i="34"/>
  <c r="J91" i="34" s="1"/>
  <c r="D91" i="34"/>
  <c r="F191" i="33"/>
  <c r="D190" i="34"/>
  <c r="C190" i="34"/>
  <c r="J190" i="34" s="1"/>
  <c r="F194" i="33"/>
  <c r="D193" i="34"/>
  <c r="C193" i="34"/>
  <c r="J193" i="34" s="1"/>
  <c r="F138" i="33"/>
  <c r="D137" i="34"/>
  <c r="C137" i="34"/>
  <c r="J137" i="34" s="1"/>
  <c r="F127" i="33"/>
  <c r="C126" i="34"/>
  <c r="J126" i="34" s="1"/>
  <c r="D126" i="34"/>
  <c r="F227" i="33"/>
  <c r="C226" i="34"/>
  <c r="J226" i="34" s="1"/>
  <c r="D226" i="34"/>
  <c r="F9" i="33"/>
  <c r="C9" i="34"/>
  <c r="J9" i="34" s="1"/>
  <c r="D9" i="34"/>
  <c r="F242" i="33"/>
  <c r="C241" i="34"/>
  <c r="J241" i="34" s="1"/>
  <c r="D241" i="34"/>
  <c r="F342" i="33"/>
  <c r="C323" i="34"/>
  <c r="J323" i="34" s="1"/>
  <c r="D323" i="34"/>
  <c r="F375" i="33"/>
  <c r="C338" i="34"/>
  <c r="J338" i="34" s="1"/>
  <c r="D338" i="34"/>
  <c r="F577" i="33"/>
  <c r="D513" i="34"/>
  <c r="C513" i="34"/>
  <c r="J513" i="34" s="1"/>
  <c r="F149" i="33"/>
  <c r="C148" i="34"/>
  <c r="J148" i="34" s="1"/>
  <c r="D148" i="34"/>
  <c r="F144" i="33"/>
  <c r="D143" i="34"/>
  <c r="C143" i="34"/>
  <c r="J143" i="34" s="1"/>
  <c r="F411" i="33"/>
  <c r="C369" i="34"/>
  <c r="J369" i="34" s="1"/>
  <c r="D369" i="34"/>
  <c r="F578" i="33"/>
  <c r="C514" i="34"/>
  <c r="J514" i="34" s="1"/>
  <c r="D514" i="34"/>
  <c r="F368" i="33"/>
  <c r="C333" i="34"/>
  <c r="J333" i="34" s="1"/>
  <c r="D333" i="34"/>
  <c r="F136" i="33"/>
  <c r="D135" i="34"/>
  <c r="C135" i="34"/>
  <c r="J135" i="34" s="1"/>
  <c r="F179" i="33"/>
  <c r="C178" i="34"/>
  <c r="J178" i="34" s="1"/>
  <c r="D178" i="34"/>
  <c r="F189" i="33"/>
  <c r="C188" i="34"/>
  <c r="J188" i="34" s="1"/>
  <c r="D188" i="34"/>
  <c r="F148" i="33"/>
  <c r="D147" i="34"/>
  <c r="C147" i="34"/>
  <c r="J147" i="34" s="1"/>
  <c r="F238" i="33"/>
  <c r="C237" i="34"/>
  <c r="J237" i="34" s="1"/>
  <c r="D237" i="34"/>
  <c r="F199" i="33"/>
  <c r="C198" i="34"/>
  <c r="J198" i="34" s="1"/>
  <c r="D198" i="34"/>
  <c r="F515" i="33"/>
  <c r="C463" i="34"/>
  <c r="J463" i="34" s="1"/>
  <c r="D463" i="34"/>
  <c r="F341" i="33"/>
  <c r="C322" i="34"/>
  <c r="J322" i="34" s="1"/>
  <c r="D322" i="34"/>
  <c r="C309" i="34"/>
  <c r="J309" i="34" s="1"/>
  <c r="D309" i="34"/>
  <c r="F133" i="33"/>
  <c r="C132" i="34"/>
  <c r="J132" i="34" s="1"/>
  <c r="D132" i="34"/>
  <c r="F81" i="33"/>
  <c r="C80" i="34"/>
  <c r="J80" i="34" s="1"/>
  <c r="D80" i="34"/>
  <c r="F90" i="33"/>
  <c r="C89" i="34"/>
  <c r="J89" i="34" s="1"/>
  <c r="D89" i="34"/>
  <c r="F198" i="33"/>
  <c r="D197" i="34"/>
  <c r="C197" i="34"/>
  <c r="J197" i="34" s="1"/>
  <c r="F135" i="33"/>
  <c r="C134" i="34"/>
  <c r="J134" i="34" s="1"/>
  <c r="D134" i="34"/>
  <c r="F579" i="33"/>
  <c r="D515" i="34"/>
  <c r="C515" i="34"/>
  <c r="J515" i="34" s="1"/>
  <c r="F323" i="33"/>
  <c r="M585" i="33"/>
  <c r="E585" i="33" s="1"/>
  <c r="M574" i="33"/>
  <c r="M564" i="33"/>
  <c r="E564" i="33" s="1"/>
  <c r="M567" i="33"/>
  <c r="I232" i="33"/>
  <c r="M328" i="33"/>
  <c r="E328" i="33" s="1"/>
  <c r="M479" i="33" s="1"/>
  <c r="M314" i="33"/>
  <c r="E314" i="33" s="1"/>
  <c r="M274" i="33" s="1"/>
  <c r="M316" i="33"/>
  <c r="E316" i="33" s="1"/>
  <c r="M276" i="33" s="1"/>
  <c r="I526" i="33"/>
  <c r="E526" i="33" s="1"/>
  <c r="I302" i="33"/>
  <c r="E302" i="33" s="1"/>
  <c r="I229" i="33"/>
  <c r="E229" i="33" s="1"/>
  <c r="M310" i="33"/>
  <c r="E310" i="33" s="1"/>
  <c r="M270" i="33" s="1"/>
  <c r="M576" i="33"/>
  <c r="E576" i="33" s="1"/>
  <c r="M561" i="33"/>
  <c r="E561" i="33" s="1"/>
  <c r="M318" i="33"/>
  <c r="E318" i="33" s="1"/>
  <c r="M278" i="33" s="1"/>
  <c r="I236" i="33"/>
  <c r="E236" i="33" s="1"/>
  <c r="M91" i="33"/>
  <c r="E91" i="33" s="1"/>
  <c r="M427" i="33" s="1"/>
  <c r="E427" i="33" s="1"/>
  <c r="M563" i="33"/>
  <c r="M315" i="33"/>
  <c r="E315" i="33" s="1"/>
  <c r="M275" i="33" s="1"/>
  <c r="I228" i="33"/>
  <c r="E228" i="33" s="1"/>
  <c r="I381" i="33"/>
  <c r="E381" i="33" s="1"/>
  <c r="M161" i="33"/>
  <c r="M95" i="33"/>
  <c r="E95" i="33" s="1"/>
  <c r="M326" i="33"/>
  <c r="E326" i="33" s="1"/>
  <c r="M377" i="33"/>
  <c r="M572" i="33"/>
  <c r="E572" i="33" s="1"/>
  <c r="I358" i="33"/>
  <c r="E358" i="33" s="1"/>
  <c r="M319" i="33"/>
  <c r="E319" i="33" s="1"/>
  <c r="M279" i="33" s="1"/>
  <c r="I234" i="33"/>
  <c r="E234" i="33" s="1"/>
  <c r="M575" i="33"/>
  <c r="E575" i="33" s="1"/>
  <c r="I361" i="33"/>
  <c r="E361" i="33" s="1"/>
  <c r="M320" i="33"/>
  <c r="E320" i="33" s="1"/>
  <c r="M280" i="33" s="1"/>
  <c r="M79" i="33"/>
  <c r="M321" i="33"/>
  <c r="E321" i="33" s="1"/>
  <c r="I88" i="33"/>
  <c r="E88" i="33" s="1"/>
  <c r="M86" i="33"/>
  <c r="M297" i="33"/>
  <c r="M156" i="33"/>
  <c r="M568" i="33"/>
  <c r="E568" i="33" s="1"/>
  <c r="M333" i="33"/>
  <c r="E333" i="33" s="1"/>
  <c r="M313" i="33"/>
  <c r="E313" i="33" s="1"/>
  <c r="M273" i="33" s="1"/>
  <c r="I233" i="33"/>
  <c r="E233" i="33" s="1"/>
  <c r="M571" i="33"/>
  <c r="M334" i="33"/>
  <c r="I230" i="33"/>
  <c r="E230" i="33" s="1"/>
  <c r="M31" i="33"/>
  <c r="E31" i="33" s="1"/>
  <c r="M317" i="33"/>
  <c r="E317" i="33" s="1"/>
  <c r="M277" i="33" s="1"/>
  <c r="M336" i="33"/>
  <c r="E336" i="33" s="1"/>
  <c r="M327" i="33"/>
  <c r="E327" i="33" s="1"/>
  <c r="M311" i="33"/>
  <c r="E311" i="33" s="1"/>
  <c r="M271" i="33" s="1"/>
  <c r="I235" i="33"/>
  <c r="E235" i="33" s="1"/>
  <c r="M325" i="33"/>
  <c r="E325" i="33" s="1"/>
  <c r="I303" i="33"/>
  <c r="M141" i="33"/>
  <c r="M566" i="33"/>
  <c r="E566" i="33" s="1"/>
  <c r="M298" i="33"/>
  <c r="M573" i="33"/>
  <c r="E573" i="33" s="1"/>
  <c r="M309" i="33"/>
  <c r="M570" i="33"/>
  <c r="M569" i="33"/>
  <c r="E569" i="33" s="1"/>
  <c r="M562" i="33"/>
  <c r="E562" i="33" s="1"/>
  <c r="I552" i="33"/>
  <c r="M565" i="33"/>
  <c r="E565" i="33" s="1"/>
  <c r="I237" i="33"/>
  <c r="M335" i="33"/>
  <c r="E335" i="33" s="1"/>
  <c r="M332" i="33"/>
  <c r="E332" i="33" s="1"/>
  <c r="M312" i="33"/>
  <c r="E312" i="33" s="1"/>
  <c r="M272" i="33" s="1"/>
  <c r="I324" i="33"/>
  <c r="E324" i="33" s="1"/>
  <c r="E123" i="33"/>
  <c r="I355" i="33"/>
  <c r="E355" i="33" s="1"/>
  <c r="Q130" i="33"/>
  <c r="E130" i="33" s="1"/>
  <c r="M76" i="33"/>
  <c r="E76" i="33" s="1"/>
  <c r="Q524" i="33"/>
  <c r="E524" i="33" s="1"/>
  <c r="I10" i="33"/>
  <c r="E10" i="33" s="1"/>
  <c r="I240" i="33"/>
  <c r="E240" i="33" s="1"/>
  <c r="I128" i="33"/>
  <c r="E128" i="33" s="1"/>
  <c r="I129" i="33"/>
  <c r="E129" i="33" s="1"/>
  <c r="I80" i="33"/>
  <c r="E80" i="33" s="1"/>
  <c r="J243" i="34"/>
  <c r="I72" i="33"/>
  <c r="E72" i="33" s="1"/>
  <c r="I180" i="33"/>
  <c r="E180" i="33" s="1"/>
  <c r="I108" i="33"/>
  <c r="E108" i="33" s="1"/>
  <c r="I29" i="33"/>
  <c r="E29" i="33" s="1"/>
  <c r="J68" i="34"/>
  <c r="M552" i="33"/>
  <c r="I254" i="33"/>
  <c r="E254" i="33" s="1"/>
  <c r="M410" i="33"/>
  <c r="E410" i="33" s="1"/>
  <c r="I125" i="33"/>
  <c r="E125" i="33" s="1"/>
  <c r="I85" i="33"/>
  <c r="E85" i="33" s="1"/>
  <c r="M32" i="33"/>
  <c r="I580" i="33"/>
  <c r="E580" i="33" s="1"/>
  <c r="M232" i="33"/>
  <c r="M237" i="33"/>
  <c r="I197" i="33"/>
  <c r="E197" i="33" s="1"/>
  <c r="M231" i="33"/>
  <c r="M154" i="33"/>
  <c r="E154" i="33" s="1"/>
  <c r="I158" i="33"/>
  <c r="E158" i="33" s="1"/>
  <c r="I137" i="33"/>
  <c r="E137" i="33" s="1"/>
  <c r="I68" i="33"/>
  <c r="E68" i="33" s="1"/>
  <c r="I71" i="33"/>
  <c r="E71" i="33" s="1"/>
  <c r="I107" i="33"/>
  <c r="E107" i="33" s="1"/>
  <c r="I222" i="33"/>
  <c r="E222" i="33" s="1"/>
  <c r="C422" i="34" l="1"/>
  <c r="J422" i="34" s="1"/>
  <c r="I502" i="33"/>
  <c r="E502" i="33" s="1"/>
  <c r="C451" i="34" s="1"/>
  <c r="J451" i="34" s="1"/>
  <c r="C417" i="34"/>
  <c r="J417" i="34" s="1"/>
  <c r="D417" i="34"/>
  <c r="D456" i="34"/>
  <c r="D450" i="34"/>
  <c r="C456" i="34"/>
  <c r="J456" i="34" s="1"/>
  <c r="F501" i="33"/>
  <c r="C449" i="34"/>
  <c r="J449" i="34" s="1"/>
  <c r="D449" i="34"/>
  <c r="F504" i="33"/>
  <c r="C453" i="34"/>
  <c r="J453" i="34" s="1"/>
  <c r="D444" i="34"/>
  <c r="C444" i="34"/>
  <c r="J444" i="34" s="1"/>
  <c r="F495" i="33"/>
  <c r="F493" i="33"/>
  <c r="C442" i="34"/>
  <c r="J442" i="34" s="1"/>
  <c r="D442" i="34"/>
  <c r="F381" i="33"/>
  <c r="D341" i="34"/>
  <c r="C341" i="34"/>
  <c r="J341" i="34" s="1"/>
  <c r="D420" i="34"/>
  <c r="I505" i="33"/>
  <c r="E505" i="33" s="1"/>
  <c r="D418" i="34"/>
  <c r="I503" i="33"/>
  <c r="E503" i="33" s="1"/>
  <c r="D451" i="34"/>
  <c r="F502" i="33"/>
  <c r="D448" i="34"/>
  <c r="F499" i="33"/>
  <c r="C448" i="34"/>
  <c r="J448" i="34" s="1"/>
  <c r="D409" i="34"/>
  <c r="I494" i="33"/>
  <c r="E494" i="33" s="1"/>
  <c r="I492" i="33"/>
  <c r="E492" i="33" s="1"/>
  <c r="D439" i="34"/>
  <c r="F490" i="33"/>
  <c r="C439" i="34"/>
  <c r="J439" i="34" s="1"/>
  <c r="D437" i="34"/>
  <c r="C437" i="34"/>
  <c r="J437" i="34" s="1"/>
  <c r="F488" i="33"/>
  <c r="D402" i="34"/>
  <c r="I487" i="33"/>
  <c r="E487" i="33" s="1"/>
  <c r="D403" i="34"/>
  <c r="I489" i="33"/>
  <c r="E489" i="33" s="1"/>
  <c r="D405" i="34"/>
  <c r="C414" i="34"/>
  <c r="J414" i="34" s="1"/>
  <c r="D414" i="34"/>
  <c r="C420" i="34"/>
  <c r="J420" i="34" s="1"/>
  <c r="F458" i="33"/>
  <c r="D407" i="34"/>
  <c r="F471" i="33"/>
  <c r="C136" i="34"/>
  <c r="J136" i="34" s="1"/>
  <c r="D136" i="34"/>
  <c r="I366" i="33"/>
  <c r="E366" i="33" s="1"/>
  <c r="I156" i="33"/>
  <c r="E156" i="33" s="1"/>
  <c r="I141" i="33"/>
  <c r="E141" i="33" s="1"/>
  <c r="I65" i="33"/>
  <c r="E65" i="33" s="1"/>
  <c r="M587" i="33"/>
  <c r="E587" i="33" s="1"/>
  <c r="M150" i="33"/>
  <c r="I120" i="33"/>
  <c r="E120" i="33" s="1"/>
  <c r="I519" i="33"/>
  <c r="E519" i="33" s="1"/>
  <c r="I364" i="33"/>
  <c r="E364" i="33" s="1"/>
  <c r="I153" i="33"/>
  <c r="E153" i="33" s="1"/>
  <c r="I32" i="33"/>
  <c r="E32" i="33" s="1"/>
  <c r="I309" i="33"/>
  <c r="E309" i="33" s="1"/>
  <c r="M269" i="33" s="1"/>
  <c r="U35" i="33"/>
  <c r="E35" i="33" s="1"/>
  <c r="I300" i="33"/>
  <c r="I161" i="33"/>
  <c r="I380" i="33"/>
  <c r="E380" i="33" s="1"/>
  <c r="I297" i="33"/>
  <c r="E297" i="33" s="1"/>
  <c r="F297" i="33" s="1"/>
  <c r="I299" i="33"/>
  <c r="I298" i="33"/>
  <c r="E298" i="33" s="1"/>
  <c r="C297" i="34" s="1"/>
  <c r="I86" i="33"/>
  <c r="E86" i="33" s="1"/>
  <c r="I334" i="33"/>
  <c r="E334" i="33" s="1"/>
  <c r="I363" i="33"/>
  <c r="E363" i="33" s="1"/>
  <c r="I200" i="33"/>
  <c r="E200" i="33" s="1"/>
  <c r="I430" i="33"/>
  <c r="E430" i="33" s="1"/>
  <c r="Q523" i="33"/>
  <c r="E523" i="33" s="1"/>
  <c r="I223" i="33"/>
  <c r="E223" i="33" s="1"/>
  <c r="I79" i="33"/>
  <c r="E79" i="33" s="1"/>
  <c r="F465" i="33"/>
  <c r="I464" i="33"/>
  <c r="E464" i="33" s="1"/>
  <c r="C405" i="34"/>
  <c r="J405" i="34" s="1"/>
  <c r="I474" i="33"/>
  <c r="E474" i="33" s="1"/>
  <c r="F456" i="33"/>
  <c r="F469" i="33"/>
  <c r="C418" i="34"/>
  <c r="J418" i="34" s="1"/>
  <c r="C403" i="34"/>
  <c r="J403" i="34" s="1"/>
  <c r="I463" i="33"/>
  <c r="E463" i="33" s="1"/>
  <c r="C407" i="34"/>
  <c r="J407" i="34" s="1"/>
  <c r="F460" i="33"/>
  <c r="C409" i="34"/>
  <c r="J409" i="34" s="1"/>
  <c r="I457" i="33"/>
  <c r="E457" i="33" s="1"/>
  <c r="F454" i="33"/>
  <c r="F453" i="33"/>
  <c r="C402" i="34"/>
  <c r="J402" i="34" s="1"/>
  <c r="C394" i="34"/>
  <c r="J394" i="34" s="1"/>
  <c r="F445" i="33"/>
  <c r="F451" i="33"/>
  <c r="C400" i="34"/>
  <c r="J400" i="34" s="1"/>
  <c r="E231" i="33"/>
  <c r="F231" i="33" s="1"/>
  <c r="M534" i="33"/>
  <c r="E534" i="33" s="1"/>
  <c r="D478" i="34" s="1"/>
  <c r="F361" i="33"/>
  <c r="C328" i="34"/>
  <c r="J328" i="34" s="1"/>
  <c r="D328" i="34"/>
  <c r="F107" i="33"/>
  <c r="D106" i="34"/>
  <c r="C106" i="34"/>
  <c r="J106" i="34" s="1"/>
  <c r="F158" i="33"/>
  <c r="D157" i="34"/>
  <c r="C157" i="34"/>
  <c r="J157" i="34" s="1"/>
  <c r="F29" i="33"/>
  <c r="D31" i="34"/>
  <c r="C31" i="34"/>
  <c r="J31" i="34" s="1"/>
  <c r="F427" i="33"/>
  <c r="C385" i="34"/>
  <c r="J385" i="34" s="1"/>
  <c r="D385" i="34"/>
  <c r="F130" i="33"/>
  <c r="D129" i="34"/>
  <c r="C129" i="34"/>
  <c r="J129" i="34" s="1"/>
  <c r="F31" i="33"/>
  <c r="D33" i="34"/>
  <c r="C33" i="34"/>
  <c r="J33" i="34" s="1"/>
  <c r="F88" i="33"/>
  <c r="C87" i="34"/>
  <c r="J87" i="34" s="1"/>
  <c r="D87" i="34"/>
  <c r="F326" i="33"/>
  <c r="C311" i="34"/>
  <c r="J311" i="34" s="1"/>
  <c r="D311" i="34"/>
  <c r="F236" i="33"/>
  <c r="C235" i="34"/>
  <c r="J235" i="34" s="1"/>
  <c r="D235" i="34"/>
  <c r="F180" i="33"/>
  <c r="D179" i="34"/>
  <c r="C179" i="34"/>
  <c r="J179" i="34" s="1"/>
  <c r="F123" i="33"/>
  <c r="C122" i="34"/>
  <c r="J122" i="34" s="1"/>
  <c r="D122" i="34"/>
  <c r="F562" i="33"/>
  <c r="C498" i="34"/>
  <c r="J498" i="34" s="1"/>
  <c r="D498" i="34"/>
  <c r="F327" i="33"/>
  <c r="D312" i="34"/>
  <c r="C312" i="34"/>
  <c r="J312" i="34" s="1"/>
  <c r="F313" i="33"/>
  <c r="F575" i="33"/>
  <c r="D511" i="34"/>
  <c r="C511" i="34"/>
  <c r="J511" i="34" s="1"/>
  <c r="F95" i="33"/>
  <c r="D94" i="34"/>
  <c r="C94" i="34"/>
  <c r="J94" i="34" s="1"/>
  <c r="F318" i="33"/>
  <c r="F316" i="33"/>
  <c r="C303" i="34"/>
  <c r="J303" i="34" s="1"/>
  <c r="D303" i="34"/>
  <c r="F410" i="33"/>
  <c r="C368" i="34"/>
  <c r="J368" i="34" s="1"/>
  <c r="D368" i="34"/>
  <c r="F332" i="33"/>
  <c r="F233" i="33"/>
  <c r="C232" i="34"/>
  <c r="J232" i="34" s="1"/>
  <c r="D232" i="34"/>
  <c r="F358" i="33"/>
  <c r="C325" i="34"/>
  <c r="J325" i="34" s="1"/>
  <c r="D325" i="34"/>
  <c r="F228" i="33"/>
  <c r="C227" i="34"/>
  <c r="J227" i="34" s="1"/>
  <c r="D227" i="34"/>
  <c r="F526" i="33"/>
  <c r="C473" i="34"/>
  <c r="J473" i="34" s="1"/>
  <c r="D473" i="34"/>
  <c r="F71" i="33"/>
  <c r="C72" i="34"/>
  <c r="J72" i="34" s="1"/>
  <c r="D72" i="34"/>
  <c r="F240" i="33"/>
  <c r="C239" i="34"/>
  <c r="J239" i="34" s="1"/>
  <c r="D239" i="34"/>
  <c r="F335" i="33"/>
  <c r="C316" i="34"/>
  <c r="J316" i="34" s="1"/>
  <c r="D316" i="34"/>
  <c r="F573" i="33"/>
  <c r="D509" i="34"/>
  <c r="C509" i="34"/>
  <c r="J509" i="34" s="1"/>
  <c r="F230" i="33"/>
  <c r="C229" i="34"/>
  <c r="J229" i="34" s="1"/>
  <c r="D229" i="34"/>
  <c r="F321" i="33"/>
  <c r="C307" i="34"/>
  <c r="J307" i="34" s="1"/>
  <c r="D307" i="34"/>
  <c r="F572" i="33"/>
  <c r="C508" i="34"/>
  <c r="J508" i="34" s="1"/>
  <c r="D508" i="34"/>
  <c r="F315" i="33"/>
  <c r="C302" i="34"/>
  <c r="J302" i="34" s="1"/>
  <c r="D302" i="34"/>
  <c r="F310" i="33"/>
  <c r="F68" i="33"/>
  <c r="D69" i="34"/>
  <c r="C69" i="34"/>
  <c r="J69" i="34" s="1"/>
  <c r="F580" i="33"/>
  <c r="C516" i="34"/>
  <c r="J516" i="34" s="1"/>
  <c r="D516" i="34"/>
  <c r="F85" i="33"/>
  <c r="D84" i="34"/>
  <c r="C84" i="34"/>
  <c r="J84" i="34" s="1"/>
  <c r="F254" i="33"/>
  <c r="C253" i="34"/>
  <c r="J253" i="34" s="1"/>
  <c r="D253" i="34"/>
  <c r="F80" i="33"/>
  <c r="D79" i="34"/>
  <c r="C79" i="34"/>
  <c r="J79" i="34" s="1"/>
  <c r="F524" i="33"/>
  <c r="C472" i="34"/>
  <c r="J472" i="34" s="1"/>
  <c r="D472" i="34"/>
  <c r="F569" i="33"/>
  <c r="D505" i="34"/>
  <c r="C505" i="34"/>
  <c r="J505" i="34" s="1"/>
  <c r="F325" i="33"/>
  <c r="F336" i="33"/>
  <c r="C317" i="34"/>
  <c r="J317" i="34" s="1"/>
  <c r="D317" i="34"/>
  <c r="F333" i="33"/>
  <c r="C314" i="34"/>
  <c r="J314" i="34" s="1"/>
  <c r="D314" i="34"/>
  <c r="C233" i="34"/>
  <c r="J233" i="34" s="1"/>
  <c r="D233" i="34"/>
  <c r="F561" i="33"/>
  <c r="D497" i="34"/>
  <c r="C497" i="34"/>
  <c r="J497" i="34" s="1"/>
  <c r="F229" i="33"/>
  <c r="C228" i="34"/>
  <c r="J228" i="34" s="1"/>
  <c r="D228" i="34"/>
  <c r="F314" i="33"/>
  <c r="F564" i="33"/>
  <c r="C500" i="34"/>
  <c r="J500" i="34" s="1"/>
  <c r="D500" i="34"/>
  <c r="D519" i="34"/>
  <c r="C519" i="34"/>
  <c r="J519" i="34" s="1"/>
  <c r="F128" i="33"/>
  <c r="D127" i="34"/>
  <c r="C127" i="34"/>
  <c r="J127" i="34" s="1"/>
  <c r="F311" i="33"/>
  <c r="F154" i="33"/>
  <c r="D153" i="34"/>
  <c r="C153" i="34"/>
  <c r="J153" i="34" s="1"/>
  <c r="F125" i="33"/>
  <c r="C124" i="34"/>
  <c r="J124" i="34" s="1"/>
  <c r="D124" i="34"/>
  <c r="F222" i="33"/>
  <c r="C221" i="34"/>
  <c r="J221" i="34" s="1"/>
  <c r="D221" i="34"/>
  <c r="F137" i="33"/>
  <c r="F197" i="33"/>
  <c r="C196" i="34"/>
  <c r="J196" i="34" s="1"/>
  <c r="D196" i="34"/>
  <c r="F108" i="33"/>
  <c r="C107" i="34"/>
  <c r="J107" i="34" s="1"/>
  <c r="D107" i="34"/>
  <c r="F72" i="33"/>
  <c r="D73" i="34"/>
  <c r="C73" i="34"/>
  <c r="J73" i="34" s="1"/>
  <c r="F129" i="33"/>
  <c r="C128" i="34"/>
  <c r="J128" i="34" s="1"/>
  <c r="D128" i="34"/>
  <c r="F10" i="33"/>
  <c r="C10" i="34"/>
  <c r="J10" i="34" s="1"/>
  <c r="D10" i="34"/>
  <c r="F76" i="33"/>
  <c r="D77" i="34"/>
  <c r="C77" i="34"/>
  <c r="J77" i="34" s="1"/>
  <c r="F324" i="33"/>
  <c r="C310" i="34"/>
  <c r="J310" i="34" s="1"/>
  <c r="D310" i="34"/>
  <c r="F312" i="33"/>
  <c r="F565" i="33"/>
  <c r="D501" i="34"/>
  <c r="C501" i="34"/>
  <c r="J501" i="34" s="1"/>
  <c r="F566" i="33"/>
  <c r="C502" i="34"/>
  <c r="J502" i="34" s="1"/>
  <c r="D502" i="34"/>
  <c r="F235" i="33"/>
  <c r="C234" i="34"/>
  <c r="J234" i="34" s="1"/>
  <c r="D234" i="34"/>
  <c r="F317" i="33"/>
  <c r="C304" i="34"/>
  <c r="J304" i="34" s="1"/>
  <c r="D304" i="34"/>
  <c r="F568" i="33"/>
  <c r="C504" i="34"/>
  <c r="J504" i="34" s="1"/>
  <c r="D504" i="34"/>
  <c r="F320" i="33"/>
  <c r="C306" i="34"/>
  <c r="J306" i="34" s="1"/>
  <c r="D306" i="34"/>
  <c r="F319" i="33"/>
  <c r="C305" i="34"/>
  <c r="J305" i="34" s="1"/>
  <c r="D305" i="34"/>
  <c r="F91" i="33"/>
  <c r="D90" i="34"/>
  <c r="C90" i="34"/>
  <c r="J90" i="34" s="1"/>
  <c r="F576" i="33"/>
  <c r="C512" i="34"/>
  <c r="J512" i="34" s="1"/>
  <c r="D512" i="34"/>
  <c r="F302" i="33"/>
  <c r="C300" i="34"/>
  <c r="J300" i="34" s="1"/>
  <c r="D300" i="34"/>
  <c r="F328" i="33"/>
  <c r="C313" i="34"/>
  <c r="J313" i="34" s="1"/>
  <c r="D313" i="34"/>
  <c r="F585" i="33"/>
  <c r="E237" i="33"/>
  <c r="Q540" i="33"/>
  <c r="E540" i="33" s="1"/>
  <c r="Q161" i="33"/>
  <c r="M27" i="33"/>
  <c r="E27" i="33" s="1"/>
  <c r="E552" i="33"/>
  <c r="M472" i="33" s="1"/>
  <c r="E472" i="33" s="1"/>
  <c r="E232" i="33"/>
  <c r="F234" i="33"/>
  <c r="F355" i="33"/>
  <c r="M300" i="33"/>
  <c r="M303" i="33"/>
  <c r="E303" i="33" s="1"/>
  <c r="J125" i="34"/>
  <c r="I186" i="33"/>
  <c r="E186" i="33" s="1"/>
  <c r="I119" i="33"/>
  <c r="E119" i="33" s="1"/>
  <c r="I187" i="33"/>
  <c r="E187" i="33" s="1"/>
  <c r="I225" i="33"/>
  <c r="E225" i="33" s="1"/>
  <c r="I202" i="33"/>
  <c r="E202" i="33" s="1"/>
  <c r="M299" i="33"/>
  <c r="I164" i="33"/>
  <c r="E164" i="33" s="1"/>
  <c r="I162" i="33"/>
  <c r="E162" i="33" s="1"/>
  <c r="I174" i="33"/>
  <c r="E174" i="33" s="1"/>
  <c r="I173" i="33"/>
  <c r="E173" i="33" s="1"/>
  <c r="I176" i="33"/>
  <c r="I168" i="33"/>
  <c r="I177" i="33"/>
  <c r="E177" i="33" s="1"/>
  <c r="I172" i="33"/>
  <c r="I169" i="33"/>
  <c r="I165" i="33"/>
  <c r="I170" i="33"/>
  <c r="E170" i="33" s="1"/>
  <c r="I178" i="33"/>
  <c r="E178" i="33" s="1"/>
  <c r="I175" i="33"/>
  <c r="E175" i="33" s="1"/>
  <c r="I163" i="33"/>
  <c r="E163" i="33" s="1"/>
  <c r="I167" i="33"/>
  <c r="E167" i="33" s="1"/>
  <c r="I166" i="33"/>
  <c r="E166" i="33" s="1"/>
  <c r="I171" i="33"/>
  <c r="E171" i="33" s="1"/>
  <c r="I140" i="33"/>
  <c r="E140" i="33" s="1"/>
  <c r="I248" i="33"/>
  <c r="E248" i="33" s="1"/>
  <c r="I339" i="33"/>
  <c r="E339" i="33" s="1"/>
  <c r="M480" i="33" s="1"/>
  <c r="I357" i="33"/>
  <c r="E357" i="33" s="1"/>
  <c r="F357" i="33" s="1"/>
  <c r="I530" i="33"/>
  <c r="E530" i="33" s="1"/>
  <c r="F530" i="33" s="1"/>
  <c r="I265" i="33" l="1"/>
  <c r="E265" i="33" s="1"/>
  <c r="I266" i="33"/>
  <c r="E266" i="33" s="1"/>
  <c r="I268" i="33"/>
  <c r="E268" i="33" s="1"/>
  <c r="I269" i="33"/>
  <c r="E269" i="33" s="1"/>
  <c r="I272" i="33"/>
  <c r="E272" i="33" s="1"/>
  <c r="I273" i="33"/>
  <c r="E273" i="33" s="1"/>
  <c r="I275" i="33"/>
  <c r="E275" i="33" s="1"/>
  <c r="I276" i="33"/>
  <c r="E276" i="33" s="1"/>
  <c r="I277" i="33"/>
  <c r="E277" i="33" s="1"/>
  <c r="I279" i="33"/>
  <c r="E279" i="33" s="1"/>
  <c r="I280" i="33"/>
  <c r="E280" i="33" s="1"/>
  <c r="J117" i="34"/>
  <c r="D423" i="34"/>
  <c r="I508" i="33"/>
  <c r="E508" i="33" s="1"/>
  <c r="D421" i="34"/>
  <c r="I506" i="33"/>
  <c r="E506" i="33" s="1"/>
  <c r="D454" i="34"/>
  <c r="C454" i="34"/>
  <c r="J454" i="34" s="1"/>
  <c r="F505" i="33"/>
  <c r="D452" i="34"/>
  <c r="C452" i="34"/>
  <c r="J452" i="34" s="1"/>
  <c r="F503" i="33"/>
  <c r="D413" i="34"/>
  <c r="I498" i="33"/>
  <c r="E498" i="33" s="1"/>
  <c r="D412" i="34"/>
  <c r="I497" i="33"/>
  <c r="E497" i="33" s="1"/>
  <c r="D443" i="34"/>
  <c r="F494" i="33"/>
  <c r="C443" i="34"/>
  <c r="J443" i="34" s="1"/>
  <c r="D441" i="34"/>
  <c r="F492" i="33"/>
  <c r="C441" i="34"/>
  <c r="J441" i="34" s="1"/>
  <c r="I491" i="33"/>
  <c r="E491" i="33" s="1"/>
  <c r="F491" i="33" s="1"/>
  <c r="D438" i="34"/>
  <c r="C438" i="34"/>
  <c r="J438" i="34" s="1"/>
  <c r="F489" i="33"/>
  <c r="D436" i="34"/>
  <c r="C436" i="34"/>
  <c r="J436" i="34" s="1"/>
  <c r="F487" i="33"/>
  <c r="I485" i="33"/>
  <c r="E485" i="33" s="1"/>
  <c r="D434" i="34" s="1"/>
  <c r="D406" i="34"/>
  <c r="F156" i="33"/>
  <c r="C155" i="34"/>
  <c r="J155" i="34" s="1"/>
  <c r="D155" i="34"/>
  <c r="E299" i="33"/>
  <c r="F299" i="33" s="1"/>
  <c r="E300" i="33"/>
  <c r="F300" i="33" s="1"/>
  <c r="E161" i="33"/>
  <c r="C160" i="34" s="1"/>
  <c r="J160" i="34" s="1"/>
  <c r="F309" i="33"/>
  <c r="D140" i="34"/>
  <c r="I151" i="33"/>
  <c r="E151" i="33" s="1"/>
  <c r="F151" i="33" s="1"/>
  <c r="F141" i="33"/>
  <c r="C140" i="34"/>
  <c r="J140" i="34" s="1"/>
  <c r="M544" i="33"/>
  <c r="F86" i="33"/>
  <c r="C85" i="34"/>
  <c r="J85" i="34" s="1"/>
  <c r="D85" i="34"/>
  <c r="D297" i="34"/>
  <c r="F298" i="33"/>
  <c r="J297" i="34"/>
  <c r="F32" i="33"/>
  <c r="C34" i="34"/>
  <c r="J34" i="34" s="1"/>
  <c r="D34" i="34"/>
  <c r="D315" i="34"/>
  <c r="C315" i="34"/>
  <c r="J315" i="34" s="1"/>
  <c r="F334" i="33"/>
  <c r="I346" i="33"/>
  <c r="E346" i="33" s="1"/>
  <c r="F346" i="33" s="1"/>
  <c r="C296" i="34"/>
  <c r="J296" i="34" s="1"/>
  <c r="I343" i="33"/>
  <c r="E343" i="33" s="1"/>
  <c r="D296" i="34"/>
  <c r="I345" i="33"/>
  <c r="E345" i="33" s="1"/>
  <c r="F345" i="33" s="1"/>
  <c r="I344" i="33"/>
  <c r="E344" i="33" s="1"/>
  <c r="F344" i="33" s="1"/>
  <c r="F363" i="33"/>
  <c r="C330" i="34"/>
  <c r="J330" i="34" s="1"/>
  <c r="D330" i="34"/>
  <c r="D152" i="34"/>
  <c r="C152" i="34"/>
  <c r="J152" i="34" s="1"/>
  <c r="F153" i="33"/>
  <c r="F35" i="33"/>
  <c r="C36" i="34"/>
  <c r="J36" i="34" s="1"/>
  <c r="I33" i="33"/>
  <c r="E33" i="33" s="1"/>
  <c r="D36" i="34"/>
  <c r="I543" i="33"/>
  <c r="E543" i="33" s="1"/>
  <c r="D331" i="34"/>
  <c r="F364" i="33"/>
  <c r="I377" i="33"/>
  <c r="E377" i="33" s="1"/>
  <c r="C331" i="34"/>
  <c r="J331" i="34" s="1"/>
  <c r="I544" i="33"/>
  <c r="I378" i="33"/>
  <c r="E378" i="33" s="1"/>
  <c r="F587" i="33"/>
  <c r="D521" i="34"/>
  <c r="C521" i="34"/>
  <c r="J521" i="34" s="1"/>
  <c r="D332" i="34"/>
  <c r="C332" i="34"/>
  <c r="J332" i="34" s="1"/>
  <c r="F366" i="33"/>
  <c r="F430" i="33"/>
  <c r="C388" i="34"/>
  <c r="J388" i="34" s="1"/>
  <c r="D388" i="34"/>
  <c r="C342" i="34"/>
  <c r="J342" i="34" s="1"/>
  <c r="D342" i="34"/>
  <c r="M532" i="33"/>
  <c r="E532" i="33" s="1"/>
  <c r="F380" i="33"/>
  <c r="F519" i="33"/>
  <c r="D467" i="34"/>
  <c r="C467" i="34"/>
  <c r="J467" i="34" s="1"/>
  <c r="C66" i="34"/>
  <c r="J66" i="34" s="1"/>
  <c r="F65" i="33"/>
  <c r="D66" i="34"/>
  <c r="I150" i="33"/>
  <c r="E150" i="33" s="1"/>
  <c r="F200" i="33"/>
  <c r="D199" i="34"/>
  <c r="C199" i="34"/>
  <c r="J199" i="34" s="1"/>
  <c r="D119" i="34"/>
  <c r="F120" i="33"/>
  <c r="C119" i="34"/>
  <c r="J119" i="34" s="1"/>
  <c r="F79" i="33"/>
  <c r="M99" i="33"/>
  <c r="E99" i="33" s="1"/>
  <c r="D98" i="34" s="1"/>
  <c r="F223" i="33"/>
  <c r="C222" i="34"/>
  <c r="J222" i="34" s="1"/>
  <c r="D222" i="34"/>
  <c r="F523" i="33"/>
  <c r="C471" i="34"/>
  <c r="J471" i="34" s="1"/>
  <c r="D471" i="34"/>
  <c r="I483" i="33"/>
  <c r="E483" i="33" s="1"/>
  <c r="D432" i="34" s="1"/>
  <c r="I484" i="33"/>
  <c r="E484" i="33" s="1"/>
  <c r="D433" i="34" s="1"/>
  <c r="I481" i="33"/>
  <c r="E481" i="33" s="1"/>
  <c r="D430" i="34" s="1"/>
  <c r="I482" i="33"/>
  <c r="E482" i="33" s="1"/>
  <c r="D431" i="34" s="1"/>
  <c r="I477" i="33"/>
  <c r="E477" i="33" s="1"/>
  <c r="I511" i="33" s="1"/>
  <c r="E511" i="33" s="1"/>
  <c r="I480" i="33"/>
  <c r="E480" i="33" s="1"/>
  <c r="D429" i="34" s="1"/>
  <c r="I478" i="33"/>
  <c r="E478" i="33" s="1"/>
  <c r="I512" i="33" s="1"/>
  <c r="E512" i="33" s="1"/>
  <c r="I475" i="33"/>
  <c r="E475" i="33" s="1"/>
  <c r="I509" i="33" s="1"/>
  <c r="E509" i="33" s="1"/>
  <c r="I476" i="33"/>
  <c r="E476" i="33" s="1"/>
  <c r="D425" i="34" s="1"/>
  <c r="F464" i="33"/>
  <c r="C413" i="34"/>
  <c r="J413" i="34" s="1"/>
  <c r="C423" i="34"/>
  <c r="J423" i="34" s="1"/>
  <c r="F474" i="33"/>
  <c r="C421" i="34"/>
  <c r="J421" i="34" s="1"/>
  <c r="F472" i="33"/>
  <c r="I462" i="33"/>
  <c r="E462" i="33" s="1"/>
  <c r="I496" i="33" s="1"/>
  <c r="E496" i="33" s="1"/>
  <c r="F463" i="33"/>
  <c r="C412" i="34"/>
  <c r="J412" i="34" s="1"/>
  <c r="D230" i="34"/>
  <c r="C406" i="34"/>
  <c r="J406" i="34" s="1"/>
  <c r="F457" i="33"/>
  <c r="C230" i="34"/>
  <c r="J230" i="34" s="1"/>
  <c r="C478" i="34"/>
  <c r="J478" i="34" s="1"/>
  <c r="F534" i="33"/>
  <c r="F175" i="33"/>
  <c r="D174" i="34"/>
  <c r="C174" i="34"/>
  <c r="J174" i="34" s="1"/>
  <c r="F27" i="33"/>
  <c r="D29" i="34"/>
  <c r="C29" i="34"/>
  <c r="J29" i="34" s="1"/>
  <c r="F171" i="33"/>
  <c r="C170" i="34"/>
  <c r="J170" i="34" s="1"/>
  <c r="D170" i="34"/>
  <c r="F166" i="33"/>
  <c r="D165" i="34"/>
  <c r="C165" i="34"/>
  <c r="J165" i="34" s="1"/>
  <c r="F173" i="33"/>
  <c r="C172" i="34"/>
  <c r="J172" i="34" s="1"/>
  <c r="D172" i="34"/>
  <c r="F540" i="33"/>
  <c r="C483" i="34"/>
  <c r="J483" i="34" s="1"/>
  <c r="D483" i="34"/>
  <c r="F164" i="33"/>
  <c r="D163" i="34"/>
  <c r="C163" i="34"/>
  <c r="J163" i="34" s="1"/>
  <c r="F178" i="33"/>
  <c r="D177" i="34"/>
  <c r="C177" i="34"/>
  <c r="J177" i="34" s="1"/>
  <c r="F248" i="33"/>
  <c r="C247" i="34"/>
  <c r="J247" i="34" s="1"/>
  <c r="D247" i="34"/>
  <c r="F170" i="33"/>
  <c r="D169" i="34"/>
  <c r="C169" i="34"/>
  <c r="J169" i="34" s="1"/>
  <c r="F177" i="33"/>
  <c r="C176" i="34"/>
  <c r="J176" i="34" s="1"/>
  <c r="D176" i="34"/>
  <c r="F174" i="33"/>
  <c r="D173" i="34"/>
  <c r="C173" i="34"/>
  <c r="J173" i="34" s="1"/>
  <c r="F202" i="33"/>
  <c r="D201" i="34"/>
  <c r="C201" i="34"/>
  <c r="J201" i="34" s="1"/>
  <c r="F119" i="33"/>
  <c r="C118" i="34"/>
  <c r="J118" i="34" s="1"/>
  <c r="D118" i="34"/>
  <c r="F186" i="33"/>
  <c r="D185" i="34"/>
  <c r="C185" i="34"/>
  <c r="J185" i="34" s="1"/>
  <c r="F232" i="33"/>
  <c r="C231" i="34"/>
  <c r="J231" i="34" s="1"/>
  <c r="D231" i="34"/>
  <c r="F552" i="33"/>
  <c r="C492" i="34"/>
  <c r="J492" i="34" s="1"/>
  <c r="D492" i="34"/>
  <c r="F339" i="33"/>
  <c r="C320" i="34"/>
  <c r="J320" i="34" s="1"/>
  <c r="D320" i="34"/>
  <c r="F187" i="33"/>
  <c r="C186" i="34"/>
  <c r="J186" i="34" s="1"/>
  <c r="D186" i="34"/>
  <c r="F167" i="33"/>
  <c r="C166" i="34"/>
  <c r="J166" i="34" s="1"/>
  <c r="D166" i="34"/>
  <c r="F140" i="33"/>
  <c r="D139" i="34"/>
  <c r="C139" i="34"/>
  <c r="J139" i="34" s="1"/>
  <c r="F163" i="33"/>
  <c r="C162" i="34"/>
  <c r="J162" i="34" s="1"/>
  <c r="D162" i="34"/>
  <c r="F162" i="33"/>
  <c r="D161" i="34"/>
  <c r="C161" i="34"/>
  <c r="J161" i="34" s="1"/>
  <c r="F225" i="33"/>
  <c r="C224" i="34"/>
  <c r="J224" i="34" s="1"/>
  <c r="D224" i="34"/>
  <c r="F303" i="33"/>
  <c r="C301" i="34"/>
  <c r="J301" i="34" s="1"/>
  <c r="D301" i="34"/>
  <c r="F237" i="33"/>
  <c r="C236" i="34"/>
  <c r="J236" i="34" s="1"/>
  <c r="D236" i="34"/>
  <c r="I586" i="33"/>
  <c r="E586" i="33" s="1"/>
  <c r="M549" i="33"/>
  <c r="E549" i="33" s="1"/>
  <c r="F276" i="33" l="1"/>
  <c r="C275" i="34"/>
  <c r="J275" i="34" s="1"/>
  <c r="D275" i="34"/>
  <c r="F269" i="33"/>
  <c r="C268" i="34"/>
  <c r="J268" i="34" s="1"/>
  <c r="D268" i="34"/>
  <c r="F280" i="33"/>
  <c r="C279" i="34"/>
  <c r="J279" i="34" s="1"/>
  <c r="D279" i="34"/>
  <c r="F275" i="33"/>
  <c r="D274" i="34"/>
  <c r="C274" i="34"/>
  <c r="J274" i="34" s="1"/>
  <c r="F268" i="33"/>
  <c r="C267" i="34"/>
  <c r="J267" i="34" s="1"/>
  <c r="D267" i="34"/>
  <c r="F279" i="33"/>
  <c r="D278" i="34"/>
  <c r="C278" i="34"/>
  <c r="J278" i="34" s="1"/>
  <c r="F273" i="33"/>
  <c r="C272" i="34"/>
  <c r="J272" i="34" s="1"/>
  <c r="D272" i="34"/>
  <c r="F266" i="33"/>
  <c r="C265" i="34"/>
  <c r="J265" i="34" s="1"/>
  <c r="D265" i="34"/>
  <c r="F277" i="33"/>
  <c r="C276" i="34"/>
  <c r="J276" i="34" s="1"/>
  <c r="D276" i="34"/>
  <c r="F272" i="33"/>
  <c r="C271" i="34"/>
  <c r="J271" i="34" s="1"/>
  <c r="D271" i="34"/>
  <c r="F265" i="33"/>
  <c r="C264" i="34"/>
  <c r="J264" i="34" s="1"/>
  <c r="D264" i="34"/>
  <c r="F485" i="33"/>
  <c r="D461" i="34"/>
  <c r="F512" i="33"/>
  <c r="C461" i="34"/>
  <c r="J461" i="34" s="1"/>
  <c r="F511" i="33"/>
  <c r="D460" i="34"/>
  <c r="C460" i="34"/>
  <c r="J460" i="34" s="1"/>
  <c r="F161" i="33"/>
  <c r="I510" i="33"/>
  <c r="E510" i="33" s="1"/>
  <c r="D458" i="34"/>
  <c r="F509" i="33"/>
  <c r="C458" i="34"/>
  <c r="J458" i="34" s="1"/>
  <c r="D457" i="34"/>
  <c r="F508" i="33"/>
  <c r="C457" i="34"/>
  <c r="J457" i="34" s="1"/>
  <c r="D455" i="34"/>
  <c r="F506" i="33"/>
  <c r="C455" i="34"/>
  <c r="J455" i="34" s="1"/>
  <c r="C150" i="34"/>
  <c r="J150" i="34" s="1"/>
  <c r="D447" i="34"/>
  <c r="F498" i="33"/>
  <c r="C447" i="34"/>
  <c r="J447" i="34" s="1"/>
  <c r="C434" i="34"/>
  <c r="J434" i="34" s="1"/>
  <c r="D446" i="34"/>
  <c r="C446" i="34"/>
  <c r="J446" i="34" s="1"/>
  <c r="F497" i="33"/>
  <c r="D445" i="34"/>
  <c r="F496" i="33"/>
  <c r="C445" i="34"/>
  <c r="J445" i="34" s="1"/>
  <c r="D299" i="34"/>
  <c r="C299" i="34"/>
  <c r="J299" i="34" s="1"/>
  <c r="C440" i="34"/>
  <c r="J440" i="34" s="1"/>
  <c r="D440" i="34"/>
  <c r="F343" i="33"/>
  <c r="D160" i="34"/>
  <c r="E544" i="33"/>
  <c r="F544" i="33" s="1"/>
  <c r="C426" i="34"/>
  <c r="J426" i="34" s="1"/>
  <c r="D426" i="34"/>
  <c r="I479" i="33"/>
  <c r="E479" i="33" s="1"/>
  <c r="D411" i="34"/>
  <c r="C424" i="34"/>
  <c r="J424" i="34" s="1"/>
  <c r="D424" i="34"/>
  <c r="C427" i="34"/>
  <c r="J427" i="34" s="1"/>
  <c r="D427" i="34"/>
  <c r="D150" i="34"/>
  <c r="F99" i="33"/>
  <c r="D298" i="34"/>
  <c r="C298" i="34"/>
  <c r="J298" i="34" s="1"/>
  <c r="C149" i="34"/>
  <c r="J149" i="34" s="1"/>
  <c r="D149" i="34"/>
  <c r="F150" i="33"/>
  <c r="F532" i="33"/>
  <c r="D476" i="34"/>
  <c r="C476" i="34"/>
  <c r="J476" i="34" s="1"/>
  <c r="D340" i="34"/>
  <c r="F378" i="33"/>
  <c r="C340" i="34"/>
  <c r="J340" i="34" s="1"/>
  <c r="F33" i="33"/>
  <c r="D35" i="34"/>
  <c r="C35" i="34"/>
  <c r="J35" i="34" s="1"/>
  <c r="F543" i="33"/>
  <c r="C485" i="34"/>
  <c r="J485" i="34" s="1"/>
  <c r="D485" i="34"/>
  <c r="F377" i="33"/>
  <c r="C339" i="34"/>
  <c r="J339" i="34" s="1"/>
  <c r="D339" i="34"/>
  <c r="C98" i="34"/>
  <c r="J98" i="34" s="1"/>
  <c r="F477" i="33"/>
  <c r="C433" i="34"/>
  <c r="J433" i="34" s="1"/>
  <c r="F484" i="33"/>
  <c r="F483" i="33"/>
  <c r="C432" i="34"/>
  <c r="J432" i="34" s="1"/>
  <c r="C431" i="34"/>
  <c r="J431" i="34" s="1"/>
  <c r="F482" i="33"/>
  <c r="F481" i="33"/>
  <c r="C430" i="34"/>
  <c r="J430" i="34" s="1"/>
  <c r="F475" i="33"/>
  <c r="F480" i="33"/>
  <c r="C429" i="34"/>
  <c r="J429" i="34" s="1"/>
  <c r="F478" i="33"/>
  <c r="F476" i="33"/>
  <c r="C425" i="34"/>
  <c r="J425" i="34" s="1"/>
  <c r="C411" i="34"/>
  <c r="J411" i="34" s="1"/>
  <c r="F462" i="33"/>
  <c r="F549" i="33"/>
  <c r="D491" i="34"/>
  <c r="C491" i="34"/>
  <c r="J491" i="34" s="1"/>
  <c r="C520" i="34"/>
  <c r="J520" i="34" s="1"/>
  <c r="D520" i="34"/>
  <c r="F586" i="33"/>
  <c r="J490" i="34"/>
  <c r="I394" i="33"/>
  <c r="E394" i="33" s="1"/>
  <c r="Q294" i="33" s="1"/>
  <c r="E294" i="33" s="1"/>
  <c r="F294" i="33" l="1"/>
  <c r="D293" i="34"/>
  <c r="C293" i="34"/>
  <c r="J293" i="34" s="1"/>
  <c r="C486" i="34"/>
  <c r="J486" i="34" s="1"/>
  <c r="C459" i="34"/>
  <c r="J459" i="34" s="1"/>
  <c r="D459" i="34"/>
  <c r="F510" i="33"/>
  <c r="D486" i="34"/>
  <c r="F479" i="33"/>
  <c r="D428" i="34"/>
  <c r="C428" i="34"/>
  <c r="J428" i="34" s="1"/>
  <c r="I398" i="33"/>
  <c r="E398" i="33" s="1"/>
  <c r="Q290" i="33" s="1"/>
  <c r="E290" i="33" s="1"/>
  <c r="M402" i="33"/>
  <c r="E402" i="33" s="1"/>
  <c r="Q286" i="33" s="1"/>
  <c r="E286" i="33" s="1"/>
  <c r="M49" i="33"/>
  <c r="E49" i="33" s="1"/>
  <c r="M424" i="33" s="1"/>
  <c r="E424" i="33" s="1"/>
  <c r="M192" i="33"/>
  <c r="M176" i="33"/>
  <c r="E176" i="33" s="1"/>
  <c r="I278" i="33" s="1"/>
  <c r="E278" i="33" s="1"/>
  <c r="F394" i="33"/>
  <c r="M113" i="33"/>
  <c r="E113" i="33" s="1"/>
  <c r="I563" i="33"/>
  <c r="E563" i="33" s="1"/>
  <c r="F290" i="33" l="1"/>
  <c r="D289" i="34"/>
  <c r="C289" i="34"/>
  <c r="J289" i="34" s="1"/>
  <c r="F286" i="33"/>
  <c r="D285" i="34"/>
  <c r="C285" i="34"/>
  <c r="J285" i="34" s="1"/>
  <c r="F424" i="33"/>
  <c r="C382" i="34"/>
  <c r="J382" i="34" s="1"/>
  <c r="D382" i="34"/>
  <c r="F278" i="33"/>
  <c r="C277" i="34"/>
  <c r="J277" i="34" s="1"/>
  <c r="D277" i="34"/>
  <c r="D499" i="34"/>
  <c r="C499" i="34"/>
  <c r="J499" i="34" s="1"/>
  <c r="C50" i="34"/>
  <c r="J50" i="34" s="1"/>
  <c r="D50" i="34"/>
  <c r="D112" i="34"/>
  <c r="C112" i="34"/>
  <c r="J112" i="34" s="1"/>
  <c r="C357" i="34"/>
  <c r="J357" i="34" s="1"/>
  <c r="D357" i="34"/>
  <c r="D175" i="34"/>
  <c r="C175" i="34"/>
  <c r="J175" i="34" s="1"/>
  <c r="F398" i="33"/>
  <c r="C353" i="34"/>
  <c r="J353" i="34" s="1"/>
  <c r="D353" i="34"/>
  <c r="M45" i="33"/>
  <c r="E45" i="33" s="1"/>
  <c r="M109" i="33"/>
  <c r="E109" i="33" s="1"/>
  <c r="F109" i="33" s="1"/>
  <c r="M188" i="33"/>
  <c r="M172" i="33"/>
  <c r="E172" i="33" s="1"/>
  <c r="I274" i="33" s="1"/>
  <c r="E274" i="33" s="1"/>
  <c r="I567" i="33"/>
  <c r="E567" i="33" s="1"/>
  <c r="F402" i="33"/>
  <c r="M184" i="33"/>
  <c r="M41" i="33"/>
  <c r="E41" i="33" s="1"/>
  <c r="M416" i="33" s="1"/>
  <c r="E416" i="33" s="1"/>
  <c r="M168" i="33"/>
  <c r="E168" i="33" s="1"/>
  <c r="I270" i="33" s="1"/>
  <c r="E270" i="33" s="1"/>
  <c r="I571" i="33"/>
  <c r="E571" i="33" s="1"/>
  <c r="M105" i="33"/>
  <c r="E105" i="33" s="1"/>
  <c r="F176" i="33"/>
  <c r="F563" i="33"/>
  <c r="I192" i="33"/>
  <c r="E192" i="33" s="1"/>
  <c r="F113" i="33"/>
  <c r="F49" i="33"/>
  <c r="I219" i="33"/>
  <c r="E219" i="33" s="1"/>
  <c r="F416" i="33" l="1"/>
  <c r="C374" i="34"/>
  <c r="J374" i="34" s="1"/>
  <c r="D374" i="34"/>
  <c r="F45" i="33"/>
  <c r="M420" i="33"/>
  <c r="E420" i="33" s="1"/>
  <c r="F274" i="33"/>
  <c r="C273" i="34"/>
  <c r="J273" i="34" s="1"/>
  <c r="D273" i="34"/>
  <c r="F270" i="33"/>
  <c r="C269" i="34"/>
  <c r="J269" i="34" s="1"/>
  <c r="D269" i="34"/>
  <c r="I215" i="33"/>
  <c r="E215" i="33" s="1"/>
  <c r="D214" i="34" s="1"/>
  <c r="I188" i="33"/>
  <c r="E188" i="33" s="1"/>
  <c r="C218" i="34"/>
  <c r="J218" i="34" s="1"/>
  <c r="D218" i="34"/>
  <c r="D167" i="34"/>
  <c r="C167" i="34"/>
  <c r="J167" i="34" s="1"/>
  <c r="D104" i="34"/>
  <c r="C104" i="34"/>
  <c r="J104" i="34" s="1"/>
  <c r="D191" i="34"/>
  <c r="C191" i="34"/>
  <c r="J191" i="34" s="1"/>
  <c r="C42" i="34"/>
  <c r="J42" i="34" s="1"/>
  <c r="D42" i="34"/>
  <c r="D108" i="34"/>
  <c r="C108" i="34"/>
  <c r="J108" i="34" s="1"/>
  <c r="F567" i="33"/>
  <c r="D503" i="34"/>
  <c r="C503" i="34"/>
  <c r="J503" i="34" s="1"/>
  <c r="C46" i="34"/>
  <c r="J46" i="34" s="1"/>
  <c r="D46" i="34"/>
  <c r="D507" i="34"/>
  <c r="C507" i="34"/>
  <c r="J507" i="34" s="1"/>
  <c r="D171" i="34"/>
  <c r="C171" i="34"/>
  <c r="J171" i="34" s="1"/>
  <c r="F172" i="33"/>
  <c r="F571" i="33"/>
  <c r="F168" i="33"/>
  <c r="F41" i="33"/>
  <c r="I211" i="33"/>
  <c r="E211" i="33" s="1"/>
  <c r="F105" i="33"/>
  <c r="I184" i="33"/>
  <c r="E184" i="33" s="1"/>
  <c r="F192" i="33"/>
  <c r="F219" i="33"/>
  <c r="I401" i="33"/>
  <c r="E401" i="33" s="1"/>
  <c r="Q287" i="33" s="1"/>
  <c r="E287" i="33" s="1"/>
  <c r="F287" i="33" l="1"/>
  <c r="C286" i="34"/>
  <c r="J286" i="34" s="1"/>
  <c r="D286" i="34"/>
  <c r="F420" i="33"/>
  <c r="C378" i="34"/>
  <c r="J378" i="34" s="1"/>
  <c r="D378" i="34"/>
  <c r="C214" i="34"/>
  <c r="J214" i="34" s="1"/>
  <c r="F215" i="33"/>
  <c r="D187" i="34"/>
  <c r="F188" i="33"/>
  <c r="C187" i="34"/>
  <c r="J187" i="34" s="1"/>
  <c r="C210" i="34"/>
  <c r="J210" i="34" s="1"/>
  <c r="D210" i="34"/>
  <c r="D183" i="34"/>
  <c r="C183" i="34"/>
  <c r="J183" i="34" s="1"/>
  <c r="I405" i="33"/>
  <c r="E405" i="33" s="1"/>
  <c r="C356" i="34"/>
  <c r="J356" i="34" s="1"/>
  <c r="D356" i="34"/>
  <c r="F184" i="33"/>
  <c r="F211" i="33"/>
  <c r="F401" i="33"/>
  <c r="M169" i="33"/>
  <c r="E169" i="33" s="1"/>
  <c r="I271" i="33" s="1"/>
  <c r="E271" i="33" s="1"/>
  <c r="M185" i="33"/>
  <c r="M42" i="33"/>
  <c r="E42" i="33" s="1"/>
  <c r="M417" i="33" s="1"/>
  <c r="E417" i="33" s="1"/>
  <c r="I570" i="33"/>
  <c r="E570" i="33" s="1"/>
  <c r="M106" i="33"/>
  <c r="E106" i="33" s="1"/>
  <c r="I574" i="33" l="1"/>
  <c r="E574" i="33" s="1"/>
  <c r="C510" i="34" s="1"/>
  <c r="J510" i="34" s="1"/>
  <c r="Q283" i="33"/>
  <c r="E283" i="33" s="1"/>
  <c r="F417" i="33"/>
  <c r="D375" i="34"/>
  <c r="C375" i="34"/>
  <c r="J375" i="34" s="1"/>
  <c r="F271" i="33"/>
  <c r="D270" i="34"/>
  <c r="C270" i="34"/>
  <c r="J270" i="34" s="1"/>
  <c r="M38" i="33"/>
  <c r="E38" i="33" s="1"/>
  <c r="M102" i="33"/>
  <c r="E102" i="33" s="1"/>
  <c r="D101" i="34" s="1"/>
  <c r="C105" i="34"/>
  <c r="J105" i="34" s="1"/>
  <c r="D105" i="34"/>
  <c r="C168" i="34"/>
  <c r="J168" i="34" s="1"/>
  <c r="D168" i="34"/>
  <c r="M165" i="33"/>
  <c r="E165" i="33" s="1"/>
  <c r="F405" i="33"/>
  <c r="C506" i="34"/>
  <c r="J506" i="34" s="1"/>
  <c r="D506" i="34"/>
  <c r="M181" i="33"/>
  <c r="D43" i="34"/>
  <c r="C43" i="34"/>
  <c r="J43" i="34" s="1"/>
  <c r="C360" i="34"/>
  <c r="J360" i="34" s="1"/>
  <c r="D360" i="34"/>
  <c r="F42" i="33"/>
  <c r="I212" i="33"/>
  <c r="E212" i="33" s="1"/>
  <c r="I185" i="33"/>
  <c r="E185" i="33" s="1"/>
  <c r="F106" i="33"/>
  <c r="F169" i="33"/>
  <c r="F570" i="33"/>
  <c r="F283" i="33" l="1"/>
  <c r="C282" i="34"/>
  <c r="J282" i="34" s="1"/>
  <c r="D282" i="34"/>
  <c r="F574" i="33"/>
  <c r="D510" i="34"/>
  <c r="D39" i="34"/>
  <c r="M413" i="33"/>
  <c r="E413" i="33" s="1"/>
  <c r="F165" i="33"/>
  <c r="I267" i="33"/>
  <c r="E267" i="33" s="1"/>
  <c r="I181" i="33"/>
  <c r="E181" i="33" s="1"/>
  <c r="F181" i="33" s="1"/>
  <c r="C101" i="34"/>
  <c r="J101" i="34" s="1"/>
  <c r="I208" i="33"/>
  <c r="E208" i="33" s="1"/>
  <c r="F208" i="33" s="1"/>
  <c r="F38" i="33"/>
  <c r="C39" i="34"/>
  <c r="J39" i="34" s="1"/>
  <c r="F102" i="33"/>
  <c r="C211" i="34"/>
  <c r="J211" i="34" s="1"/>
  <c r="D211" i="34"/>
  <c r="C164" i="34"/>
  <c r="J164" i="34" s="1"/>
  <c r="D164" i="34"/>
  <c r="C184" i="34"/>
  <c r="J184" i="34" s="1"/>
  <c r="D184" i="34"/>
  <c r="F212" i="33"/>
  <c r="F185" i="33"/>
  <c r="F413" i="33" l="1"/>
  <c r="D371" i="34"/>
  <c r="C371" i="34"/>
  <c r="J371" i="34" s="1"/>
  <c r="F267" i="33"/>
  <c r="D266" i="34"/>
  <c r="C266" i="34"/>
  <c r="J266" i="34" s="1"/>
  <c r="D207" i="34"/>
  <c r="C207" i="34"/>
  <c r="J207" i="34" s="1"/>
  <c r="C180" i="34"/>
  <c r="J180" i="34" s="1"/>
  <c r="D180" i="34"/>
  <c r="E264" i="33"/>
  <c r="F264" i="33" s="1"/>
  <c r="C263" i="34" l="1"/>
  <c r="J263" i="34" s="1"/>
  <c r="D263" i="34"/>
</calcChain>
</file>

<file path=xl/comments1.xml><?xml version="1.0" encoding="utf-8"?>
<comments xmlns="http://schemas.openxmlformats.org/spreadsheetml/2006/main">
  <authors>
    <author>Eduardo Miranda</author>
  </authors>
  <commentList>
    <comment ref="C2" authorId="0" shapeId="0">
      <text>
        <r>
          <rPr>
            <b/>
            <sz val="9"/>
            <color indexed="81"/>
            <rFont val="Tahoma"/>
            <family val="2"/>
          </rPr>
          <t xml:space="preserve">Multiplo por el cual se valora el valor de la materia prima en base al tier,
</t>
        </r>
      </text>
    </comment>
    <comment ref="N3" authorId="0" shapeId="0">
      <text>
        <r>
          <rPr>
            <b/>
            <sz val="9"/>
            <color indexed="81"/>
            <rFont val="Tahoma"/>
            <charset val="1"/>
          </rPr>
          <t>Este valor define el multiplo de los tiers!
Valores que modifica:
- requisitos 
- stats
- valor de venta</t>
        </r>
      </text>
    </comment>
    <comment ref="C10" authorId="0" shapeId="0">
      <text>
        <r>
          <rPr>
            <b/>
            <sz val="9"/>
            <color indexed="81"/>
            <rFont val="Tahoma"/>
            <family val="2"/>
          </rPr>
          <t>Tiempo en el que se tarda en recolectar 1 stack</t>
        </r>
      </text>
    </comment>
    <comment ref="C11" authorId="0" shapeId="0">
      <text>
        <r>
          <rPr>
            <b/>
            <sz val="9"/>
            <color indexed="81"/>
            <rFont val="Tahoma"/>
            <family val="2"/>
          </rPr>
          <t>el 64 representa el Stack</t>
        </r>
      </text>
    </comment>
    <comment ref="D12" authorId="0" shapeId="0">
      <text>
        <r>
          <rPr>
            <b/>
            <sz val="9"/>
            <color indexed="81"/>
            <rFont val="Tahoma"/>
            <family val="2"/>
          </rPr>
          <t xml:space="preserve">La formula se expresa como:
30m = 3800 Almakos
(x)m  = (y)Almakos
x = Minutos de extraccion  </t>
        </r>
        <r>
          <rPr>
            <sz val="9"/>
            <color indexed="81"/>
            <rFont val="Tahoma"/>
            <family val="2"/>
          </rPr>
          <t xml:space="preserve">
</t>
        </r>
      </text>
    </comment>
    <comment ref="B13" authorId="0" shapeId="0">
      <text>
        <r>
          <rPr>
            <b/>
            <sz val="9"/>
            <color indexed="81"/>
            <rFont val="Tahoma"/>
            <family val="2"/>
          </rPr>
          <t xml:space="preserve">Tomado del costo total
del set comun,
</t>
        </r>
      </text>
    </comment>
    <comment ref="D13" authorId="0" shapeId="0">
      <text>
        <r>
          <rPr>
            <b/>
            <sz val="9"/>
            <color indexed="81"/>
            <rFont val="Tahoma"/>
            <family val="2"/>
          </rPr>
          <t>COBBLESTONE</t>
        </r>
      </text>
    </comment>
    <comment ref="F13" authorId="0" shapeId="0">
      <text>
        <r>
          <rPr>
            <b/>
            <sz val="9"/>
            <color indexed="81"/>
            <rFont val="Tahoma"/>
            <family val="2"/>
          </rPr>
          <t>TRONCO OAK</t>
        </r>
      </text>
    </comment>
    <comment ref="H13" authorId="0" shapeId="0">
      <text>
        <r>
          <rPr>
            <sz val="9"/>
            <color indexed="81"/>
            <rFont val="Tahoma"/>
            <family val="2"/>
          </rPr>
          <t xml:space="preserve">POTATO
</t>
        </r>
      </text>
    </comment>
    <comment ref="J13" authorId="0" shapeId="0">
      <text>
        <r>
          <rPr>
            <b/>
            <sz val="9"/>
            <color indexed="81"/>
            <rFont val="Tahoma"/>
            <family val="2"/>
          </rPr>
          <t>CHICKEN</t>
        </r>
      </text>
    </comment>
    <comment ref="B14" authorId="0" shapeId="0">
      <text>
        <r>
          <rPr>
            <b/>
            <sz val="9"/>
            <color indexed="81"/>
            <rFont val="Tahoma"/>
            <family val="2"/>
          </rPr>
          <t>Tiempo estimado
en el que se pretende
recolectar ese dinero</t>
        </r>
      </text>
    </comment>
    <comment ref="B16" authorId="0" shapeId="0">
      <text>
        <r>
          <rPr>
            <b/>
            <sz val="9"/>
            <color indexed="81"/>
            <rFont val="Tahoma"/>
            <family val="2"/>
          </rPr>
          <t xml:space="preserve">ESTE ES EL VALOR INICIAL DE TODA LA ECONOMIA,
</t>
        </r>
      </text>
    </comment>
    <comment ref="C17" authorId="0" shapeId="0">
      <text>
        <r>
          <rPr>
            <b/>
            <sz val="9"/>
            <color indexed="81"/>
            <rFont val="Tahoma"/>
            <family val="2"/>
          </rPr>
          <t>Representa la cantidad de acciones que podra realizar cada profession y que se otorgaran almakos por cada una de ellas,</t>
        </r>
      </text>
    </comment>
  </commentList>
</comments>
</file>

<file path=xl/comments2.xml><?xml version="1.0" encoding="utf-8"?>
<comments xmlns="http://schemas.openxmlformats.org/spreadsheetml/2006/main">
  <authors>
    <author>Eduardo Miranda</author>
  </authors>
  <commentList>
    <comment ref="C1" authorId="0" shapeId="0">
      <text>
        <r>
          <rPr>
            <sz val="9"/>
            <color indexed="81"/>
            <rFont val="Tahoma"/>
            <family val="2"/>
          </rPr>
          <t>Esto se refiere a la cantidad de articulos
Que se obtiene al craftear</t>
        </r>
      </text>
    </comment>
    <comment ref="G1" authorId="0" shapeId="0">
      <text>
        <r>
          <rPr>
            <b/>
            <sz val="9"/>
            <color indexed="81"/>
            <rFont val="Tahoma"/>
            <family val="2"/>
          </rPr>
          <t>Aquí se modifican dos
valores "ID" y "Cantidad"
Ejemplo:
Para el pico de diamante
se requieren:
- 2 palos de madera
- 3 Diamantes
Por lo tanto en
"Primer Material"
El ID sera "280" (palo)
y en cantidad "2"
"Segundo material"
El ID sera "264" (diamante)
y la cantidad "3"
Mira el ejemplo en la celda B278</t>
        </r>
      </text>
    </comment>
  </commentList>
</comments>
</file>

<file path=xl/comments3.xml><?xml version="1.0" encoding="utf-8"?>
<comments xmlns="http://schemas.openxmlformats.org/spreadsheetml/2006/main">
  <authors>
    <author>Eduardo Miranda</author>
  </authors>
  <commentList>
    <comment ref="C1" authorId="0" shapeId="0">
      <text>
        <r>
          <rPr>
            <sz val="9"/>
            <color indexed="81"/>
            <rFont val="Tahoma"/>
            <family val="2"/>
          </rPr>
          <t>Esto se refiere a la cantidad de articulos
Que se obtiene al craftear</t>
        </r>
      </text>
    </comment>
  </commentList>
</comments>
</file>

<file path=xl/sharedStrings.xml><?xml version="1.0" encoding="utf-8"?>
<sst xmlns="http://schemas.openxmlformats.org/spreadsheetml/2006/main" count="9376" uniqueCount="1201">
  <si>
    <t>PIEL</t>
  </si>
  <si>
    <t>CHAIN</t>
  </si>
  <si>
    <t>IRON</t>
  </si>
  <si>
    <t>GOLD</t>
  </si>
  <si>
    <t>DIAMOND</t>
  </si>
  <si>
    <t>COSTO</t>
  </si>
  <si>
    <t>ARMA</t>
  </si>
  <si>
    <t>MADERA</t>
  </si>
  <si>
    <t>PIEDRA</t>
  </si>
  <si>
    <t>HELMET</t>
  </si>
  <si>
    <t>CHESPLATE</t>
  </si>
  <si>
    <t>LEGGINS</t>
  </si>
  <si>
    <t>BOTS</t>
  </si>
  <si>
    <t>ARMADURA PIEZA</t>
  </si>
  <si>
    <t>DIAMIND</t>
  </si>
  <si>
    <t>MATERIAL</t>
  </si>
  <si>
    <t>ADICIONALES</t>
  </si>
  <si>
    <t>SOCKET</t>
  </si>
  <si>
    <t>ENCANTAMIENTO</t>
  </si>
  <si>
    <t>TIER</t>
  </si>
  <si>
    <t>ATRIBUTOS</t>
  </si>
  <si>
    <t>DISTANCIA</t>
  </si>
  <si>
    <t>identificationColor: DARK_RED</t>
  </si>
  <si>
    <t>enchantments:</t>
  </si>
  <si>
    <t xml:space="preserve">  safeBaseEnchantments: true</t>
  </si>
  <si>
    <t xml:space="preserve">  safeBonusEnchantments: true</t>
  </si>
  <si>
    <t xml:space="preserve">  allowHighBaseEnchantments: true</t>
  </si>
  <si>
    <t xml:space="preserve">  bonusEnchantments: []</t>
  </si>
  <si>
    <t>lore:</t>
  </si>
  <si>
    <t xml:space="preserve">  baseLore:</t>
  </si>
  <si>
    <t xml:space="preserve">  - ''</t>
  </si>
  <si>
    <t xml:space="preserve">  - '&amp;5✙ &amp;d[Requisitos]&amp;5 ✙'</t>
  </si>
  <si>
    <t xml:space="preserve">  - '&amp;3۞ &amp;e[Atributos] &amp;3۞'</t>
  </si>
  <si>
    <t xml:space="preserve">  bonusLore:</t>
  </si>
  <si>
    <t>chanceToDropOnMonsterDeath: 1.0</t>
  </si>
  <si>
    <t>COMUN</t>
  </si>
  <si>
    <t>Comun</t>
  </si>
  <si>
    <t xml:space="preserve">  allowHighBonusEnchantments: false</t>
  </si>
  <si>
    <t>ARMAS</t>
  </si>
  <si>
    <t>CORE</t>
  </si>
  <si>
    <t>BONUS ENCHANT MIN</t>
  </si>
  <si>
    <t>BONUS ENCHANT MAX</t>
  </si>
  <si>
    <t>BONUS LORE MIN</t>
  </si>
  <si>
    <t>BONUS LORE MAX</t>
  </si>
  <si>
    <t>LORE MAX</t>
  </si>
  <si>
    <t>DURABILIDAD MIN</t>
  </si>
  <si>
    <t>DURABILIDAD MAX</t>
  </si>
  <si>
    <t>CHANCE SPAWN</t>
  </si>
  <si>
    <t>CHANCE IDENTIFY</t>
  </si>
  <si>
    <t>REQUISITOS</t>
  </si>
  <si>
    <t>NIVEL</t>
  </si>
  <si>
    <t>MAGICO</t>
  </si>
  <si>
    <t>RARO</t>
  </si>
  <si>
    <t>LEGENDARIO</t>
  </si>
  <si>
    <t>ANCESTRAL</t>
  </si>
  <si>
    <t>VALOR</t>
  </si>
  <si>
    <t>MAX LORE</t>
  </si>
  <si>
    <t>Vitalidad</t>
  </si>
  <si>
    <t>Agilidad</t>
  </si>
  <si>
    <t>Fuerza</t>
  </si>
  <si>
    <t>ENCANTAMIENTOS</t>
  </si>
  <si>
    <t>BLOQUES</t>
  </si>
  <si>
    <t>MULTIPLO</t>
  </si>
  <si>
    <t>CASCOS</t>
  </si>
  <si>
    <t>CHESTPLATE</t>
  </si>
  <si>
    <t>NIVEL MAXIMO</t>
  </si>
  <si>
    <t>BOOTS</t>
  </si>
  <si>
    <t>OPTIMAL DISTANCE</t>
  </si>
  <si>
    <t>MAX DISTANCE</t>
  </si>
  <si>
    <t>BLOCK</t>
  </si>
  <si>
    <t>MULTIPLO A LA REGLA</t>
  </si>
  <si>
    <t>minimumDurability: 0.85</t>
  </si>
  <si>
    <t>maximumDurability: 0.9</t>
  </si>
  <si>
    <t>VALOR DE ENCANTAMINETO MIN</t>
  </si>
  <si>
    <t>VALOR DE ENCANTAMINETO MAX</t>
  </si>
  <si>
    <t>SOCKET MIN</t>
  </si>
  <si>
    <t>SOCKET MAX</t>
  </si>
  <si>
    <t>MEDIA ATRIBUTOS</t>
  </si>
  <si>
    <t>ATRIBUTO</t>
  </si>
  <si>
    <t>chanceToHaveSockets: 0.5</t>
  </si>
  <si>
    <t>ANUNCIAR</t>
  </si>
  <si>
    <t>false</t>
  </si>
  <si>
    <t>RANGO</t>
  </si>
  <si>
    <t>HIERRO</t>
  </si>
  <si>
    <t>ORO</t>
  </si>
  <si>
    <t>DIAMANTE</t>
  </si>
  <si>
    <t>COTA</t>
  </si>
  <si>
    <t>PIEL/MADERA</t>
  </si>
  <si>
    <t>CHAIN/PIEDRA</t>
  </si>
  <si>
    <t>COLOR</t>
  </si>
  <si>
    <t>GRAY</t>
  </si>
  <si>
    <t xml:space="preserve">  baseEnchantments: </t>
  </si>
  <si>
    <t xml:space="preserve">  baseEnchantments:</t>
  </si>
  <si>
    <t>MAESTRIAS</t>
  </si>
  <si>
    <t>Resistencia</t>
  </si>
  <si>
    <t>Asesinato</t>
  </si>
  <si>
    <t>Hechizeria</t>
  </si>
  <si>
    <t>BLUE</t>
  </si>
  <si>
    <t>NIVEL MAXIMO TIER</t>
  </si>
  <si>
    <t>MULTIPLO LVL TIER</t>
  </si>
  <si>
    <t>Magico</t>
  </si>
  <si>
    <t xml:space="preserve">  bonusEnchantments:</t>
  </si>
  <si>
    <t>Raro</t>
  </si>
  <si>
    <t>YELLOW</t>
  </si>
  <si>
    <t>Legendario</t>
  </si>
  <si>
    <t>Ancestral</t>
  </si>
  <si>
    <t>DARK_PURPLE</t>
  </si>
  <si>
    <t>true</t>
  </si>
  <si>
    <t>comun</t>
  </si>
  <si>
    <t>magico</t>
  </si>
  <si>
    <t>raro</t>
  </si>
  <si>
    <t>legendario</t>
  </si>
  <si>
    <t>ancestral</t>
  </si>
  <si>
    <t>CASCO</t>
  </si>
  <si>
    <t>PETO</t>
  </si>
  <si>
    <t>PANTALON</t>
  </si>
  <si>
    <t>BOTAS</t>
  </si>
  <si>
    <t>MADERA/PIEL</t>
  </si>
  <si>
    <t>PIEDRA/CHAIN</t>
  </si>
  <si>
    <t>MULTIPLO ATRIBUTOS</t>
  </si>
  <si>
    <t>MATERIALES</t>
  </si>
  <si>
    <t>COSTO SETS</t>
  </si>
  <si>
    <t>piedra</t>
  </si>
  <si>
    <t>carbon</t>
  </si>
  <si>
    <t>arena</t>
  </si>
  <si>
    <t>nether, obsidian, diamond</t>
  </si>
  <si>
    <t>cuarzo, glowstone, gold, emerald</t>
  </si>
  <si>
    <t>arcilla, redstone, redsand, iron</t>
  </si>
  <si>
    <t>Oak</t>
  </si>
  <si>
    <t>Spruce</t>
  </si>
  <si>
    <t>Birch</t>
  </si>
  <si>
    <t>Jungle</t>
  </si>
  <si>
    <t>Acarcia</t>
  </si>
  <si>
    <t>DarkOak</t>
  </si>
  <si>
    <t>Potato</t>
  </si>
  <si>
    <t>Chicken</t>
  </si>
  <si>
    <t>Melon</t>
  </si>
  <si>
    <t>Fish</t>
  </si>
  <si>
    <t>Steack</t>
  </si>
  <si>
    <t>Carrot, Cane</t>
  </si>
  <si>
    <t>Wheat</t>
  </si>
  <si>
    <t>Porkchop</t>
  </si>
  <si>
    <t>Beetroot</t>
  </si>
  <si>
    <t>Rabbit</t>
  </si>
  <si>
    <t>Pumpkin, Mushroom</t>
  </si>
  <si>
    <t>Mutton</t>
  </si>
  <si>
    <t>MATERIA PRIMA</t>
  </si>
  <si>
    <t>TIERS</t>
  </si>
  <si>
    <t>MINUTOS</t>
  </si>
  <si>
    <t>CANTIDAD</t>
  </si>
  <si>
    <t>CARPINTERIA</t>
  </si>
  <si>
    <t>ALQUIMIA</t>
  </si>
  <si>
    <t>MINERIA</t>
  </si>
  <si>
    <t>BREACK</t>
  </si>
  <si>
    <t>PLACE</t>
  </si>
  <si>
    <t>KILL</t>
  </si>
  <si>
    <t>CRAFT</t>
  </si>
  <si>
    <t>SMELT</t>
  </si>
  <si>
    <t>FISH</t>
  </si>
  <si>
    <t>ALMAKOS</t>
  </si>
  <si>
    <t>GANADERIA</t>
  </si>
  <si>
    <t>precio stack</t>
  </si>
  <si>
    <t>precio UNI,</t>
  </si>
  <si>
    <t>EXTRACCION DE MATERIA PRIMA</t>
  </si>
  <si>
    <t>MULTIPLO DE TIERS Y PRECIO TOTAL DE CADA ARTICULO</t>
  </si>
  <si>
    <t>PRECIO TOTAL DE CADA SET</t>
  </si>
  <si>
    <t>INFO</t>
  </si>
  <si>
    <t>FORMULAS COSTO REAL (ALMAKOS) DEL PRIMER TIER DE CADA PROFESION "PIEDRA, OAK, POTATO, CHICKEN"</t>
  </si>
  <si>
    <t>COBBLESTONE</t>
  </si>
  <si>
    <t>BASE DE LA ECONOMIA</t>
  </si>
  <si>
    <t>LEATHER</t>
  </si>
  <si>
    <t>VALOR DEL MATERIAL DE TIER</t>
  </si>
  <si>
    <t>CARBON</t>
  </si>
  <si>
    <t>ARENA</t>
  </si>
  <si>
    <t>OAK LOG</t>
  </si>
  <si>
    <t>SPRUCE LOG</t>
  </si>
  <si>
    <t>BIRCH LOG</t>
  </si>
  <si>
    <t>JUNGLE LOG</t>
  </si>
  <si>
    <t>ACARCIA LOG</t>
  </si>
  <si>
    <t>DARKOAK LOG</t>
  </si>
  <si>
    <t>REDSTONE DUST</t>
  </si>
  <si>
    <t>ARCILLA</t>
  </si>
  <si>
    <t>QUARZO</t>
  </si>
  <si>
    <t>REDSAND</t>
  </si>
  <si>
    <t>EMERALD</t>
  </si>
  <si>
    <t>OBSIDIAN</t>
  </si>
  <si>
    <t>POTATO</t>
  </si>
  <si>
    <t>MELON</t>
  </si>
  <si>
    <t>CARROT</t>
  </si>
  <si>
    <t>CANE</t>
  </si>
  <si>
    <t>WHEAT</t>
  </si>
  <si>
    <t>BEETROOT</t>
  </si>
  <si>
    <t>PUMPKIN</t>
  </si>
  <si>
    <t>MUSHROOM</t>
  </si>
  <si>
    <t>CHICKEN</t>
  </si>
  <si>
    <t>PORKCHOP</t>
  </si>
  <si>
    <t>RABBIT</t>
  </si>
  <si>
    <t>STEACK</t>
  </si>
  <si>
    <t>ALMAKOS REALES DE TODA LA MATERIA PRIMA</t>
  </si>
  <si>
    <t>PRECIO DE CADA ARTICULO</t>
  </si>
  <si>
    <t>EXPERIENCIA</t>
  </si>
  <si>
    <t>Oak Log</t>
  </si>
  <si>
    <t>PRECIO</t>
  </si>
  <si>
    <t>NOMBRE</t>
  </si>
  <si>
    <t>Stick</t>
  </si>
  <si>
    <t>ID</t>
  </si>
  <si>
    <t>Sand</t>
  </si>
  <si>
    <t>Glass</t>
  </si>
  <si>
    <t>Lapis Lazuli Block</t>
  </si>
  <si>
    <t>Dispenser</t>
  </si>
  <si>
    <t>Orange Wool</t>
  </si>
  <si>
    <t>Yellow Wool</t>
  </si>
  <si>
    <t>Pink Wool</t>
  </si>
  <si>
    <t>Gray Wool</t>
  </si>
  <si>
    <t>Light Gray Wool</t>
  </si>
  <si>
    <t>Cyan Wool</t>
  </si>
  <si>
    <t>Stone</t>
  </si>
  <si>
    <t>Granite</t>
  </si>
  <si>
    <t>1:1</t>
  </si>
  <si>
    <t>Polished Granite</t>
  </si>
  <si>
    <t>1:2</t>
  </si>
  <si>
    <t>Diorite</t>
  </si>
  <si>
    <t>1:3</t>
  </si>
  <si>
    <t>Polished Diorite</t>
  </si>
  <si>
    <t>1:4</t>
  </si>
  <si>
    <t>Andesite</t>
  </si>
  <si>
    <t>1:5</t>
  </si>
  <si>
    <t>Polished Andesite</t>
  </si>
  <si>
    <t>1:6</t>
  </si>
  <si>
    <t>Cobblestone</t>
  </si>
  <si>
    <t>Oak Planks</t>
  </si>
  <si>
    <t>Spruce Planks</t>
  </si>
  <si>
    <t>5:1</t>
  </si>
  <si>
    <t>Birch Planks</t>
  </si>
  <si>
    <t>5:2</t>
  </si>
  <si>
    <t>Jungle Planks</t>
  </si>
  <si>
    <t>5:3</t>
  </si>
  <si>
    <t>Acacia Planks</t>
  </si>
  <si>
    <t>5:4</t>
  </si>
  <si>
    <t>Dark Oak Planks</t>
  </si>
  <si>
    <t>5:5</t>
  </si>
  <si>
    <t>Red Sand</t>
  </si>
  <si>
    <t>12:1</t>
  </si>
  <si>
    <t>Spruce Log</t>
  </si>
  <si>
    <t>17:1</t>
  </si>
  <si>
    <t>Birch Log</t>
  </si>
  <si>
    <t>17:2</t>
  </si>
  <si>
    <t>Jungle Log</t>
  </si>
  <si>
    <t>17:3</t>
  </si>
  <si>
    <t>Sandstone</t>
  </si>
  <si>
    <t>Chiseled Sandstone</t>
  </si>
  <si>
    <t>24:1</t>
  </si>
  <si>
    <t>Smooth Sandstone</t>
  </si>
  <si>
    <t>24:2</t>
  </si>
  <si>
    <t>Powered Rail</t>
  </si>
  <si>
    <t>Detector Rail</t>
  </si>
  <si>
    <t>Sticky Piston</t>
  </si>
  <si>
    <t>Cobweb</t>
  </si>
  <si>
    <t>Piston</t>
  </si>
  <si>
    <t>Wool</t>
  </si>
  <si>
    <t>35:1</t>
  </si>
  <si>
    <t>Magenta Wool</t>
  </si>
  <si>
    <t>35:2</t>
  </si>
  <si>
    <t>Light Blue Wool</t>
  </si>
  <si>
    <t>35:3</t>
  </si>
  <si>
    <t>35:4</t>
  </si>
  <si>
    <t>Lime Wool</t>
  </si>
  <si>
    <t>35:5</t>
  </si>
  <si>
    <t>35:6</t>
  </si>
  <si>
    <t>35:7</t>
  </si>
  <si>
    <t>35:8</t>
  </si>
  <si>
    <t>35:9</t>
  </si>
  <si>
    <t>Purple Wool</t>
  </si>
  <si>
    <t>35:10</t>
  </si>
  <si>
    <t>Blue Wool</t>
  </si>
  <si>
    <t>35:11</t>
  </si>
  <si>
    <t>Brown Wool</t>
  </si>
  <si>
    <t>35:12</t>
  </si>
  <si>
    <t>Green Wool</t>
  </si>
  <si>
    <t>35:13</t>
  </si>
  <si>
    <t>Red Wool</t>
  </si>
  <si>
    <t>35:14</t>
  </si>
  <si>
    <t>Black Wool</t>
  </si>
  <si>
    <t>35:15</t>
  </si>
  <si>
    <t>Dandilion</t>
  </si>
  <si>
    <t>Poppy</t>
  </si>
  <si>
    <t>Blue Orchid</t>
  </si>
  <si>
    <t>38:1</t>
  </si>
  <si>
    <t>Allium</t>
  </si>
  <si>
    <t>38:2</t>
  </si>
  <si>
    <t>Azure Bluet</t>
  </si>
  <si>
    <t>38:3</t>
  </si>
  <si>
    <t>Red Tulip</t>
  </si>
  <si>
    <t>38:4</t>
  </si>
  <si>
    <t>Orange Tulip</t>
  </si>
  <si>
    <t>38:5</t>
  </si>
  <si>
    <t>White Tulip</t>
  </si>
  <si>
    <t>38:6</t>
  </si>
  <si>
    <t>Pink Tulip</t>
  </si>
  <si>
    <t>38:7</t>
  </si>
  <si>
    <t>Oxeye Daisy</t>
  </si>
  <si>
    <t>38:8</t>
  </si>
  <si>
    <t>Brown Mushroom</t>
  </si>
  <si>
    <t>Red Mushroom</t>
  </si>
  <si>
    <t>Block of Gold</t>
  </si>
  <si>
    <t>Block of Iron</t>
  </si>
  <si>
    <t>Stone Slab</t>
  </si>
  <si>
    <t>Sandstone Slab</t>
  </si>
  <si>
    <t>44:1</t>
  </si>
  <si>
    <t>Wooden Slab</t>
  </si>
  <si>
    <t>44:2</t>
  </si>
  <si>
    <t>Cobblestone Slab</t>
  </si>
  <si>
    <t>44:3</t>
  </si>
  <si>
    <t>Brick Slab</t>
  </si>
  <si>
    <t>44:4</t>
  </si>
  <si>
    <t>Stone Brick slab</t>
  </si>
  <si>
    <t>44:5</t>
  </si>
  <si>
    <t>Nether Brick Slab</t>
  </si>
  <si>
    <t>44:6</t>
  </si>
  <si>
    <t>Quartz Slab</t>
  </si>
  <si>
    <t>44:7</t>
  </si>
  <si>
    <t>Brick</t>
  </si>
  <si>
    <t>TNT</t>
  </si>
  <si>
    <t>Bookshelf</t>
  </si>
  <si>
    <t>Obsidian</t>
  </si>
  <si>
    <t>Torch</t>
  </si>
  <si>
    <t>Oak Stairs</t>
  </si>
  <si>
    <t>Chest</t>
  </si>
  <si>
    <t>Diamond Block</t>
  </si>
  <si>
    <t>Workbench</t>
  </si>
  <si>
    <t>Furnace</t>
  </si>
  <si>
    <t>Ladder</t>
  </si>
  <si>
    <t>Rail</t>
  </si>
  <si>
    <t>Cobblestone Stairs</t>
  </si>
  <si>
    <t>Lever</t>
  </si>
  <si>
    <t>Stone Pressure Plate</t>
  </si>
  <si>
    <t>Wooden Preasure Plate</t>
  </si>
  <si>
    <t>Stone Button</t>
  </si>
  <si>
    <t>Cactus</t>
  </si>
  <si>
    <t>Clay Block</t>
  </si>
  <si>
    <t>Oak Fence</t>
  </si>
  <si>
    <t>Pumpkin</t>
  </si>
  <si>
    <t>Netherrack</t>
  </si>
  <si>
    <t>Glowstone</t>
  </si>
  <si>
    <t>Jack-O-Lantern</t>
  </si>
  <si>
    <t>White Stained Glass</t>
  </si>
  <si>
    <t>Orange Stained Glass</t>
  </si>
  <si>
    <t>95:1</t>
  </si>
  <si>
    <t>Magenta Stained Glass</t>
  </si>
  <si>
    <t>95:2</t>
  </si>
  <si>
    <t>Light Blue Stained Glass</t>
  </si>
  <si>
    <t>95:3</t>
  </si>
  <si>
    <t>Yellow Stained Glass</t>
  </si>
  <si>
    <t>95:4</t>
  </si>
  <si>
    <t>Lime Stained Glass</t>
  </si>
  <si>
    <t>95:5</t>
  </si>
  <si>
    <t>Pink Stained Glass</t>
  </si>
  <si>
    <t>95:6</t>
  </si>
  <si>
    <t>Gray Stained Glass</t>
  </si>
  <si>
    <t>95:7</t>
  </si>
  <si>
    <t>Light Gray Stained Glass</t>
  </si>
  <si>
    <t>95:8</t>
  </si>
  <si>
    <t>Cyan Stained Glass</t>
  </si>
  <si>
    <t>95:9</t>
  </si>
  <si>
    <t>Purple Stained Glass</t>
  </si>
  <si>
    <t>95:10</t>
  </si>
  <si>
    <t>Blue Stained Glass</t>
  </si>
  <si>
    <t>95:11</t>
  </si>
  <si>
    <t>Brown Stained Glass</t>
  </si>
  <si>
    <t>95:12</t>
  </si>
  <si>
    <t>Green Stained Glass</t>
  </si>
  <si>
    <t>95:13</t>
  </si>
  <si>
    <t>Red Stained Glass</t>
  </si>
  <si>
    <t>95:14</t>
  </si>
  <si>
    <t>Black Stained Glass</t>
  </si>
  <si>
    <t>95:15</t>
  </si>
  <si>
    <t>Wooden Trapdoor</t>
  </si>
  <si>
    <t>Stone Bricks</t>
  </si>
  <si>
    <t>Chiseled Stone Bricks</t>
  </si>
  <si>
    <t>98:3</t>
  </si>
  <si>
    <t>Iron Bars</t>
  </si>
  <si>
    <t>Glass Pane</t>
  </si>
  <si>
    <t>Melon (Block)</t>
  </si>
  <si>
    <t>Fence Gate</t>
  </si>
  <si>
    <t>Brick Stairs</t>
  </si>
  <si>
    <t>Stone Brick Stairs</t>
  </si>
  <si>
    <t>Mycelium</t>
  </si>
  <si>
    <t>Nether Brick</t>
  </si>
  <si>
    <t>Nether Brick Fence</t>
  </si>
  <si>
    <t>Nether Brick Stairs</t>
  </si>
  <si>
    <t>Enchantment Table</t>
  </si>
  <si>
    <t>End Stone</t>
  </si>
  <si>
    <t>Redstone Lamp</t>
  </si>
  <si>
    <t>Oak Slab</t>
  </si>
  <si>
    <t>Spruce Slab</t>
  </si>
  <si>
    <t>126:1</t>
  </si>
  <si>
    <t>Birch Slab</t>
  </si>
  <si>
    <t>126:2</t>
  </si>
  <si>
    <t>Jungle Slab</t>
  </si>
  <si>
    <t>126:3</t>
  </si>
  <si>
    <t>Acacia Slab</t>
  </si>
  <si>
    <t>126:4</t>
  </si>
  <si>
    <t>Dark Oak Slab</t>
  </si>
  <si>
    <t>126:5</t>
  </si>
  <si>
    <t>Sandstone Stairs</t>
  </si>
  <si>
    <t>Ender Chest</t>
  </si>
  <si>
    <t>Tripwire Hook</t>
  </si>
  <si>
    <t>Emerald block</t>
  </si>
  <si>
    <t>Spruce Stairs</t>
  </si>
  <si>
    <t>Birch Stairs</t>
  </si>
  <si>
    <t>Jungle Stairs</t>
  </si>
  <si>
    <t>Beacon</t>
  </si>
  <si>
    <t>Cobblestone Wall</t>
  </si>
  <si>
    <t>Mossy Cobblesotne Wall</t>
  </si>
  <si>
    <t>139:1</t>
  </si>
  <si>
    <t>Wood Button</t>
  </si>
  <si>
    <t>Anvil</t>
  </si>
  <si>
    <t>Trapped Chest</t>
  </si>
  <si>
    <t>Light Weighted Pressure Plate</t>
  </si>
  <si>
    <t>Heavy Weighted Pressure Plate</t>
  </si>
  <si>
    <t>Daylight Sensor</t>
  </si>
  <si>
    <t>Block of Redstone</t>
  </si>
  <si>
    <t>Hopper</t>
  </si>
  <si>
    <t>Quartz Block</t>
  </si>
  <si>
    <t>Chiseled Quartz Block</t>
  </si>
  <si>
    <t>155:1</t>
  </si>
  <si>
    <t>Pillar Quartz Block</t>
  </si>
  <si>
    <t>155:2</t>
  </si>
  <si>
    <t>Quartz Stairs</t>
  </si>
  <si>
    <t>Activator Rail</t>
  </si>
  <si>
    <t>Dropper</t>
  </si>
  <si>
    <t>White Stained Clay</t>
  </si>
  <si>
    <t>Orange Stained Clay</t>
  </si>
  <si>
    <t>159:1</t>
  </si>
  <si>
    <t>Magenta Stained Clay</t>
  </si>
  <si>
    <t>159:2</t>
  </si>
  <si>
    <t>Light Blue Stained Clay</t>
  </si>
  <si>
    <t>159:3</t>
  </si>
  <si>
    <t>Yellow Stained Clay</t>
  </si>
  <si>
    <t>159:4</t>
  </si>
  <si>
    <t>Lime Stained Clay</t>
  </si>
  <si>
    <t>159:5</t>
  </si>
  <si>
    <t>Pink Stained Clay</t>
  </si>
  <si>
    <t>159:6</t>
  </si>
  <si>
    <t>Gray Stained Clay</t>
  </si>
  <si>
    <t>159:7</t>
  </si>
  <si>
    <t>Light Gray Stained Clay</t>
  </si>
  <si>
    <t>159:8</t>
  </si>
  <si>
    <t>Cyan Stained Clay</t>
  </si>
  <si>
    <t>159:9</t>
  </si>
  <si>
    <t>Purple Stained Clay</t>
  </si>
  <si>
    <t>159:10</t>
  </si>
  <si>
    <t>Blue Stained Clay</t>
  </si>
  <si>
    <t>159:11</t>
  </si>
  <si>
    <t>Brown Stained Clay</t>
  </si>
  <si>
    <t>159:12</t>
  </si>
  <si>
    <t>Green Stained Clay</t>
  </si>
  <si>
    <t>159:13</t>
  </si>
  <si>
    <t>Red Stained Clay</t>
  </si>
  <si>
    <t>159:14</t>
  </si>
  <si>
    <t>Black Stained Clay</t>
  </si>
  <si>
    <t>159:15</t>
  </si>
  <si>
    <t>White Stained Glass Pane</t>
  </si>
  <si>
    <t>Orange Stained Glass Pane</t>
  </si>
  <si>
    <t>160:1</t>
  </si>
  <si>
    <t>Magenta Stained Glass Pane</t>
  </si>
  <si>
    <t>160:2</t>
  </si>
  <si>
    <t>Light Blue Stained Glass Pane</t>
  </si>
  <si>
    <t>160:3</t>
  </si>
  <si>
    <t>Yellow Stained Glass Pane</t>
  </si>
  <si>
    <t>160:4</t>
  </si>
  <si>
    <t>Lime Stained Glass Pane</t>
  </si>
  <si>
    <t>160:5</t>
  </si>
  <si>
    <t>Pink Stained Glass Pane</t>
  </si>
  <si>
    <t>160:6</t>
  </si>
  <si>
    <t>Gray Stained Glass Pane</t>
  </si>
  <si>
    <t>160:7</t>
  </si>
  <si>
    <t>Light Gray Stained Glass Pane</t>
  </si>
  <si>
    <t>160:8</t>
  </si>
  <si>
    <t>Cyan Stained Glass Pane</t>
  </si>
  <si>
    <t>160:9</t>
  </si>
  <si>
    <t>Purple Stained Glass Pane</t>
  </si>
  <si>
    <t>160:10</t>
  </si>
  <si>
    <t>Blue Stained Glass Pane</t>
  </si>
  <si>
    <t>160:11</t>
  </si>
  <si>
    <t>Brown Stained Glass Pane</t>
  </si>
  <si>
    <t>160:12</t>
  </si>
  <si>
    <t>Green Stained Glass Pane</t>
  </si>
  <si>
    <t>160:13</t>
  </si>
  <si>
    <t>Red Stained Glass Pane</t>
  </si>
  <si>
    <t>160:14</t>
  </si>
  <si>
    <t>Black Stained Glass Pane</t>
  </si>
  <si>
    <t>160:15</t>
  </si>
  <si>
    <t>Acacia Log</t>
  </si>
  <si>
    <t>Dark Oak Log</t>
  </si>
  <si>
    <t>162:1</t>
  </si>
  <si>
    <t>Acacia Stairs</t>
  </si>
  <si>
    <t>Dark Oak Stairs</t>
  </si>
  <si>
    <t>Slime Block</t>
  </si>
  <si>
    <t>Iron Trapdoor</t>
  </si>
  <si>
    <t>Prismarine</t>
  </si>
  <si>
    <t>Prismarine Bricks</t>
  </si>
  <si>
    <t>168:1</t>
  </si>
  <si>
    <t>Dark Prismarine</t>
  </si>
  <si>
    <t>168:2</t>
  </si>
  <si>
    <t>Sea Lantern</t>
  </si>
  <si>
    <t>Hay Bale</t>
  </si>
  <si>
    <t>White Carpet</t>
  </si>
  <si>
    <t>Orange Carpet</t>
  </si>
  <si>
    <t>171:1</t>
  </si>
  <si>
    <t>Magenta Carpet</t>
  </si>
  <si>
    <t>171:2</t>
  </si>
  <si>
    <t>Light Blue Carpet</t>
  </si>
  <si>
    <t>171:3</t>
  </si>
  <si>
    <t>Yellow Carpet</t>
  </si>
  <si>
    <t>171:4</t>
  </si>
  <si>
    <t>Lime Carpet</t>
  </si>
  <si>
    <t>171:5</t>
  </si>
  <si>
    <t>Pink Carpet</t>
  </si>
  <si>
    <t>171:6</t>
  </si>
  <si>
    <t>Gray Carpet</t>
  </si>
  <si>
    <t>171:7</t>
  </si>
  <si>
    <t>Light Gray Carpet</t>
  </si>
  <si>
    <t>171:8</t>
  </si>
  <si>
    <t>Cyan Carpet</t>
  </si>
  <si>
    <t>171:9</t>
  </si>
  <si>
    <t>Purple Carpet</t>
  </si>
  <si>
    <t>171:10</t>
  </si>
  <si>
    <t>Blue Carper</t>
  </si>
  <si>
    <t>171:11</t>
  </si>
  <si>
    <t>Brown Carpet</t>
  </si>
  <si>
    <t>171:12</t>
  </si>
  <si>
    <t>Graan Carpet</t>
  </si>
  <si>
    <t>171:13</t>
  </si>
  <si>
    <t>Red Carpet</t>
  </si>
  <si>
    <t>171:14</t>
  </si>
  <si>
    <t>Black Carpet</t>
  </si>
  <si>
    <t>Hardend Clay</t>
  </si>
  <si>
    <t>Block of Coal</t>
  </si>
  <si>
    <t>Red Sandstone</t>
  </si>
  <si>
    <t>Chiseled Red Sandstone</t>
  </si>
  <si>
    <t>179:1</t>
  </si>
  <si>
    <t>Red Sandstone Stairs</t>
  </si>
  <si>
    <t>Red Sandstone Slab</t>
  </si>
  <si>
    <t>Spruce Fence Gate</t>
  </si>
  <si>
    <t>Birch Fence Gate</t>
  </si>
  <si>
    <t>Jungle Fence Gate</t>
  </si>
  <si>
    <t>Dark Oak Fence Gate</t>
  </si>
  <si>
    <t>Acacia Fence Gate</t>
  </si>
  <si>
    <t>Spruce Fence</t>
  </si>
  <si>
    <t>Birch Fence</t>
  </si>
  <si>
    <t>Jungle Fence</t>
  </si>
  <si>
    <t>Dark Oak Fence</t>
  </si>
  <si>
    <t>Acacia Fence</t>
  </si>
  <si>
    <t>Iron Shovel</t>
  </si>
  <si>
    <t>Iron Pickaxe</t>
  </si>
  <si>
    <t>Iron Axe</t>
  </si>
  <si>
    <t>Flint and Steel</t>
  </si>
  <si>
    <t>Apple</t>
  </si>
  <si>
    <t>Bow</t>
  </si>
  <si>
    <t>Arrow</t>
  </si>
  <si>
    <t>Coal</t>
  </si>
  <si>
    <t>Charcoal</t>
  </si>
  <si>
    <t>263:1</t>
  </si>
  <si>
    <t>Iron Ingot</t>
  </si>
  <si>
    <t>Gold Ingot</t>
  </si>
  <si>
    <t>Iron Sword</t>
  </si>
  <si>
    <t>Wooden Sword</t>
  </si>
  <si>
    <t>Wooden Shovel</t>
  </si>
  <si>
    <t>Wooden Pickaxe</t>
  </si>
  <si>
    <t>Wooden Axe</t>
  </si>
  <si>
    <t>Stone Sword</t>
  </si>
  <si>
    <t>Stone Shovel</t>
  </si>
  <si>
    <t>Stone Pickaxe</t>
  </si>
  <si>
    <t>Stone Axe</t>
  </si>
  <si>
    <t>Diamond Sword</t>
  </si>
  <si>
    <t>Diamond Shovel</t>
  </si>
  <si>
    <t>Diamond Pickaxe</t>
  </si>
  <si>
    <t>Diamond Axe</t>
  </si>
  <si>
    <t>Bowl</t>
  </si>
  <si>
    <t>Mushroom Stew</t>
  </si>
  <si>
    <t>Gold Sword</t>
  </si>
  <si>
    <t>Gold Shovel</t>
  </si>
  <si>
    <t>Gold Pickaxe</t>
  </si>
  <si>
    <t>Gold Axe</t>
  </si>
  <si>
    <t>String</t>
  </si>
  <si>
    <t>Feather</t>
  </si>
  <si>
    <t>Gunpowder</t>
  </si>
  <si>
    <t>Wooden Hoe</t>
  </si>
  <si>
    <t>Stone Hoe</t>
  </si>
  <si>
    <t>Iron Hoe</t>
  </si>
  <si>
    <t>Diamond Hoe</t>
  </si>
  <si>
    <t>Gold Hoe</t>
  </si>
  <si>
    <t>Bread</t>
  </si>
  <si>
    <t>Leather Helmet</t>
  </si>
  <si>
    <t>Leather Chestplate</t>
  </si>
  <si>
    <t>Leather Leggings</t>
  </si>
  <si>
    <t>Lether Boots</t>
  </si>
  <si>
    <t>Iron Helmet</t>
  </si>
  <si>
    <t>Iron Chestplate</t>
  </si>
  <si>
    <t>Iron Leggings</t>
  </si>
  <si>
    <t>Iron Boots</t>
  </si>
  <si>
    <t>Diamond Helmet</t>
  </si>
  <si>
    <t>Diamond Chestplate</t>
  </si>
  <si>
    <t>Diamond Leggings</t>
  </si>
  <si>
    <t>Diamond Boots</t>
  </si>
  <si>
    <t>Gold Helmet</t>
  </si>
  <si>
    <t>Gold Chestplate</t>
  </si>
  <si>
    <t>Gold Leggings</t>
  </si>
  <si>
    <t>Gold Boots</t>
  </si>
  <si>
    <t>Flint</t>
  </si>
  <si>
    <t>Raw Porkchop</t>
  </si>
  <si>
    <t>Cooked Porkchop</t>
  </si>
  <si>
    <t>Painting</t>
  </si>
  <si>
    <t>Golden Apple</t>
  </si>
  <si>
    <t>Enchanted Golden Apple</t>
  </si>
  <si>
    <t>322:1</t>
  </si>
  <si>
    <t>Sign</t>
  </si>
  <si>
    <t>Oak Door</t>
  </si>
  <si>
    <t>Bucket</t>
  </si>
  <si>
    <t>Minecart</t>
  </si>
  <si>
    <t>Saddle</t>
  </si>
  <si>
    <t>Redstone Dust</t>
  </si>
  <si>
    <t>Boat</t>
  </si>
  <si>
    <t>Leather</t>
  </si>
  <si>
    <t>Clay Brick</t>
  </si>
  <si>
    <t>Clay</t>
  </si>
  <si>
    <t>Paper</t>
  </si>
  <si>
    <t>Book</t>
  </si>
  <si>
    <t>Slime Ball</t>
  </si>
  <si>
    <t>Storage Minecart</t>
  </si>
  <si>
    <t>Powered Minecart</t>
  </si>
  <si>
    <t>Egg</t>
  </si>
  <si>
    <t>Fishing Rod</t>
  </si>
  <si>
    <t>Watch</t>
  </si>
  <si>
    <t>Glowstone Dust</t>
  </si>
  <si>
    <t>Raw Fish</t>
  </si>
  <si>
    <t>Raw Salmon</t>
  </si>
  <si>
    <t>349:1</t>
  </si>
  <si>
    <t>Clownfish</t>
  </si>
  <si>
    <t>349:2</t>
  </si>
  <si>
    <t>Pufferfish</t>
  </si>
  <si>
    <t>349:3</t>
  </si>
  <si>
    <t>Cooked Fish</t>
  </si>
  <si>
    <t>Cooked Salmon</t>
  </si>
  <si>
    <t>350:1</t>
  </si>
  <si>
    <t>350:2</t>
  </si>
  <si>
    <t>350:3</t>
  </si>
  <si>
    <t>Ink Sack</t>
  </si>
  <si>
    <t>Rose Red Dye</t>
  </si>
  <si>
    <t>351:1</t>
  </si>
  <si>
    <t>Cactus Green Dye</t>
  </si>
  <si>
    <t>351:2</t>
  </si>
  <si>
    <t>Cocoa Bean</t>
  </si>
  <si>
    <t>351:3</t>
  </si>
  <si>
    <t>Lapis Lazuli</t>
  </si>
  <si>
    <t>351:4</t>
  </si>
  <si>
    <t>Purple Dye</t>
  </si>
  <si>
    <t>351:5</t>
  </si>
  <si>
    <t>Cyan Dye</t>
  </si>
  <si>
    <t>351:6</t>
  </si>
  <si>
    <t>Light Gray Dye</t>
  </si>
  <si>
    <t>351:7</t>
  </si>
  <si>
    <t>Gray Dye</t>
  </si>
  <si>
    <t>351:8</t>
  </si>
  <si>
    <t>Pink Dye</t>
  </si>
  <si>
    <t>351:9</t>
  </si>
  <si>
    <t>Lime Dye</t>
  </si>
  <si>
    <t>351:10</t>
  </si>
  <si>
    <t>Yellow Dye</t>
  </si>
  <si>
    <t>351:11</t>
  </si>
  <si>
    <t>Light Blue Dye</t>
  </si>
  <si>
    <t>351:12</t>
  </si>
  <si>
    <t>Magenta Dye</t>
  </si>
  <si>
    <t>351:13</t>
  </si>
  <si>
    <t>Orange Dye</t>
  </si>
  <si>
    <t>351:14</t>
  </si>
  <si>
    <t>Bone Meal</t>
  </si>
  <si>
    <t>351:15</t>
  </si>
  <si>
    <t xml:space="preserve">Bone  </t>
  </si>
  <si>
    <t>Sugar</t>
  </si>
  <si>
    <t>Cake</t>
  </si>
  <si>
    <t>Bed</t>
  </si>
  <si>
    <t>Redstone Repeater</t>
  </si>
  <si>
    <t>Cookie</t>
  </si>
  <si>
    <t>Map</t>
  </si>
  <si>
    <t>Shears</t>
  </si>
  <si>
    <t>Melon Slice</t>
  </si>
  <si>
    <t>Raw Beef</t>
  </si>
  <si>
    <t>Raw Chicken</t>
  </si>
  <si>
    <t>Cooked Chicken</t>
  </si>
  <si>
    <t>Rotten Flesh</t>
  </si>
  <si>
    <t>Ender Pearl</t>
  </si>
  <si>
    <t>Blaze Rod</t>
  </si>
  <si>
    <t>Ghast Tear</t>
  </si>
  <si>
    <t>Gold Nugget</t>
  </si>
  <si>
    <t>Nether Wart Seed</t>
  </si>
  <si>
    <t>Awkward Potion</t>
  </si>
  <si>
    <t>373:16</t>
  </si>
  <si>
    <t>Thick Potion</t>
  </si>
  <si>
    <t>373:32</t>
  </si>
  <si>
    <t>Mundane Potion</t>
  </si>
  <si>
    <t>373:64</t>
  </si>
  <si>
    <t>Regeneration Potion (0:45)</t>
  </si>
  <si>
    <t>373:8193</t>
  </si>
  <si>
    <t>Swiftness Potion (3:00)</t>
  </si>
  <si>
    <t>373:8194</t>
  </si>
  <si>
    <t>Fire Resistance Potion (3:00)</t>
  </si>
  <si>
    <t>373:8195</t>
  </si>
  <si>
    <t>Poison Potion (0:45)</t>
  </si>
  <si>
    <t>373:8196</t>
  </si>
  <si>
    <t>Healing Potion</t>
  </si>
  <si>
    <t>373:8197</t>
  </si>
  <si>
    <t>Night Vision Potion (3:00)</t>
  </si>
  <si>
    <t>373:8198</t>
  </si>
  <si>
    <t>Weakness Potion (1:30)</t>
  </si>
  <si>
    <t>373:8200</t>
  </si>
  <si>
    <t>Strength Potion (3:00)</t>
  </si>
  <si>
    <t>373:8201</t>
  </si>
  <si>
    <t>Slowness Potion (1:30)</t>
  </si>
  <si>
    <t>373:8202</t>
  </si>
  <si>
    <t>Harming Potion</t>
  </si>
  <si>
    <t>373:8204</t>
  </si>
  <si>
    <t>Water Breathing Potion (3:00)</t>
  </si>
  <si>
    <t>373:8205</t>
  </si>
  <si>
    <t>Invisibility Potion (3:00)</t>
  </si>
  <si>
    <t>373:8206</t>
  </si>
  <si>
    <t>Regeneration Potion II (0:22)</t>
  </si>
  <si>
    <t>373:8225</t>
  </si>
  <si>
    <t>Swiftness Potion II (1:30)</t>
  </si>
  <si>
    <t>373:8226</t>
  </si>
  <si>
    <t>Poison Potion (II (0:22)</t>
  </si>
  <si>
    <t>373:8228</t>
  </si>
  <si>
    <t>Healing Potion II</t>
  </si>
  <si>
    <t>373:8229</t>
  </si>
  <si>
    <t>Strength Potion (1:30)</t>
  </si>
  <si>
    <t>373:8233</t>
  </si>
  <si>
    <t>Leaping Potion (1:30)</t>
  </si>
  <si>
    <t>373:8235</t>
  </si>
  <si>
    <t>Harming Potion II</t>
  </si>
  <si>
    <t>373:8236</t>
  </si>
  <si>
    <t>Regeneration Potion (2:00)</t>
  </si>
  <si>
    <t>373:8257</t>
  </si>
  <si>
    <t>Swiftness Potion (8:00)</t>
  </si>
  <si>
    <t>373:8258</t>
  </si>
  <si>
    <t>Fire Resistance Potion (8:00)</t>
  </si>
  <si>
    <t>373:8259</t>
  </si>
  <si>
    <t>Poison Potion (2:00)</t>
  </si>
  <si>
    <t>373:8260</t>
  </si>
  <si>
    <t>Night Vision Potion (8:00)</t>
  </si>
  <si>
    <t>373:8262</t>
  </si>
  <si>
    <t>Weakness Potion (4:00)</t>
  </si>
  <si>
    <t>373:8264</t>
  </si>
  <si>
    <t>Strenght Potion (8:00)</t>
  </si>
  <si>
    <t>373:8265</t>
  </si>
  <si>
    <t>Slowness Potion (4:00)</t>
  </si>
  <si>
    <t>373:8266</t>
  </si>
  <si>
    <t>Leaping Potion (3:00)</t>
  </si>
  <si>
    <t>373:8267</t>
  </si>
  <si>
    <t>Water Breathing Potion (8:00)</t>
  </si>
  <si>
    <t>373:8269</t>
  </si>
  <si>
    <t>Invisibility Potion (8:00)</t>
  </si>
  <si>
    <t>373:8270</t>
  </si>
  <si>
    <t>Regeneration Potion II (1:00)</t>
  </si>
  <si>
    <t>373:8289</t>
  </si>
  <si>
    <t>Swiftness Potion II (4:00)</t>
  </si>
  <si>
    <t>373:8290</t>
  </si>
  <si>
    <t>Poison Potion II (1:00)</t>
  </si>
  <si>
    <t>373:8292</t>
  </si>
  <si>
    <t>Strength Potion II (4:00)</t>
  </si>
  <si>
    <t>373:8297</t>
  </si>
  <si>
    <t>Regeneration Splash Potion (0:33)</t>
  </si>
  <si>
    <t>373:16385</t>
  </si>
  <si>
    <t>Swiftness Splash Potion (2:15)</t>
  </si>
  <si>
    <t>373:16386</t>
  </si>
  <si>
    <t>Fire Resistance Splash Potion (2:15)</t>
  </si>
  <si>
    <t>373:16387</t>
  </si>
  <si>
    <t>Poison Splash Potion (0:33)</t>
  </si>
  <si>
    <t>373:16388</t>
  </si>
  <si>
    <t>Healing Splash Potion</t>
  </si>
  <si>
    <t>373:16389</t>
  </si>
  <si>
    <t>Night Vision Splash Potion (2:15)</t>
  </si>
  <si>
    <t>373:16390</t>
  </si>
  <si>
    <t>Weakness Splash Potion (1:07)</t>
  </si>
  <si>
    <t>373:16392</t>
  </si>
  <si>
    <t>Strength Splash Potion (2:15)</t>
  </si>
  <si>
    <t>373:16393</t>
  </si>
  <si>
    <t>Slowness Splash Potion (1:07)</t>
  </si>
  <si>
    <t>373:16394</t>
  </si>
  <si>
    <t>Harming Splash Potion</t>
  </si>
  <si>
    <t>373:16396</t>
  </si>
  <si>
    <t>Breathing Splash Potion (2:15)</t>
  </si>
  <si>
    <t>373:16397</t>
  </si>
  <si>
    <t>Invisibility Splash Potion (2:15)</t>
  </si>
  <si>
    <t>373:16398</t>
  </si>
  <si>
    <t>Regeneration Splash Potion II (2:15)</t>
  </si>
  <si>
    <t>373:16417</t>
  </si>
  <si>
    <t>Swiftness Splash Potion II (1:07)</t>
  </si>
  <si>
    <t>373:16418</t>
  </si>
  <si>
    <t>Poison Splash Potion II (0:16)</t>
  </si>
  <si>
    <t>373:16420</t>
  </si>
  <si>
    <t>Healing Splash Potion II</t>
  </si>
  <si>
    <t>373:16421</t>
  </si>
  <si>
    <t>Strength Splash Potion II (1:07)</t>
  </si>
  <si>
    <t>373:16425</t>
  </si>
  <si>
    <t>Leaping Splash Potion (1:07)</t>
  </si>
  <si>
    <t>373:16427</t>
  </si>
  <si>
    <t>Harming Splash Potion II</t>
  </si>
  <si>
    <t>373:16428</t>
  </si>
  <si>
    <t>Regeneration Splash Potion II (1:30)</t>
  </si>
  <si>
    <t>373:16449</t>
  </si>
  <si>
    <t>Swiftness Splash Potion (6:00)</t>
  </si>
  <si>
    <t>373:16450</t>
  </si>
  <si>
    <t>Fire Resistance Splash Potion (6:00)</t>
  </si>
  <si>
    <t>373:16451</t>
  </si>
  <si>
    <t>Poison Splash Potion (1:30)</t>
  </si>
  <si>
    <t>373:16452</t>
  </si>
  <si>
    <t>Night Vision Splash Potion (6:00)</t>
  </si>
  <si>
    <t>373:16454</t>
  </si>
  <si>
    <t>Weakness Splash Potion (3:00)</t>
  </si>
  <si>
    <t>373:16456</t>
  </si>
  <si>
    <t>Strength Splash Potion (6:00)</t>
  </si>
  <si>
    <t>373:16457</t>
  </si>
  <si>
    <t>Slowness Splash Potion (3:00)</t>
  </si>
  <si>
    <t>373:16458</t>
  </si>
  <si>
    <t>Leaping Splash Potion (2:15)</t>
  </si>
  <si>
    <t>373:16459</t>
  </si>
  <si>
    <t>Breathing Splash Potion (6:00)</t>
  </si>
  <si>
    <t>373:16461</t>
  </si>
  <si>
    <t>Invisibility Splash Potion (6:00)</t>
  </si>
  <si>
    <t>373:16462</t>
  </si>
  <si>
    <t>Regeneration Splash Potion II (0:45)</t>
  </si>
  <si>
    <t>373:16481</t>
  </si>
  <si>
    <t>Swiftness Splash Potion II (3:00)</t>
  </si>
  <si>
    <t>373:16482</t>
  </si>
  <si>
    <t>Poison Splash Potion II (0:45)</t>
  </si>
  <si>
    <t>373:16484</t>
  </si>
  <si>
    <t>Strength Splash Potion II (3:00)</t>
  </si>
  <si>
    <t>373:16489</t>
  </si>
  <si>
    <t>Glass Bottle</t>
  </si>
  <si>
    <t>Spider Eye</t>
  </si>
  <si>
    <t>Fermented Spider Eye</t>
  </si>
  <si>
    <t>Blaze Powder</t>
  </si>
  <si>
    <t>Magma Cream</t>
  </si>
  <si>
    <t xml:space="preserve">Brewing Stand </t>
  </si>
  <si>
    <t>Cauldron</t>
  </si>
  <si>
    <t>Eye of Ender</t>
  </si>
  <si>
    <t>Glistering Melon Slice</t>
  </si>
  <si>
    <t>Bottle of Enchanting</t>
  </si>
  <si>
    <t>Fire Charge</t>
  </si>
  <si>
    <t>Book and Quil</t>
  </si>
  <si>
    <t>Emerald</t>
  </si>
  <si>
    <t>Item Frame</t>
  </si>
  <si>
    <t xml:space="preserve">Flower Pot  </t>
  </si>
  <si>
    <t>Carrot</t>
  </si>
  <si>
    <t>Baked Potato</t>
  </si>
  <si>
    <t>Poisonous Potato</t>
  </si>
  <si>
    <t>Empty Map</t>
  </si>
  <si>
    <t>Golden Carrot</t>
  </si>
  <si>
    <t>Nether Star</t>
  </si>
  <si>
    <t>Pumpkin Pie</t>
  </si>
  <si>
    <t>Firework Rocket</t>
  </si>
  <si>
    <t>Firework Star</t>
  </si>
  <si>
    <t>Enchanted Book</t>
  </si>
  <si>
    <t>Resdtone Comparator</t>
  </si>
  <si>
    <t>Nether Brick (Item)</t>
  </si>
  <si>
    <t>Nether Quartz</t>
  </si>
  <si>
    <t>TNT Minecart</t>
  </si>
  <si>
    <t>Hopper Minecart</t>
  </si>
  <si>
    <t>Prismarine Shard</t>
  </si>
  <si>
    <t>Prismarine Crystals</t>
  </si>
  <si>
    <t>Raw Rabbit</t>
  </si>
  <si>
    <t>Cooked Rabbit</t>
  </si>
  <si>
    <t>Rabbit Stew</t>
  </si>
  <si>
    <t>Rabbits Foot</t>
  </si>
  <si>
    <t>Rabbit Hide</t>
  </si>
  <si>
    <t>Armor Stand</t>
  </si>
  <si>
    <t>Iron Horse Armor</t>
  </si>
  <si>
    <t>Gold Horse Armor</t>
  </si>
  <si>
    <t>Diamond Horse Armor</t>
  </si>
  <si>
    <t>Lead</t>
  </si>
  <si>
    <t>Name Tag</t>
  </si>
  <si>
    <t>Command Block Minecart</t>
  </si>
  <si>
    <t>Raw Mutton</t>
  </si>
  <si>
    <t>Cooked Mutton</t>
  </si>
  <si>
    <t>Black Banner</t>
  </si>
  <si>
    <t>Red Banner</t>
  </si>
  <si>
    <t>425:1</t>
  </si>
  <si>
    <t>Green Banner</t>
  </si>
  <si>
    <t>425:2</t>
  </si>
  <si>
    <t>Brown Banner</t>
  </si>
  <si>
    <t>425:3</t>
  </si>
  <si>
    <t>Blue Banner</t>
  </si>
  <si>
    <t>425:4</t>
  </si>
  <si>
    <t>Purple Banner</t>
  </si>
  <si>
    <t>425:5</t>
  </si>
  <si>
    <t>Cyan Banner</t>
  </si>
  <si>
    <t>425:6</t>
  </si>
  <si>
    <t>Light Gray Banner</t>
  </si>
  <si>
    <t>425:7</t>
  </si>
  <si>
    <t>Gray Banner</t>
  </si>
  <si>
    <t>425:8</t>
  </si>
  <si>
    <t>Pink Banner</t>
  </si>
  <si>
    <t>425:9</t>
  </si>
  <si>
    <t>Lime Banner</t>
  </si>
  <si>
    <t>425:10</t>
  </si>
  <si>
    <t>Yellow Banner</t>
  </si>
  <si>
    <t>425:11</t>
  </si>
  <si>
    <t>Light Blue Banner</t>
  </si>
  <si>
    <t>425:12</t>
  </si>
  <si>
    <t>Magenta Banner</t>
  </si>
  <si>
    <t>425:13</t>
  </si>
  <si>
    <t>Orange Banner</t>
  </si>
  <si>
    <t>425:14</t>
  </si>
  <si>
    <t>White Banner</t>
  </si>
  <si>
    <t>425:15</t>
  </si>
  <si>
    <t>Spruce Door</t>
  </si>
  <si>
    <t>Birch Door</t>
  </si>
  <si>
    <t xml:space="preserve">Jungle Door </t>
  </si>
  <si>
    <t>Acacia Door</t>
  </si>
  <si>
    <t>Dark Oak Door</t>
  </si>
  <si>
    <t>PROFESION</t>
  </si>
  <si>
    <t>TOTAL CRAFTEO</t>
  </si>
  <si>
    <t>GLOWSTONE DUST</t>
  </si>
  <si>
    <t>Sugar Cane</t>
  </si>
  <si>
    <t>PRIMER MATERIAL</t>
  </si>
  <si>
    <t>ninguno</t>
  </si>
  <si>
    <t>SEGUNDO MATERIAL</t>
  </si>
  <si>
    <t>TERCER MATERIAL</t>
  </si>
  <si>
    <t>CUARTO MATERIAL</t>
  </si>
  <si>
    <t xml:space="preserve"> Steak </t>
  </si>
  <si>
    <t>TINTES</t>
  </si>
  <si>
    <t>Redstone Torch</t>
  </si>
  <si>
    <t>End rod</t>
  </si>
  <si>
    <t>Purpur Block</t>
  </si>
  <si>
    <t>Purpur Pillar</t>
  </si>
  <si>
    <t>Purpur Stairs</t>
  </si>
  <si>
    <t>Purpur Slab</t>
  </si>
  <si>
    <t>End Stone Bricks</t>
  </si>
  <si>
    <t>Magma Block</t>
  </si>
  <si>
    <t>Nether Wart Block</t>
  </si>
  <si>
    <t>Red Nether Brick</t>
  </si>
  <si>
    <t>Bone Block</t>
  </si>
  <si>
    <t>Observer</t>
  </si>
  <si>
    <t>White Shulker</t>
  </si>
  <si>
    <t>Orange Shulker</t>
  </si>
  <si>
    <t>Magenta Shulker</t>
  </si>
  <si>
    <t>Light Blue Shulker</t>
  </si>
  <si>
    <t>Yellow Shulker</t>
  </si>
  <si>
    <t>Lime Shulker</t>
  </si>
  <si>
    <t>Pink Shulker</t>
  </si>
  <si>
    <t>Gray Shulker</t>
  </si>
  <si>
    <t>Light Gray Shulker</t>
  </si>
  <si>
    <t>Cyan Shulker</t>
  </si>
  <si>
    <t>Purple Shulker</t>
  </si>
  <si>
    <t>Blue Shulker</t>
  </si>
  <si>
    <t>Brown Shulker</t>
  </si>
  <si>
    <t>Green Shulker</t>
  </si>
  <si>
    <t>Red Shulker</t>
  </si>
  <si>
    <t>Black Shulker</t>
  </si>
  <si>
    <t>Diamond</t>
  </si>
  <si>
    <t>NETHER RACK</t>
  </si>
  <si>
    <t>171:15</t>
  </si>
  <si>
    <t>Iron Door</t>
  </si>
  <si>
    <t>Carrot on a Stick</t>
  </si>
  <si>
    <t>Mossy Cobblesotne</t>
  </si>
  <si>
    <t>Chorus Fruit</t>
  </si>
  <si>
    <t>Bucket (milk)</t>
  </si>
  <si>
    <t>Compass</t>
  </si>
  <si>
    <t>Arrow (spectral)</t>
  </si>
  <si>
    <t>Sheld</t>
  </si>
  <si>
    <t>PROFESIONES</t>
  </si>
  <si>
    <t>ACCION 1</t>
  </si>
  <si>
    <t>ACCION 2</t>
  </si>
  <si>
    <t>ACCION 3</t>
  </si>
  <si>
    <t>TOTAL ACCIONES</t>
  </si>
  <si>
    <t>ACCION 4</t>
  </si>
  <si>
    <t>EXP</t>
  </si>
  <si>
    <t>Chorus Fruit (poped)</t>
  </si>
  <si>
    <t>CHORUS FRUIT</t>
  </si>
  <si>
    <t>Coal Ore</t>
  </si>
  <si>
    <t>Diamond Ore</t>
  </si>
  <si>
    <t>Gold Ore</t>
  </si>
  <si>
    <t>Iron Ore</t>
  </si>
  <si>
    <t>END STONE</t>
  </si>
  <si>
    <t>ALMAKOS REALES DE LOS MOBS</t>
  </si>
  <si>
    <t>MOBS</t>
  </si>
  <si>
    <t>DROPS</t>
  </si>
  <si>
    <t>ANIMALES</t>
  </si>
  <si>
    <t>ZOMBIE</t>
  </si>
  <si>
    <t>ARAÑA</t>
  </si>
  <si>
    <t>SQUELETON</t>
  </si>
  <si>
    <t>CREEPER</t>
  </si>
  <si>
    <t>WICH</t>
  </si>
  <si>
    <t>SLIME</t>
  </si>
  <si>
    <t>BLAZE</t>
  </si>
  <si>
    <t>ENDERMAN</t>
  </si>
  <si>
    <t>BOSS</t>
  </si>
  <si>
    <t>PIGZOMBIE</t>
  </si>
  <si>
    <t>MOB</t>
  </si>
  <si>
    <t>ALMAKOS / DROP</t>
  </si>
  <si>
    <t>ANIMAL</t>
  </si>
  <si>
    <t>COW</t>
  </si>
  <si>
    <t>RABIT</t>
  </si>
  <si>
    <t>SHEEP</t>
  </si>
  <si>
    <t>ALMAKOS REALES DE LOS ANIMALES</t>
  </si>
  <si>
    <t>GHAST</t>
  </si>
  <si>
    <t>NIVEL MIN</t>
  </si>
  <si>
    <t>TOTAL DE ITEMS</t>
  </si>
  <si>
    <t>LVL POR ITEM</t>
  </si>
  <si>
    <t>TIER 1</t>
  </si>
  <si>
    <t>TIER 2</t>
  </si>
  <si>
    <t>TIER 3</t>
  </si>
  <si>
    <t>TIER 4</t>
  </si>
  <si>
    <t>TIER 5</t>
  </si>
  <si>
    <t>TIER 6</t>
  </si>
  <si>
    <t>LVL TIER</t>
  </si>
  <si>
    <t>PRECIO VENTA</t>
  </si>
  <si>
    <t>PRECIO COMPRA</t>
  </si>
  <si>
    <t>Tintes</t>
  </si>
  <si>
    <t>precio</t>
  </si>
  <si>
    <t>Gravel</t>
  </si>
  <si>
    <t>Beetrot Soup</t>
  </si>
  <si>
    <t>Beetroot Soup</t>
  </si>
  <si>
    <t>PRISMARINE</t>
  </si>
  <si>
    <t>NETHER WART</t>
  </si>
  <si>
    <t>Strength Potion II(1:30)</t>
  </si>
  <si>
    <t>Leaping Potion II (1:30)</t>
  </si>
  <si>
    <t>Poison Potion II (0:22)</t>
  </si>
  <si>
    <t>Fishing rood</t>
  </si>
  <si>
    <t>98:2</t>
  </si>
  <si>
    <t>Cracked Stone Bricks</t>
  </si>
  <si>
    <t xml:space="preserve">  - '%materiallore%'</t>
  </si>
  <si>
    <t>White G Terracota</t>
  </si>
  <si>
    <t>Orange G Terracota</t>
  </si>
  <si>
    <t>Magenta G Terracota</t>
  </si>
  <si>
    <t>Blue G Terracota</t>
  </si>
  <si>
    <t>Yellow G Terracota</t>
  </si>
  <si>
    <t>Lime G Terracota</t>
  </si>
  <si>
    <t>Pink G Terracota</t>
  </si>
  <si>
    <t>Gray G Terracota</t>
  </si>
  <si>
    <t>Light Gray G Terracota</t>
  </si>
  <si>
    <t>Cyan G Terracota</t>
  </si>
  <si>
    <t>Purple G Terracota</t>
  </si>
  <si>
    <t>Light Blue G Terracota</t>
  </si>
  <si>
    <t>Brown G Terracota</t>
  </si>
  <si>
    <t>Green G Terracota</t>
  </si>
  <si>
    <t>Red G Terracota</t>
  </si>
  <si>
    <t>Black G Terracota</t>
  </si>
  <si>
    <t>355:1</t>
  </si>
  <si>
    <t>355:2</t>
  </si>
  <si>
    <t>355:3</t>
  </si>
  <si>
    <t>355:4</t>
  </si>
  <si>
    <t>355:5</t>
  </si>
  <si>
    <t>355:6</t>
  </si>
  <si>
    <t>355:7</t>
  </si>
  <si>
    <t>355:8</t>
  </si>
  <si>
    <t>355:9</t>
  </si>
  <si>
    <t>355:10</t>
  </si>
  <si>
    <t>355:11</t>
  </si>
  <si>
    <t>355:12</t>
  </si>
  <si>
    <t>355:13</t>
  </si>
  <si>
    <t>355:14</t>
  </si>
  <si>
    <t>355:15</t>
  </si>
  <si>
    <t>Bed White</t>
  </si>
  <si>
    <t>Bed Orange</t>
  </si>
  <si>
    <t>Bed Magenta</t>
  </si>
  <si>
    <t>Bed Light Blue</t>
  </si>
  <si>
    <t>Bed Yellow</t>
  </si>
  <si>
    <t>Bed Lime</t>
  </si>
  <si>
    <t>Bed Pink</t>
  </si>
  <si>
    <t>Bed Gray</t>
  </si>
  <si>
    <t>Bed LightGray</t>
  </si>
  <si>
    <t>Bed Cyan</t>
  </si>
  <si>
    <t>Bed Purple</t>
  </si>
  <si>
    <t>Bed Blue</t>
  </si>
  <si>
    <t>Bed Brown</t>
  </si>
  <si>
    <t>Bed Green</t>
  </si>
  <si>
    <t>Bed Red</t>
  </si>
  <si>
    <t>Bed Black</t>
  </si>
  <si>
    <t>252:1</t>
  </si>
  <si>
    <t>252:2</t>
  </si>
  <si>
    <t>252:3</t>
  </si>
  <si>
    <t>252:4</t>
  </si>
  <si>
    <t>252:5</t>
  </si>
  <si>
    <t>252:6</t>
  </si>
  <si>
    <t>252:7</t>
  </si>
  <si>
    <t>252:8</t>
  </si>
  <si>
    <t>252:9</t>
  </si>
  <si>
    <t>252:10</t>
  </si>
  <si>
    <t>252:11</t>
  </si>
  <si>
    <t>252:12</t>
  </si>
  <si>
    <t>252:13</t>
  </si>
  <si>
    <t>252:14</t>
  </si>
  <si>
    <t>252:15</t>
  </si>
  <si>
    <t>Concrete Pwd White</t>
  </si>
  <si>
    <t>Concrete Pwd Orange</t>
  </si>
  <si>
    <t>Concrete Pwd Magenta</t>
  </si>
  <si>
    <t>Concrete Pwd LightBlue</t>
  </si>
  <si>
    <t>Concrete Pwd Yellow</t>
  </si>
  <si>
    <t>Concrete Pwd Lime</t>
  </si>
  <si>
    <t>Concrete Pwd Pink</t>
  </si>
  <si>
    <t>Concrete Pwd Gray</t>
  </si>
  <si>
    <t>Concrete Pwd LightGray</t>
  </si>
  <si>
    <t>Concrete Pwd Cyan</t>
  </si>
  <si>
    <t>Concrete Pwd Purple</t>
  </si>
  <si>
    <t>Concrete Pwd Blue</t>
  </si>
  <si>
    <t>Concrete Pwd Brown</t>
  </si>
  <si>
    <t>Concrete Pwd Green</t>
  </si>
  <si>
    <t>Concrete Pwd Red</t>
  </si>
  <si>
    <t>Concrete Pwd Black</t>
  </si>
  <si>
    <t>HERBORISTERIA</t>
  </si>
  <si>
    <t>ORFEBRERIA</t>
  </si>
  <si>
    <t>EMPLASTOS</t>
  </si>
  <si>
    <t>INFUSIONES</t>
  </si>
  <si>
    <t>ACEITES</t>
  </si>
  <si>
    <t>ELIXIRS</t>
  </si>
  <si>
    <t>ARTILUJIOS</t>
  </si>
  <si>
    <t>ARMATOSTES</t>
  </si>
  <si>
    <t>ALEACIONES</t>
  </si>
  <si>
    <t>ARTEFACTOS</t>
  </si>
  <si>
    <t>TRANSMUTACIONES</t>
  </si>
  <si>
    <t>PELETERIA</t>
  </si>
  <si>
    <t>CEBO</t>
  </si>
  <si>
    <t>PIELES</t>
  </si>
  <si>
    <t>ARMADURAS PIEL</t>
  </si>
  <si>
    <t>CARNICERIA</t>
  </si>
  <si>
    <t>PIEZAS DE ANIMALES</t>
  </si>
  <si>
    <t>MASCOTAS</t>
  </si>
  <si>
    <t>HERRERIA</t>
  </si>
  <si>
    <t>ARMERIA</t>
  </si>
  <si>
    <t>ARMADURAS</t>
  </si>
  <si>
    <t>ESCRIBA</t>
  </si>
  <si>
    <t>ARTESANO</t>
  </si>
  <si>
    <t>CORTEZAS</t>
  </si>
  <si>
    <t>TINTAS</t>
  </si>
  <si>
    <t>PERGAMINOS</t>
  </si>
  <si>
    <t>TOMOS</t>
  </si>
  <si>
    <t>PIEDRAS</t>
  </si>
  <si>
    <t>GEMAS</t>
  </si>
  <si>
    <t>JOYAS</t>
  </si>
  <si>
    <t>PLANTAS</t>
  </si>
  <si>
    <t>INFUCIONES</t>
  </si>
  <si>
    <t>MADERAS</t>
  </si>
  <si>
    <t>POCIMAS</t>
  </si>
  <si>
    <t>POSIMAS</t>
  </si>
  <si>
    <t>ELIXIR</t>
  </si>
  <si>
    <t>METALES</t>
  </si>
  <si>
    <t>TRASMUTACIONES</t>
  </si>
  <si>
    <t>CARNES</t>
  </si>
  <si>
    <t>ANIMALITOS</t>
  </si>
  <si>
    <t>PIEZAS COMPUESTAS</t>
  </si>
  <si>
    <t>CEBOS</t>
  </si>
  <si>
    <t>PZS ANIM</t>
  </si>
  <si>
    <t>ARMADURAS COMUN</t>
  </si>
  <si>
    <t>AMULETOS</t>
  </si>
  <si>
    <t>ANILLOS</t>
  </si>
  <si>
    <t>PZS COMP</t>
  </si>
  <si>
    <t>ARTILIJIOS</t>
  </si>
  <si>
    <t>PIEZAS REFINADAS</t>
  </si>
  <si>
    <t>PZS REFN</t>
  </si>
  <si>
    <t>PIEZAS MAGICAS</t>
  </si>
  <si>
    <t>PZS EPICAS</t>
  </si>
  <si>
    <t>PZS MGCS</t>
  </si>
  <si>
    <t>ELIEXIRS</t>
  </si>
  <si>
    <t>EMPLASTO 1</t>
  </si>
  <si>
    <t>ID 1</t>
  </si>
  <si>
    <t>ID 2</t>
  </si>
  <si>
    <t>ID 3</t>
  </si>
  <si>
    <t>ID 4</t>
  </si>
  <si>
    <t>ID 5</t>
  </si>
  <si>
    <t>PRECIO UNI</t>
  </si>
  <si>
    <t>PIEZAS EPICAS</t>
  </si>
  <si>
    <t>PRECIO TOTAL</t>
  </si>
  <si>
    <t>ITEM 1</t>
  </si>
  <si>
    <t>Aceite Oseo</t>
  </si>
  <si>
    <t>Emplasto Solar</t>
  </si>
  <si>
    <t>Aceite Solar</t>
  </si>
  <si>
    <t>Cebo de Pollo</t>
  </si>
  <si>
    <t>Cebo de Pescado</t>
  </si>
  <si>
    <t>Cebo de Res</t>
  </si>
  <si>
    <t>Cebo de Puerco</t>
  </si>
  <si>
    <t>Cebo de Conejo</t>
  </si>
  <si>
    <t>Cebo de Obeja</t>
  </si>
  <si>
    <t>item 1</t>
  </si>
  <si>
    <t>item 2</t>
  </si>
  <si>
    <t>item 3</t>
  </si>
  <si>
    <t>item 4</t>
  </si>
  <si>
    <t>item 5</t>
  </si>
  <si>
    <t>Piel curtida</t>
  </si>
  <si>
    <t>ITEM 2</t>
  </si>
  <si>
    <t>Emplasto Oseo</t>
  </si>
  <si>
    <t>Piel refinada</t>
  </si>
  <si>
    <t>Mendigo</t>
  </si>
  <si>
    <t>Esencia</t>
  </si>
  <si>
    <t>Inteligencia</t>
  </si>
  <si>
    <t xml:space="preserve">  - '%tierlore%'</t>
  </si>
  <si>
    <t>ATRIBUTO ESPECIAL</t>
  </si>
  <si>
    <t>Armor</t>
  </si>
  <si>
    <t>Multiplo de atributo</t>
  </si>
  <si>
    <t>&amp;7Ataque: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</si>
</sst>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quot;$&quot;#,##0.00"/>
  </numFmts>
  <fonts count="14" x14ac:knownFonts="1">
    <font>
      <sz val="11"/>
      <color theme="1"/>
      <name val="Calibri"/>
      <family val="2"/>
      <scheme val="minor"/>
    </font>
    <font>
      <sz val="11"/>
      <color rgb="FFFF0000"/>
      <name val="Calibri"/>
      <family val="2"/>
      <scheme val="minor"/>
    </font>
    <font>
      <sz val="11"/>
      <color theme="2"/>
      <name val="Calibri"/>
      <family val="2"/>
      <scheme val="minor"/>
    </font>
    <font>
      <sz val="11"/>
      <color theme="0" tint="0.89999084444715716"/>
      <name val="Calibri"/>
      <family val="2"/>
      <scheme val="minor"/>
    </font>
    <font>
      <sz val="11"/>
      <color theme="1"/>
      <name val="Calibri"/>
      <family val="2"/>
      <scheme val="minor"/>
    </font>
    <font>
      <sz val="14"/>
      <color theme="2"/>
      <name val="Calibri"/>
      <family val="2"/>
      <scheme val="minor"/>
    </font>
    <font>
      <sz val="11"/>
      <color rgb="FFC00000"/>
      <name val="Calibri"/>
      <family val="2"/>
      <scheme val="minor"/>
    </font>
    <font>
      <sz val="11"/>
      <color theme="0"/>
      <name val="Calibri"/>
      <family val="2"/>
      <scheme val="minor"/>
    </font>
    <font>
      <b/>
      <sz val="9"/>
      <color indexed="81"/>
      <name val="Tahoma"/>
      <charset val="1"/>
    </font>
    <font>
      <sz val="11"/>
      <color theme="7" tint="0.79998168889431442"/>
      <name val="Calibri"/>
      <family val="2"/>
      <scheme val="minor"/>
    </font>
    <font>
      <sz val="9"/>
      <color indexed="81"/>
      <name val="Tahoma"/>
      <family val="2"/>
    </font>
    <font>
      <b/>
      <sz val="9"/>
      <color indexed="81"/>
      <name val="Tahoma"/>
      <family val="2"/>
    </font>
    <font>
      <sz val="11"/>
      <name val="Calibri"/>
      <family val="2"/>
      <scheme val="minor"/>
    </font>
    <font>
      <u/>
      <sz val="11"/>
      <color theme="1"/>
      <name val="Calibri"/>
      <family val="2"/>
      <scheme val="minor"/>
    </font>
  </fonts>
  <fills count="33">
    <fill>
      <patternFill patternType="none"/>
    </fill>
    <fill>
      <patternFill patternType="gray125"/>
    </fill>
    <fill>
      <patternFill patternType="solid">
        <fgColor theme="4" tint="-0.499984740745262"/>
        <bgColor indexed="64"/>
      </patternFill>
    </fill>
    <fill>
      <patternFill patternType="solid">
        <fgColor rgb="FF00B0F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4" tint="-0.249977111117893"/>
        <bgColor indexed="64"/>
      </patternFill>
    </fill>
    <fill>
      <patternFill patternType="mediumGray">
        <bgColor theme="5" tint="0.39994506668294322"/>
      </patternFill>
    </fill>
    <fill>
      <patternFill patternType="solid">
        <fgColor theme="5" tint="0.79998168889431442"/>
        <bgColor indexed="64"/>
      </patternFill>
    </fill>
    <fill>
      <patternFill patternType="solid">
        <fgColor theme="5" tint="0.59999389629810485"/>
        <bgColor indexed="64"/>
      </patternFill>
    </fill>
    <fill>
      <patternFill patternType="solid">
        <fgColor theme="1" tint="4.9989318521683403E-2"/>
        <bgColor indexed="64"/>
      </patternFill>
    </fill>
    <fill>
      <patternFill patternType="solid">
        <fgColor rgb="FF7030A0"/>
        <bgColor indexed="64"/>
      </patternFill>
    </fill>
    <fill>
      <patternFill patternType="solid">
        <fgColor theme="2" tint="-0.749992370372631"/>
        <bgColor indexed="64"/>
      </patternFill>
    </fill>
    <fill>
      <patternFill patternType="solid">
        <fgColor theme="5" tint="-0.249977111117893"/>
        <bgColor indexed="64"/>
      </patternFill>
    </fill>
    <fill>
      <patternFill patternType="solid">
        <fgColor theme="8" tint="-0.499984740745262"/>
        <bgColor indexed="64"/>
      </patternFill>
    </fill>
    <fill>
      <patternFill patternType="solid">
        <fgColor theme="9" tint="-0.249977111117893"/>
        <bgColor indexed="64"/>
      </patternFill>
    </fill>
    <fill>
      <patternFill patternType="solid">
        <fgColor theme="4"/>
        <bgColor indexed="64"/>
      </patternFill>
    </fill>
    <fill>
      <patternFill patternType="solid">
        <fgColor rgb="FFC00000"/>
        <bgColor indexed="64"/>
      </patternFill>
    </fill>
    <fill>
      <patternFill patternType="solid">
        <fgColor rgb="FFFF0000"/>
        <bgColor indexed="64"/>
      </patternFill>
    </fill>
    <fill>
      <patternFill patternType="solid">
        <fgColor rgb="FF002060"/>
        <bgColor indexed="64"/>
      </patternFill>
    </fill>
    <fill>
      <patternFill patternType="solid">
        <fgColor theme="0"/>
        <bgColor indexed="64"/>
      </patternFill>
    </fill>
    <fill>
      <patternFill patternType="solid">
        <fgColor rgb="FF00B050"/>
        <bgColor indexed="64"/>
      </patternFill>
    </fill>
    <fill>
      <patternFill patternType="solid">
        <fgColor theme="4" tint="0.39997558519241921"/>
        <bgColor indexed="64"/>
      </patternFill>
    </fill>
    <fill>
      <patternFill patternType="solid">
        <fgColor theme="0" tint="-0.499984740745262"/>
        <bgColor indexed="64"/>
      </patternFill>
    </fill>
    <fill>
      <patternFill patternType="solid">
        <fgColor rgb="FF0070C0"/>
        <bgColor indexed="64"/>
      </patternFill>
    </fill>
    <fill>
      <patternFill patternType="solid">
        <fgColor theme="3" tint="-0.499984740745262"/>
        <bgColor indexed="64"/>
      </patternFill>
    </fill>
    <fill>
      <patternFill patternType="solid">
        <fgColor theme="2" tint="-0.499984740745262"/>
        <bgColor indexed="64"/>
      </patternFill>
    </fill>
    <fill>
      <patternFill patternType="solid">
        <fgColor rgb="FF92D050"/>
        <bgColor indexed="64"/>
      </patternFill>
    </fill>
    <fill>
      <patternFill patternType="solid">
        <fgColor theme="1" tint="0.14999847407452621"/>
        <bgColor indexed="64"/>
      </patternFill>
    </fill>
    <fill>
      <patternFill patternType="solid">
        <fgColor rgb="FFFFFF0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s>
  <cellStyleXfs count="5">
    <xf numFmtId="0" fontId="0" fillId="0" borderId="0"/>
    <xf numFmtId="0" fontId="4" fillId="10" borderId="0"/>
    <xf numFmtId="164" fontId="4" fillId="0" borderId="1">
      <alignment horizontal="center" vertical="center"/>
    </xf>
    <xf numFmtId="0" fontId="4" fillId="21" borderId="1">
      <alignment horizontal="center" vertical="center"/>
    </xf>
    <xf numFmtId="0" fontId="4" fillId="3" borderId="1">
      <alignment horizontal="center" vertical="center"/>
    </xf>
  </cellStyleXfs>
  <cellXfs count="358">
    <xf numFmtId="0" fontId="0" fillId="0" borderId="0" xfId="0"/>
    <xf numFmtId="0" fontId="3" fillId="2" borderId="0" xfId="0" applyFont="1" applyFill="1" applyAlignment="1">
      <alignment horizontal="center" vertical="center"/>
    </xf>
    <xf numFmtId="0" fontId="0" fillId="0" borderId="0" xfId="0" applyFont="1"/>
    <xf numFmtId="0" fontId="3" fillId="3" borderId="0" xfId="0" applyFont="1" applyFill="1" applyAlignment="1">
      <alignment horizontal="center" vertical="center"/>
    </xf>
    <xf numFmtId="0" fontId="3" fillId="2" borderId="0" xfId="0" applyFont="1" applyFill="1" applyAlignment="1">
      <alignment horizontal="center" vertical="center"/>
    </xf>
    <xf numFmtId="0" fontId="0" fillId="0" borderId="0" xfId="0" applyNumberFormat="1"/>
    <xf numFmtId="0" fontId="2" fillId="2" borderId="0" xfId="0" applyFont="1" applyFill="1" applyAlignment="1">
      <alignment horizontal="center" vertical="center"/>
    </xf>
    <xf numFmtId="0" fontId="1" fillId="0" borderId="0" xfId="0" applyFont="1"/>
    <xf numFmtId="0" fontId="0" fillId="0" borderId="0" xfId="0" applyFill="1" applyAlignment="1"/>
    <xf numFmtId="0" fontId="0" fillId="0" borderId="0" xfId="0" applyFill="1" applyAlignment="1"/>
    <xf numFmtId="0" fontId="0" fillId="4" borderId="0" xfId="0" applyFill="1" applyAlignment="1"/>
    <xf numFmtId="0" fontId="0" fillId="5" borderId="0" xfId="0" applyFill="1" applyAlignment="1"/>
    <xf numFmtId="0" fontId="0" fillId="4" borderId="0" xfId="0" applyFont="1" applyFill="1" applyAlignment="1"/>
    <xf numFmtId="0" fontId="0" fillId="0" borderId="0" xfId="0" applyFill="1"/>
    <xf numFmtId="0" fontId="3" fillId="2" borderId="0" xfId="0" applyFont="1" applyFill="1" applyAlignment="1">
      <alignment horizontal="center" vertical="center"/>
    </xf>
    <xf numFmtId="0" fontId="3" fillId="2" borderId="0" xfId="0" applyFont="1" applyFill="1" applyAlignment="1">
      <alignment horizontal="center" vertical="center"/>
    </xf>
    <xf numFmtId="0" fontId="0" fillId="0" borderId="0" xfId="0"/>
    <xf numFmtId="0" fontId="0" fillId="0" borderId="0" xfId="0"/>
    <xf numFmtId="0" fontId="0" fillId="0" borderId="0" xfId="0"/>
    <xf numFmtId="0" fontId="0" fillId="0" borderId="0" xfId="0"/>
    <xf numFmtId="0" fontId="0" fillId="6" borderId="0" xfId="0" applyFill="1" applyAlignment="1"/>
    <xf numFmtId="0" fontId="0" fillId="6" borderId="0" xfId="0" applyFill="1"/>
    <xf numFmtId="0" fontId="0" fillId="7" borderId="0" xfId="0" applyFill="1" applyAlignment="1"/>
    <xf numFmtId="0" fontId="3" fillId="2" borderId="0" xfId="0" applyFont="1" applyFill="1" applyAlignment="1">
      <alignment horizontal="center" vertical="center"/>
    </xf>
    <xf numFmtId="0" fontId="0" fillId="0" borderId="0" xfId="0"/>
    <xf numFmtId="0" fontId="0" fillId="0" borderId="0" xfId="0" applyAlignment="1"/>
    <xf numFmtId="0" fontId="3" fillId="3" borderId="0" xfId="0" applyFont="1" applyFill="1" applyAlignment="1">
      <alignment horizontal="center" vertical="center"/>
    </xf>
    <xf numFmtId="0" fontId="0" fillId="0" borderId="0" xfId="0"/>
    <xf numFmtId="0" fontId="0" fillId="0" borderId="0" xfId="0" applyAlignment="1">
      <alignment horizontal="center" vertical="center"/>
    </xf>
    <xf numFmtId="0" fontId="2" fillId="2" borderId="1" xfId="0" applyFont="1" applyFill="1" applyBorder="1" applyAlignment="1">
      <alignment horizontal="center"/>
    </xf>
    <xf numFmtId="0" fontId="2" fillId="9" borderId="1" xfId="0" applyFont="1" applyFill="1" applyBorder="1" applyAlignment="1">
      <alignment horizontal="center"/>
    </xf>
    <xf numFmtId="0" fontId="0" fillId="12" borderId="1" xfId="0" applyFill="1" applyBorder="1" applyAlignment="1">
      <alignment horizontal="center" vertical="center"/>
    </xf>
    <xf numFmtId="0" fontId="0" fillId="6" borderId="1" xfId="0" applyFill="1" applyBorder="1" applyAlignment="1">
      <alignment horizontal="center" vertical="center"/>
    </xf>
    <xf numFmtId="0" fontId="6" fillId="0" borderId="1" xfId="0" applyFont="1" applyBorder="1" applyAlignment="1">
      <alignment horizontal="center" vertical="center"/>
    </xf>
    <xf numFmtId="0" fontId="0" fillId="11" borderId="1" xfId="0" applyNumberFormat="1" applyFill="1" applyBorder="1" applyAlignment="1">
      <alignment horizontal="center" vertical="center"/>
    </xf>
    <xf numFmtId="0" fontId="0" fillId="12" borderId="1" xfId="0" applyNumberFormat="1" applyFill="1" applyBorder="1" applyAlignment="1">
      <alignment horizontal="center" vertical="center"/>
    </xf>
    <xf numFmtId="0" fontId="0" fillId="6" borderId="1" xfId="0" applyNumberFormat="1" applyFill="1" applyBorder="1" applyAlignment="1">
      <alignment horizontal="center" vertical="center"/>
    </xf>
    <xf numFmtId="0" fontId="1" fillId="0" borderId="0" xfId="0" applyFont="1" applyAlignment="1">
      <alignment horizontal="center" vertical="center"/>
    </xf>
    <xf numFmtId="0" fontId="1"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NumberFormat="1" applyAlignment="1">
      <alignment horizontal="center" vertical="center"/>
    </xf>
    <xf numFmtId="0" fontId="6" fillId="0" borderId="0" xfId="0" applyFont="1" applyFill="1" applyAlignment="1">
      <alignment horizontal="center" vertical="center"/>
    </xf>
    <xf numFmtId="0" fontId="0" fillId="0" borderId="0" xfId="0"/>
    <xf numFmtId="0" fontId="0" fillId="0" borderId="0" xfId="0" applyFill="1" applyAlignment="1">
      <alignment horizontal="center" vertical="center"/>
    </xf>
    <xf numFmtId="0" fontId="7" fillId="15" borderId="0" xfId="0" applyFont="1" applyFill="1" applyAlignment="1">
      <alignment horizontal="left" vertical="center"/>
    </xf>
    <xf numFmtId="0" fontId="7" fillId="15" borderId="0" xfId="0" applyFont="1" applyFill="1" applyBorder="1" applyAlignment="1">
      <alignment horizontal="left" vertical="center"/>
    </xf>
    <xf numFmtId="0" fontId="9" fillId="13" borderId="1" xfId="0" applyFont="1" applyFill="1" applyBorder="1" applyAlignment="1">
      <alignment horizontal="center" vertical="center"/>
    </xf>
    <xf numFmtId="0" fontId="0" fillId="0" borderId="0" xfId="0" applyNumberFormat="1" applyFill="1" applyBorder="1" applyAlignment="1">
      <alignment horizontal="center" vertical="center"/>
    </xf>
    <xf numFmtId="0" fontId="0" fillId="0" borderId="0" xfId="0" applyAlignment="1">
      <alignment vertical="center"/>
    </xf>
    <xf numFmtId="0" fontId="0" fillId="6" borderId="0" xfId="0" applyNumberFormat="1" applyFill="1" applyAlignment="1"/>
    <xf numFmtId="0" fontId="7" fillId="19" borderId="0" xfId="0" applyFont="1" applyFill="1" applyAlignment="1">
      <alignment horizontal="center" vertical="center"/>
    </xf>
    <xf numFmtId="0" fontId="7" fillId="19" borderId="0" xfId="0" applyFont="1" applyFill="1"/>
    <xf numFmtId="0" fontId="7" fillId="9" borderId="0" xfId="0" applyFont="1" applyFill="1" applyAlignment="1">
      <alignment vertical="center"/>
    </xf>
    <xf numFmtId="0" fontId="7" fillId="18" borderId="0" xfId="0" applyFont="1" applyFill="1" applyAlignment="1">
      <alignment horizontal="center" vertical="center"/>
    </xf>
    <xf numFmtId="0" fontId="7" fillId="15" borderId="0" xfId="0" applyFont="1" applyFill="1" applyAlignment="1">
      <alignment horizontal="center" vertical="center"/>
    </xf>
    <xf numFmtId="0" fontId="7" fillId="17" borderId="0" xfId="0" applyFont="1" applyFill="1" applyAlignment="1">
      <alignment horizontal="center" vertical="center"/>
    </xf>
    <xf numFmtId="0" fontId="7" fillId="16" borderId="0" xfId="0" applyFont="1" applyFill="1" applyAlignment="1">
      <alignment horizontal="center" vertical="center"/>
    </xf>
    <xf numFmtId="0" fontId="7" fillId="20" borderId="0" xfId="0" applyFont="1" applyFill="1" applyAlignment="1">
      <alignment horizontal="center" vertical="center"/>
    </xf>
    <xf numFmtId="0" fontId="7" fillId="14" borderId="0" xfId="0" applyFont="1" applyFill="1" applyAlignment="1">
      <alignment horizontal="center" vertical="center"/>
    </xf>
    <xf numFmtId="0" fontId="7" fillId="9" borderId="1" xfId="0" applyFont="1" applyFill="1" applyBorder="1" applyAlignment="1">
      <alignment horizontal="center" vertical="center"/>
    </xf>
    <xf numFmtId="0" fontId="7" fillId="18" borderId="1" xfId="0" applyFont="1" applyFill="1" applyBorder="1" applyAlignment="1">
      <alignment horizontal="center" vertical="center"/>
    </xf>
    <xf numFmtId="0" fontId="7" fillId="15" borderId="1" xfId="0" applyFont="1" applyFill="1" applyBorder="1" applyAlignment="1">
      <alignment horizontal="center" vertical="center"/>
    </xf>
    <xf numFmtId="0" fontId="7" fillId="17" borderId="1" xfId="0" applyFont="1" applyFill="1" applyBorder="1" applyAlignment="1">
      <alignment horizontal="center" vertical="center"/>
    </xf>
    <xf numFmtId="0" fontId="7" fillId="16" borderId="1" xfId="0" applyFont="1" applyFill="1" applyBorder="1" applyAlignment="1">
      <alignment horizontal="center" vertical="center"/>
    </xf>
    <xf numFmtId="0" fontId="7" fillId="20" borderId="1" xfId="0" applyFont="1" applyFill="1" applyBorder="1" applyAlignment="1">
      <alignment horizontal="center" vertical="center"/>
    </xf>
    <xf numFmtId="0" fontId="7" fillId="14" borderId="1" xfId="0" applyFont="1" applyFill="1" applyBorder="1" applyAlignment="1">
      <alignment horizontal="center" vertical="center"/>
    </xf>
    <xf numFmtId="0" fontId="7" fillId="14" borderId="1" xfId="0" applyFont="1" applyFill="1" applyBorder="1" applyAlignment="1">
      <alignment horizontal="center"/>
    </xf>
    <xf numFmtId="0" fontId="0" fillId="0" borderId="1" xfId="0" applyBorder="1" applyAlignment="1">
      <alignment horizontal="center" vertical="center"/>
    </xf>
    <xf numFmtId="0" fontId="0" fillId="0" borderId="1" xfId="0" applyFill="1" applyBorder="1" applyAlignment="1">
      <alignment horizontal="left" vertical="top"/>
    </xf>
    <xf numFmtId="0" fontId="4" fillId="0" borderId="1" xfId="3" applyFill="1" applyBorder="1" applyAlignment="1">
      <alignment horizontal="left" vertical="top"/>
    </xf>
    <xf numFmtId="0" fontId="4" fillId="0" borderId="1" xfId="4" applyFill="1" applyBorder="1" applyAlignment="1">
      <alignment horizontal="left" vertical="top"/>
    </xf>
    <xf numFmtId="164" fontId="4" fillId="0" borderId="1" xfId="2" applyFill="1" applyBorder="1" applyAlignment="1">
      <alignment horizontal="left" vertical="top"/>
    </xf>
    <xf numFmtId="164" fontId="0" fillId="0" borderId="1" xfId="2" applyFont="1" applyFill="1" applyBorder="1" applyAlignment="1">
      <alignment horizontal="left" vertical="top"/>
    </xf>
    <xf numFmtId="0" fontId="0" fillId="0" borderId="1" xfId="0" applyFont="1" applyFill="1" applyBorder="1" applyAlignment="1">
      <alignment horizontal="left" vertical="top"/>
    </xf>
    <xf numFmtId="0" fontId="0" fillId="9" borderId="0" xfId="0" applyFill="1"/>
    <xf numFmtId="0" fontId="7" fillId="9" borderId="11" xfId="0" applyFont="1" applyFill="1" applyBorder="1" applyAlignment="1">
      <alignment horizontal="center" vertical="center"/>
    </xf>
    <xf numFmtId="0" fontId="7" fillId="22" borderId="8" xfId="0" applyFont="1" applyFill="1" applyBorder="1" applyAlignment="1">
      <alignment horizontal="center" vertical="center"/>
    </xf>
    <xf numFmtId="0" fontId="7" fillId="3" borderId="0" xfId="0" applyFont="1" applyFill="1" applyBorder="1" applyAlignment="1">
      <alignment horizontal="center" vertical="center"/>
    </xf>
    <xf numFmtId="0" fontId="7" fillId="15" borderId="0" xfId="0" applyFont="1" applyFill="1" applyBorder="1" applyAlignment="1">
      <alignment horizontal="center" vertical="center"/>
    </xf>
    <xf numFmtId="0" fontId="0" fillId="0" borderId="11" xfId="0" applyFont="1" applyFill="1" applyBorder="1" applyAlignment="1">
      <alignment horizontal="center" vertical="center"/>
    </xf>
    <xf numFmtId="0" fontId="0" fillId="0" borderId="0" xfId="0" applyFont="1" applyFill="1" applyBorder="1" applyAlignment="1">
      <alignment horizontal="center" vertical="center"/>
    </xf>
    <xf numFmtId="0" fontId="7" fillId="15" borderId="8" xfId="0" applyFont="1" applyFill="1" applyBorder="1" applyAlignment="1">
      <alignment horizontal="center" vertical="center"/>
    </xf>
    <xf numFmtId="0" fontId="0" fillId="0" borderId="1" xfId="0" applyFont="1" applyFill="1" applyBorder="1" applyAlignment="1">
      <alignment horizontal="center" vertical="center"/>
    </xf>
    <xf numFmtId="0" fontId="1" fillId="23" borderId="11" xfId="0" applyFont="1" applyFill="1" applyBorder="1" applyAlignment="1">
      <alignment horizontal="center" vertical="center"/>
    </xf>
    <xf numFmtId="0" fontId="1" fillId="23" borderId="1" xfId="0" applyFont="1" applyFill="1" applyBorder="1" applyAlignment="1">
      <alignment horizontal="center" vertical="center"/>
    </xf>
    <xf numFmtId="0" fontId="7" fillId="24" borderId="1" xfId="0" applyFont="1" applyFill="1" applyBorder="1" applyAlignment="1">
      <alignment horizontal="center" vertical="center"/>
    </xf>
    <xf numFmtId="0" fontId="1" fillId="24" borderId="12" xfId="0" applyFont="1" applyFill="1" applyBorder="1" applyAlignment="1">
      <alignment horizontal="center" vertical="center"/>
    </xf>
    <xf numFmtId="0" fontId="1" fillId="24" borderId="1" xfId="0" applyFont="1" applyFill="1" applyBorder="1" applyAlignment="1">
      <alignment horizontal="center" vertical="center"/>
    </xf>
    <xf numFmtId="0" fontId="7" fillId="24" borderId="0" xfId="0" applyFont="1" applyFill="1" applyAlignment="1">
      <alignment horizontal="center" vertical="center"/>
    </xf>
    <xf numFmtId="0" fontId="7" fillId="24" borderId="1" xfId="0" applyFont="1" applyFill="1" applyBorder="1" applyAlignment="1">
      <alignment horizontal="left" vertical="top"/>
    </xf>
    <xf numFmtId="0" fontId="0" fillId="24" borderId="0" xfId="0" applyFill="1"/>
    <xf numFmtId="164" fontId="7" fillId="24" borderId="1" xfId="2" applyFont="1" applyFill="1" applyBorder="1" applyAlignment="1">
      <alignment horizontal="left" vertical="top"/>
    </xf>
    <xf numFmtId="0" fontId="7" fillId="24" borderId="9" xfId="0" applyFont="1" applyFill="1" applyBorder="1" applyAlignment="1">
      <alignment horizontal="center" vertical="center"/>
    </xf>
    <xf numFmtId="0" fontId="0" fillId="23" borderId="0" xfId="0" applyFill="1" applyBorder="1"/>
    <xf numFmtId="0" fontId="0" fillId="23" borderId="0" xfId="0" applyFill="1" applyBorder="1" applyAlignment="1">
      <alignment horizontal="center" vertical="center"/>
    </xf>
    <xf numFmtId="0" fontId="7" fillId="23" borderId="0" xfId="0" applyFont="1" applyFill="1" applyBorder="1" applyAlignment="1">
      <alignment horizontal="center" vertical="center"/>
    </xf>
    <xf numFmtId="0" fontId="1" fillId="23" borderId="0" xfId="0" applyFont="1" applyFill="1" applyBorder="1" applyAlignment="1">
      <alignment horizontal="center" vertical="center"/>
    </xf>
    <xf numFmtId="0" fontId="1" fillId="22" borderId="8" xfId="0" applyFont="1" applyFill="1" applyBorder="1" applyAlignment="1">
      <alignment horizontal="center" vertical="center"/>
    </xf>
    <xf numFmtId="0" fontId="1" fillId="0" borderId="11" xfId="0" applyFont="1" applyFill="1" applyBorder="1" applyAlignment="1">
      <alignment horizontal="center" vertical="center"/>
    </xf>
    <xf numFmtId="0" fontId="1" fillId="0" borderId="13" xfId="0" applyFont="1" applyBorder="1" applyAlignment="1">
      <alignment horizontal="center" vertical="center"/>
    </xf>
    <xf numFmtId="0" fontId="1" fillId="24" borderId="13" xfId="0" applyFont="1" applyFill="1" applyBorder="1" applyAlignment="1">
      <alignment horizontal="center" vertical="center"/>
    </xf>
    <xf numFmtId="0" fontId="1" fillId="0" borderId="13" xfId="0" applyFont="1" applyFill="1" applyBorder="1" applyAlignment="1">
      <alignment horizontal="center" vertical="center"/>
    </xf>
    <xf numFmtId="0" fontId="7" fillId="2" borderId="0" xfId="0" applyFont="1" applyFill="1" applyBorder="1" applyAlignment="1">
      <alignment horizontal="center" vertical="center"/>
    </xf>
    <xf numFmtId="0" fontId="7" fillId="25" borderId="8" xfId="0" applyFont="1" applyFill="1" applyBorder="1" applyAlignment="1">
      <alignment horizontal="center" vertical="center"/>
    </xf>
    <xf numFmtId="0" fontId="7" fillId="2" borderId="8"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7" fillId="2" borderId="1" xfId="0" applyFont="1" applyFill="1" applyBorder="1" applyAlignment="1">
      <alignment horizontal="center" vertical="center"/>
    </xf>
    <xf numFmtId="0" fontId="0" fillId="0" borderId="0" xfId="0"/>
    <xf numFmtId="0" fontId="0" fillId="5" borderId="0" xfId="0" applyFont="1" applyFill="1" applyAlignment="1"/>
    <xf numFmtId="0" fontId="0" fillId="26" borderId="0" xfId="0" applyFill="1"/>
    <xf numFmtId="0" fontId="0" fillId="0" borderId="1" xfId="0" applyFill="1" applyBorder="1" applyAlignment="1">
      <alignment horizontal="center" vertical="center"/>
    </xf>
    <xf numFmtId="0" fontId="1" fillId="0" borderId="1" xfId="0" applyFont="1" applyFill="1" applyBorder="1" applyAlignment="1">
      <alignment horizontal="center" vertical="center"/>
    </xf>
    <xf numFmtId="0" fontId="7" fillId="24" borderId="13" xfId="0" applyFont="1" applyFill="1" applyBorder="1" applyAlignment="1">
      <alignment horizontal="center" vertical="center"/>
    </xf>
    <xf numFmtId="0" fontId="7" fillId="24" borderId="0" xfId="0" applyFont="1" applyFill="1"/>
    <xf numFmtId="0" fontId="7" fillId="24" borderId="1" xfId="0" applyNumberFormat="1" applyFont="1" applyFill="1" applyBorder="1" applyAlignment="1">
      <alignment horizontal="left" vertical="top"/>
    </xf>
    <xf numFmtId="164" fontId="7" fillId="24" borderId="9" xfId="2" applyFont="1" applyFill="1" applyBorder="1" applyAlignment="1">
      <alignment horizontal="left" vertical="top"/>
    </xf>
    <xf numFmtId="0" fontId="7" fillId="24" borderId="1" xfId="4" applyFont="1" applyFill="1" applyBorder="1" applyAlignment="1">
      <alignment horizontal="left" vertical="top"/>
    </xf>
    <xf numFmtId="0" fontId="1" fillId="23" borderId="12" xfId="0" applyNumberFormat="1" applyFont="1" applyFill="1" applyBorder="1" applyAlignment="1">
      <alignment horizontal="center" vertical="center"/>
    </xf>
    <xf numFmtId="0" fontId="0" fillId="0" borderId="1" xfId="0" applyNumberFormat="1" applyFill="1" applyBorder="1" applyAlignment="1">
      <alignment horizontal="left" vertical="top"/>
    </xf>
    <xf numFmtId="0" fontId="7" fillId="22" borderId="0" xfId="0" applyNumberFormat="1" applyFont="1" applyFill="1" applyBorder="1" applyAlignment="1">
      <alignment horizontal="center" vertical="center"/>
    </xf>
    <xf numFmtId="0" fontId="7" fillId="22" borderId="8" xfId="0" applyNumberFormat="1" applyFont="1" applyFill="1" applyBorder="1" applyAlignment="1">
      <alignment horizontal="center" vertical="center"/>
    </xf>
    <xf numFmtId="0" fontId="0" fillId="0" borderId="11" xfId="0" applyNumberFormat="1" applyFont="1" applyFill="1" applyBorder="1" applyAlignment="1">
      <alignment horizontal="center" vertical="center"/>
    </xf>
    <xf numFmtId="0" fontId="4" fillId="0" borderId="1" xfId="2" applyNumberFormat="1" applyFill="1" applyBorder="1" applyAlignment="1">
      <alignment horizontal="left" vertical="top"/>
    </xf>
    <xf numFmtId="0" fontId="4" fillId="0" borderId="1" xfId="4" applyNumberFormat="1" applyFill="1" applyBorder="1" applyAlignment="1">
      <alignment horizontal="left" vertical="top"/>
    </xf>
    <xf numFmtId="0" fontId="0" fillId="0" borderId="1" xfId="3" applyNumberFormat="1" applyFont="1" applyFill="1" applyBorder="1" applyAlignment="1">
      <alignment horizontal="left" vertical="top"/>
    </xf>
    <xf numFmtId="0" fontId="7" fillId="24" borderId="1" xfId="4" applyNumberFormat="1" applyFont="1" applyFill="1" applyBorder="1" applyAlignment="1">
      <alignment horizontal="left" vertical="top"/>
    </xf>
    <xf numFmtId="0" fontId="4" fillId="0" borderId="1" xfId="3" applyNumberFormat="1" applyFill="1" applyBorder="1" applyAlignment="1">
      <alignment horizontal="left" vertical="top"/>
    </xf>
    <xf numFmtId="0" fontId="0" fillId="0" borderId="1" xfId="0" applyNumberFormat="1" applyFont="1" applyFill="1" applyBorder="1" applyAlignment="1">
      <alignment horizontal="left" vertical="top"/>
    </xf>
    <xf numFmtId="0" fontId="7" fillId="24" borderId="1" xfId="2" applyNumberFormat="1" applyFont="1" applyFill="1" applyBorder="1" applyAlignment="1">
      <alignment horizontal="left" vertical="top"/>
    </xf>
    <xf numFmtId="0" fontId="7" fillId="24" borderId="9" xfId="2" applyNumberFormat="1" applyFont="1" applyFill="1" applyBorder="1" applyAlignment="1">
      <alignment horizontal="left" vertical="top"/>
    </xf>
    <xf numFmtId="0" fontId="0" fillId="23" borderId="0" xfId="0" applyNumberFormat="1" applyFill="1" applyBorder="1"/>
    <xf numFmtId="0" fontId="1" fillId="23" borderId="1" xfId="0" applyNumberFormat="1" applyFont="1" applyFill="1" applyBorder="1" applyAlignment="1">
      <alignment horizontal="center" vertical="center"/>
    </xf>
    <xf numFmtId="0" fontId="7" fillId="24" borderId="1" xfId="0" applyNumberFormat="1" applyFont="1" applyFill="1" applyBorder="1" applyAlignment="1">
      <alignment horizontal="center" vertical="center"/>
    </xf>
    <xf numFmtId="0" fontId="1" fillId="24" borderId="1" xfId="0" applyNumberFormat="1" applyFont="1" applyFill="1" applyBorder="1" applyAlignment="1">
      <alignment horizontal="center" vertical="center"/>
    </xf>
    <xf numFmtId="0" fontId="1" fillId="0" borderId="12" xfId="0" applyNumberFormat="1" applyFont="1" applyFill="1" applyBorder="1" applyAlignment="1">
      <alignment horizontal="center" vertical="center"/>
    </xf>
    <xf numFmtId="0" fontId="7" fillId="24" borderId="12" xfId="0" applyNumberFormat="1" applyFont="1" applyFill="1" applyBorder="1" applyAlignment="1">
      <alignment horizontal="center" vertical="center"/>
    </xf>
    <xf numFmtId="0" fontId="1" fillId="24" borderId="12" xfId="0" applyNumberFormat="1" applyFont="1" applyFill="1" applyBorder="1" applyAlignment="1">
      <alignment horizontal="center" vertical="center"/>
    </xf>
    <xf numFmtId="0" fontId="1" fillId="0" borderId="1" xfId="0" applyNumberFormat="1" applyFont="1" applyFill="1" applyBorder="1" applyAlignment="1">
      <alignment horizontal="center" vertical="center"/>
    </xf>
    <xf numFmtId="0" fontId="7" fillId="24" borderId="2" xfId="0" applyFont="1" applyFill="1" applyBorder="1" applyAlignment="1">
      <alignment horizontal="center" vertical="center"/>
    </xf>
    <xf numFmtId="0" fontId="7" fillId="2" borderId="1" xfId="0" applyFont="1" applyFill="1" applyBorder="1" applyAlignment="1">
      <alignment horizontal="center" vertical="center"/>
    </xf>
    <xf numFmtId="0" fontId="0" fillId="0" borderId="0" xfId="0"/>
    <xf numFmtId="0" fontId="1" fillId="0" borderId="0" xfId="0" applyFont="1" applyBorder="1" applyAlignment="1">
      <alignment horizontal="center" vertical="center"/>
    </xf>
    <xf numFmtId="0" fontId="0" fillId="0" borderId="0" xfId="0"/>
    <xf numFmtId="0" fontId="7" fillId="24" borderId="9" xfId="2" applyNumberFormat="1" applyFont="1" applyFill="1" applyBorder="1" applyAlignment="1">
      <alignment horizontal="center" vertical="center"/>
    </xf>
    <xf numFmtId="0" fontId="12" fillId="0" borderId="1" xfId="0" applyNumberFormat="1" applyFont="1" applyFill="1" applyBorder="1" applyAlignment="1">
      <alignment horizontal="left" vertical="top"/>
    </xf>
    <xf numFmtId="0" fontId="12" fillId="0" borderId="1" xfId="0" applyFont="1" applyFill="1" applyBorder="1" applyAlignment="1">
      <alignment horizontal="left" vertical="top"/>
    </xf>
    <xf numFmtId="0" fontId="12" fillId="0" borderId="0" xfId="0" applyFont="1" applyFill="1"/>
    <xf numFmtId="0" fontId="12" fillId="0" borderId="1" xfId="2" applyNumberFormat="1" applyFont="1" applyFill="1" applyBorder="1" applyAlignment="1">
      <alignment horizontal="left" vertical="top"/>
    </xf>
    <xf numFmtId="164" fontId="12" fillId="0" borderId="1" xfId="2" applyFont="1" applyFill="1" applyBorder="1" applyAlignment="1">
      <alignment horizontal="left" vertical="top"/>
    </xf>
    <xf numFmtId="0" fontId="12" fillId="0" borderId="0" xfId="0" applyFont="1" applyFill="1" applyAlignment="1">
      <alignment horizontal="center" vertical="center"/>
    </xf>
    <xf numFmtId="0" fontId="12" fillId="0" borderId="1" xfId="4" applyNumberFormat="1" applyFont="1" applyFill="1" applyBorder="1" applyAlignment="1">
      <alignment horizontal="left" vertical="top"/>
    </xf>
    <xf numFmtId="0" fontId="12" fillId="0" borderId="1" xfId="4" applyFont="1" applyFill="1" applyBorder="1" applyAlignment="1">
      <alignment horizontal="left" vertical="top"/>
    </xf>
    <xf numFmtId="0" fontId="12" fillId="0" borderId="1" xfId="3" applyNumberFormat="1" applyFont="1" applyFill="1" applyBorder="1" applyAlignment="1">
      <alignment horizontal="left" vertical="top"/>
    </xf>
    <xf numFmtId="0" fontId="12" fillId="0" borderId="1" xfId="3" applyFont="1" applyFill="1" applyBorder="1" applyAlignment="1">
      <alignment horizontal="left" vertical="top"/>
    </xf>
    <xf numFmtId="0" fontId="12" fillId="0" borderId="9" xfId="2" applyNumberFormat="1" applyFont="1" applyFill="1" applyBorder="1" applyAlignment="1">
      <alignment horizontal="left" vertical="top"/>
    </xf>
    <xf numFmtId="164" fontId="12" fillId="0" borderId="9" xfId="2" applyFont="1" applyFill="1" applyBorder="1" applyAlignment="1">
      <alignment horizontal="left" vertical="top"/>
    </xf>
    <xf numFmtId="0" fontId="7" fillId="2" borderId="11" xfId="0" applyFont="1" applyFill="1" applyBorder="1" applyAlignment="1">
      <alignment horizontal="center" vertical="center"/>
    </xf>
    <xf numFmtId="0" fontId="7" fillId="2" borderId="13" xfId="0" applyFont="1" applyFill="1" applyBorder="1" applyAlignment="1">
      <alignment horizontal="center" vertical="center"/>
    </xf>
    <xf numFmtId="0" fontId="7" fillId="3" borderId="1" xfId="0" applyFont="1" applyFill="1" applyBorder="1" applyAlignment="1">
      <alignment horizontal="center" vertical="center"/>
    </xf>
    <xf numFmtId="0" fontId="0" fillId="0" borderId="0" xfId="0" applyFont="1" applyFill="1" applyAlignment="1">
      <alignment vertical="center"/>
    </xf>
    <xf numFmtId="0" fontId="0" fillId="0" borderId="0" xfId="0" applyFont="1" applyFill="1"/>
    <xf numFmtId="0" fontId="0" fillId="0" borderId="5" xfId="0" applyFont="1" applyFill="1" applyBorder="1" applyAlignment="1">
      <alignment vertical="center"/>
    </xf>
    <xf numFmtId="0" fontId="0" fillId="0" borderId="0" xfId="0" applyFont="1" applyFill="1" applyBorder="1" applyAlignment="1">
      <alignment vertical="center"/>
    </xf>
    <xf numFmtId="0" fontId="7" fillId="2" borderId="1" xfId="0" applyFont="1" applyFill="1" applyBorder="1" applyAlignment="1">
      <alignment horizontal="center" vertical="center"/>
    </xf>
    <xf numFmtId="0" fontId="7" fillId="19" borderId="0" xfId="0" applyFont="1" applyFill="1" applyAlignment="1">
      <alignment horizontal="center" vertical="center"/>
    </xf>
    <xf numFmtId="0" fontId="0" fillId="0" borderId="0" xfId="0"/>
    <xf numFmtId="0" fontId="7" fillId="19" borderId="0" xfId="0" applyFont="1" applyFill="1" applyAlignment="1">
      <alignment vertical="center"/>
    </xf>
    <xf numFmtId="0" fontId="12" fillId="0" borderId="0" xfId="0" applyFont="1" applyFill="1" applyBorder="1" applyAlignment="1">
      <alignment horizontal="center" vertical="center"/>
    </xf>
    <xf numFmtId="0" fontId="12" fillId="0" borderId="0" xfId="0" applyFont="1" applyFill="1" applyBorder="1" applyAlignment="1">
      <alignment horizontal="left" vertical="center"/>
    </xf>
    <xf numFmtId="0" fontId="0" fillId="0" borderId="0" xfId="0" applyBorder="1" applyAlignment="1">
      <alignment vertical="center"/>
    </xf>
    <xf numFmtId="0" fontId="7" fillId="27" borderId="0" xfId="0" applyFont="1" applyFill="1" applyAlignment="1">
      <alignment vertical="center"/>
    </xf>
    <xf numFmtId="0" fontId="7" fillId="2" borderId="6" xfId="0" applyFont="1" applyFill="1" applyBorder="1" applyAlignment="1">
      <alignment horizontal="center" vertical="center"/>
    </xf>
    <xf numFmtId="0" fontId="7" fillId="28" borderId="8" xfId="0" applyNumberFormat="1" applyFont="1" applyFill="1" applyBorder="1" applyAlignment="1">
      <alignment horizontal="center" vertical="center"/>
    </xf>
    <xf numFmtId="0" fontId="7" fillId="28" borderId="8" xfId="0" applyFont="1" applyFill="1" applyBorder="1" applyAlignment="1">
      <alignment horizontal="center" vertical="center"/>
    </xf>
    <xf numFmtId="0" fontId="12" fillId="28" borderId="0" xfId="0" applyFont="1" applyFill="1" applyBorder="1" applyAlignment="1">
      <alignment horizontal="center" vertical="center"/>
    </xf>
    <xf numFmtId="0" fontId="0" fillId="28" borderId="0" xfId="0" applyFill="1"/>
    <xf numFmtId="0" fontId="0" fillId="28" borderId="0" xfId="0" applyFill="1" applyAlignment="1">
      <alignment horizontal="center" vertical="center"/>
    </xf>
    <xf numFmtId="0" fontId="0" fillId="9" borderId="0" xfId="0" applyFill="1" applyAlignment="1">
      <alignment horizontal="center" vertical="center"/>
    </xf>
    <xf numFmtId="0" fontId="12" fillId="0" borderId="2" xfId="0" applyFont="1" applyFill="1" applyBorder="1" applyAlignment="1">
      <alignment horizontal="center" vertical="center"/>
    </xf>
    <xf numFmtId="0" fontId="12" fillId="0" borderId="9" xfId="0" applyFont="1" applyFill="1" applyBorder="1" applyAlignment="1">
      <alignment horizontal="center" vertical="center"/>
    </xf>
    <xf numFmtId="0" fontId="0" fillId="0" borderId="0" xfId="0"/>
    <xf numFmtId="0" fontId="7" fillId="2" borderId="1" xfId="0" applyFont="1" applyFill="1" applyBorder="1" applyAlignment="1">
      <alignment horizontal="center" vertical="center"/>
    </xf>
    <xf numFmtId="0" fontId="0" fillId="0" borderId="0" xfId="0"/>
    <xf numFmtId="0" fontId="7" fillId="15" borderId="1" xfId="0" applyFont="1" applyFill="1" applyBorder="1"/>
    <xf numFmtId="0" fontId="7" fillId="29" borderId="1" xfId="0" applyFont="1" applyFill="1" applyBorder="1"/>
    <xf numFmtId="0" fontId="7" fillId="29" borderId="1" xfId="0" applyFont="1" applyFill="1" applyBorder="1" applyAlignment="1">
      <alignment horizontal="center" vertical="center"/>
    </xf>
    <xf numFmtId="0" fontId="7" fillId="8" borderId="0" xfId="0" applyFont="1" applyFill="1" applyAlignment="1"/>
    <xf numFmtId="0" fontId="7" fillId="24" borderId="12" xfId="0" applyFont="1" applyFill="1" applyBorder="1" applyAlignment="1">
      <alignment horizontal="center" vertical="center"/>
    </xf>
    <xf numFmtId="0" fontId="7" fillId="2" borderId="1" xfId="0" applyFont="1" applyFill="1" applyBorder="1" applyAlignment="1">
      <alignment horizontal="center" vertical="center"/>
    </xf>
    <xf numFmtId="0" fontId="0" fillId="0" borderId="0" xfId="0"/>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0" fillId="0" borderId="1" xfId="0" applyBorder="1"/>
    <xf numFmtId="0" fontId="7" fillId="9" borderId="13" xfId="0" applyFont="1" applyFill="1" applyBorder="1" applyAlignment="1">
      <alignment horizontal="center" vertical="center"/>
    </xf>
    <xf numFmtId="0" fontId="7" fillId="9" borderId="1" xfId="0" applyNumberFormat="1" applyFont="1" applyFill="1" applyBorder="1" applyAlignment="1">
      <alignment horizontal="left" vertical="top"/>
    </xf>
    <xf numFmtId="0" fontId="7" fillId="9" borderId="1" xfId="0" applyFont="1" applyFill="1" applyBorder="1" applyAlignment="1">
      <alignment horizontal="left" vertical="top"/>
    </xf>
    <xf numFmtId="0" fontId="7" fillId="9" borderId="0" xfId="0" applyFont="1" applyFill="1"/>
    <xf numFmtId="0" fontId="7" fillId="9" borderId="1" xfId="2" applyNumberFormat="1" applyFont="1" applyFill="1" applyBorder="1" applyAlignment="1">
      <alignment horizontal="left" vertical="top"/>
    </xf>
    <xf numFmtId="164" fontId="7" fillId="9" borderId="1" xfId="2" applyFont="1" applyFill="1" applyBorder="1" applyAlignment="1">
      <alignment horizontal="left" vertical="top"/>
    </xf>
    <xf numFmtId="0" fontId="7" fillId="9" borderId="1" xfId="3" applyNumberFormat="1" applyFont="1" applyFill="1" applyBorder="1" applyAlignment="1">
      <alignment horizontal="left" vertical="top"/>
    </xf>
    <xf numFmtId="0" fontId="7" fillId="16" borderId="13" xfId="0" applyFont="1" applyFill="1" applyBorder="1" applyAlignment="1">
      <alignment horizontal="center" vertical="center"/>
    </xf>
    <xf numFmtId="0" fontId="7" fillId="16" borderId="1" xfId="0" applyNumberFormat="1" applyFont="1" applyFill="1" applyBorder="1" applyAlignment="1">
      <alignment horizontal="left" vertical="top"/>
    </xf>
    <xf numFmtId="0" fontId="7" fillId="16" borderId="1" xfId="0" applyFont="1" applyFill="1" applyBorder="1" applyAlignment="1">
      <alignment horizontal="left" vertical="top"/>
    </xf>
    <xf numFmtId="0" fontId="7" fillId="16" borderId="0" xfId="0" applyFont="1" applyFill="1" applyBorder="1" applyAlignment="1">
      <alignment horizontal="center" vertical="center"/>
    </xf>
    <xf numFmtId="0" fontId="7" fillId="16" borderId="0" xfId="0" applyFont="1" applyFill="1"/>
    <xf numFmtId="0" fontId="7" fillId="16" borderId="1" xfId="4" applyNumberFormat="1" applyFont="1" applyFill="1" applyBorder="1" applyAlignment="1">
      <alignment horizontal="left" vertical="top"/>
    </xf>
    <xf numFmtId="0" fontId="7" fillId="16" borderId="1" xfId="4" applyFont="1" applyFill="1" applyBorder="1" applyAlignment="1">
      <alignment horizontal="left" vertical="top"/>
    </xf>
    <xf numFmtId="0" fontId="7" fillId="16" borderId="1" xfId="2" applyNumberFormat="1" applyFont="1" applyFill="1" applyBorder="1" applyAlignment="1">
      <alignment horizontal="left" vertical="top"/>
    </xf>
    <xf numFmtId="164" fontId="7" fillId="16" borderId="1" xfId="2" applyFont="1" applyFill="1" applyBorder="1" applyAlignment="1">
      <alignment horizontal="left" vertical="top"/>
    </xf>
    <xf numFmtId="2" fontId="0" fillId="0" borderId="1" xfId="0" applyNumberFormat="1" applyFill="1" applyBorder="1" applyAlignment="1">
      <alignment horizontal="left" vertical="top"/>
    </xf>
    <xf numFmtId="2" fontId="4" fillId="0" borderId="1" xfId="2" applyNumberFormat="1" applyFill="1" applyBorder="1" applyAlignment="1">
      <alignment horizontal="left" vertical="top"/>
    </xf>
    <xf numFmtId="2" fontId="4" fillId="0" borderId="1" xfId="3" applyNumberFormat="1" applyFill="1" applyBorder="1" applyAlignment="1">
      <alignment horizontal="left" vertical="top"/>
    </xf>
    <xf numFmtId="0" fontId="7" fillId="14" borderId="13" xfId="0" applyFont="1" applyFill="1" applyBorder="1" applyAlignment="1">
      <alignment horizontal="center" vertical="center"/>
    </xf>
    <xf numFmtId="0" fontId="7" fillId="14" borderId="1" xfId="0" applyNumberFormat="1" applyFont="1" applyFill="1" applyBorder="1" applyAlignment="1">
      <alignment horizontal="left" vertical="top"/>
    </xf>
    <xf numFmtId="0" fontId="7" fillId="14" borderId="1" xfId="0" applyFont="1" applyFill="1" applyBorder="1" applyAlignment="1">
      <alignment horizontal="left" vertical="top"/>
    </xf>
    <xf numFmtId="0" fontId="7" fillId="14" borderId="0" xfId="0" applyFont="1" applyFill="1" applyBorder="1" applyAlignment="1">
      <alignment horizontal="center" vertical="center"/>
    </xf>
    <xf numFmtId="0" fontId="7" fillId="14" borderId="0" xfId="0" applyFont="1" applyFill="1"/>
    <xf numFmtId="0" fontId="7" fillId="14" borderId="1" xfId="3" applyNumberFormat="1" applyFont="1" applyFill="1" applyBorder="1" applyAlignment="1">
      <alignment horizontal="left" vertical="top"/>
    </xf>
    <xf numFmtId="164" fontId="7" fillId="14" borderId="1" xfId="2" applyFont="1" applyFill="1" applyBorder="1" applyAlignment="1">
      <alignment horizontal="left" vertical="top"/>
    </xf>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0" fillId="0" borderId="0" xfId="0"/>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7" fillId="14" borderId="1" xfId="3" applyFont="1" applyFill="1" applyBorder="1" applyAlignment="1">
      <alignment horizontal="left" vertical="top"/>
    </xf>
    <xf numFmtId="0" fontId="7" fillId="14" borderId="1" xfId="2" applyNumberFormat="1" applyFont="1" applyFill="1" applyBorder="1" applyAlignment="1">
      <alignment horizontal="left" vertical="top"/>
    </xf>
    <xf numFmtId="164" fontId="7" fillId="14" borderId="9" xfId="2" applyFont="1" applyFill="1" applyBorder="1" applyAlignment="1">
      <alignment horizontal="left" vertical="top"/>
    </xf>
    <xf numFmtId="0" fontId="7" fillId="14" borderId="1" xfId="0" applyFont="1" applyFill="1" applyBorder="1"/>
    <xf numFmtId="0" fontId="7" fillId="0" borderId="0" xfId="0" applyFont="1" applyFill="1" applyAlignment="1">
      <alignment horizontal="center" vertical="center"/>
    </xf>
    <xf numFmtId="0" fontId="7" fillId="21" borderId="13" xfId="0" applyFont="1" applyFill="1" applyBorder="1" applyAlignment="1">
      <alignment horizontal="center" vertical="center"/>
    </xf>
    <xf numFmtId="0" fontId="7" fillId="21" borderId="1" xfId="0" applyFont="1" applyFill="1" applyBorder="1" applyAlignment="1">
      <alignment horizontal="center" vertical="center"/>
    </xf>
    <xf numFmtId="0" fontId="7" fillId="21" borderId="1" xfId="0" applyNumberFormat="1" applyFont="1" applyFill="1" applyBorder="1" applyAlignment="1">
      <alignment horizontal="left" vertical="top"/>
    </xf>
    <xf numFmtId="0" fontId="7" fillId="21" borderId="1" xfId="0" applyFont="1" applyFill="1" applyBorder="1" applyAlignment="1">
      <alignment horizontal="left" vertical="top"/>
    </xf>
    <xf numFmtId="0" fontId="7" fillId="21" borderId="0" xfId="0" applyFont="1" applyFill="1" applyBorder="1" applyAlignment="1">
      <alignment horizontal="center" vertical="center"/>
    </xf>
    <xf numFmtId="0" fontId="7" fillId="21" borderId="0" xfId="0" applyFont="1" applyFill="1"/>
    <xf numFmtId="0" fontId="7" fillId="21" borderId="0" xfId="0" applyFont="1" applyFill="1" applyAlignment="1">
      <alignment horizontal="center" vertical="center"/>
    </xf>
    <xf numFmtId="0" fontId="7" fillId="21" borderId="1" xfId="3" applyNumberFormat="1" applyFont="1" applyFill="1" applyBorder="1" applyAlignment="1">
      <alignment horizontal="left" vertical="top"/>
    </xf>
    <xf numFmtId="0" fontId="7" fillId="21" borderId="1" xfId="3" applyFont="1" applyFill="1" applyBorder="1" applyAlignment="1">
      <alignment horizontal="left" vertical="top"/>
    </xf>
    <xf numFmtId="0" fontId="7" fillId="21" borderId="1" xfId="2" applyNumberFormat="1" applyFont="1" applyFill="1" applyBorder="1" applyAlignment="1">
      <alignment horizontal="left" vertical="top"/>
    </xf>
    <xf numFmtId="164" fontId="7" fillId="21" borderId="1" xfId="2" applyFont="1" applyFill="1" applyBorder="1" applyAlignment="1">
      <alignment horizontal="left" vertical="top"/>
    </xf>
    <xf numFmtId="20" fontId="7" fillId="16" borderId="1" xfId="0" applyNumberFormat="1" applyFont="1" applyFill="1" applyBorder="1" applyAlignment="1">
      <alignment horizontal="left" vertical="top"/>
    </xf>
    <xf numFmtId="0" fontId="7" fillId="30" borderId="1" xfId="0" applyNumberFormat="1" applyFont="1" applyFill="1" applyBorder="1" applyAlignment="1">
      <alignment horizontal="left" vertical="top"/>
    </xf>
    <xf numFmtId="0" fontId="7" fillId="30" borderId="1" xfId="0" applyFont="1" applyFill="1" applyBorder="1" applyAlignment="1">
      <alignment horizontal="left" vertical="top"/>
    </xf>
    <xf numFmtId="0" fontId="7" fillId="30" borderId="13" xfId="0" applyFont="1" applyFill="1" applyBorder="1" applyAlignment="1">
      <alignment horizontal="center" vertical="center"/>
    </xf>
    <xf numFmtId="0" fontId="7" fillId="30" borderId="1" xfId="0" applyFont="1" applyFill="1" applyBorder="1" applyAlignment="1">
      <alignment horizontal="center" vertical="center"/>
    </xf>
    <xf numFmtId="0" fontId="7" fillId="30" borderId="0" xfId="0" applyFont="1" applyFill="1" applyBorder="1" applyAlignment="1">
      <alignment horizontal="center" vertical="center"/>
    </xf>
    <xf numFmtId="0" fontId="7" fillId="30" borderId="0" xfId="0" applyFont="1" applyFill="1"/>
    <xf numFmtId="0" fontId="7" fillId="30" borderId="0" xfId="0" applyFont="1" applyFill="1" applyAlignment="1">
      <alignment horizontal="center" vertical="center"/>
    </xf>
    <xf numFmtId="0" fontId="7" fillId="30" borderId="1" xfId="3" applyNumberFormat="1" applyFont="1" applyFill="1" applyBorder="1" applyAlignment="1">
      <alignment horizontal="left" vertical="top"/>
    </xf>
    <xf numFmtId="164" fontId="7" fillId="30" borderId="1" xfId="2" applyFont="1" applyFill="1" applyBorder="1" applyAlignment="1">
      <alignment horizontal="left" vertical="top"/>
    </xf>
    <xf numFmtId="0" fontId="7" fillId="16" borderId="1" xfId="3" applyNumberFormat="1" applyFont="1" applyFill="1" applyBorder="1" applyAlignment="1">
      <alignment horizontal="left" vertical="top"/>
    </xf>
    <xf numFmtId="0" fontId="7" fillId="16" borderId="1" xfId="3" applyFont="1" applyFill="1" applyBorder="1" applyAlignment="1">
      <alignment horizontal="left" vertical="top"/>
    </xf>
    <xf numFmtId="0" fontId="7" fillId="9" borderId="0" xfId="0" applyFont="1" applyFill="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7" fillId="25" borderId="4" xfId="0" applyFont="1" applyFill="1" applyBorder="1" applyAlignment="1"/>
    <xf numFmtId="0" fontId="7" fillId="9" borderId="13" xfId="0" applyFont="1" applyFill="1" applyBorder="1" applyAlignment="1"/>
    <xf numFmtId="0" fontId="7" fillId="25" borderId="2" xfId="0" applyFont="1" applyFill="1" applyBorder="1" applyAlignment="1"/>
    <xf numFmtId="0" fontId="0" fillId="0" borderId="1" xfId="0" applyFill="1" applyBorder="1" applyAlignment="1">
      <alignment horizontal="left" vertical="top"/>
    </xf>
    <xf numFmtId="49" fontId="0" fillId="0" borderId="1" xfId="0" applyNumberFormat="1" applyFill="1" applyBorder="1" applyAlignment="1">
      <alignment horizontal="left" vertical="top"/>
    </xf>
    <xf numFmtId="0" fontId="0" fillId="0" borderId="0" xfId="0"/>
    <xf numFmtId="0" fontId="7" fillId="9" borderId="0" xfId="0" applyFont="1" applyFill="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0" fillId="23" borderId="1" xfId="0" applyNumberFormat="1" applyFont="1" applyFill="1" applyBorder="1" applyAlignment="1">
      <alignment horizontal="left" vertical="top"/>
    </xf>
    <xf numFmtId="0" fontId="7" fillId="9" borderId="0" xfId="0" applyFont="1" applyFill="1" applyAlignment="1">
      <alignment horizontal="center" vertical="center"/>
    </xf>
    <xf numFmtId="0" fontId="1" fillId="0" borderId="0" xfId="0" applyFont="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0" fillId="0" borderId="0" xfId="0"/>
    <xf numFmtId="0" fontId="13" fillId="0" borderId="0" xfId="0" applyFont="1"/>
    <xf numFmtId="0" fontId="7" fillId="2" borderId="0" xfId="0" applyFont="1" applyFill="1" applyAlignment="1">
      <alignment vertical="center"/>
    </xf>
    <xf numFmtId="0" fontId="7" fillId="25" borderId="0" xfId="0" applyFont="1" applyFill="1" applyAlignment="1">
      <alignment vertical="center"/>
    </xf>
    <xf numFmtId="0" fontId="7" fillId="20" borderId="0" xfId="0" applyFont="1" applyFill="1" applyAlignment="1">
      <alignment horizontal="center"/>
    </xf>
    <xf numFmtId="0" fontId="0" fillId="30" borderId="0" xfId="0" applyFill="1" applyAlignment="1">
      <alignment horizontal="center" vertical="center"/>
    </xf>
    <xf numFmtId="0" fontId="7" fillId="27" borderId="0" xfId="0" applyFont="1" applyFill="1" applyAlignment="1">
      <alignment horizontal="center" vertical="center"/>
    </xf>
    <xf numFmtId="0" fontId="1" fillId="31" borderId="0" xfId="0" applyFont="1" applyFill="1" applyAlignment="1">
      <alignment horizontal="center" vertical="center"/>
    </xf>
    <xf numFmtId="0" fontId="1" fillId="31" borderId="12" xfId="0" applyNumberFormat="1" applyFont="1" applyFill="1" applyBorder="1" applyAlignment="1">
      <alignment horizontal="center" vertical="center"/>
    </xf>
    <xf numFmtId="0" fontId="7" fillId="27" borderId="8" xfId="0" applyFont="1" applyFill="1" applyBorder="1" applyAlignment="1"/>
    <xf numFmtId="0" fontId="7" fillId="27" borderId="8" xfId="0" applyFont="1" applyFill="1" applyBorder="1" applyAlignment="1">
      <alignment horizontal="center" vertical="center"/>
    </xf>
    <xf numFmtId="0" fontId="7" fillId="3" borderId="0" xfId="0" applyFont="1" applyFill="1" applyBorder="1" applyAlignment="1"/>
    <xf numFmtId="0" fontId="7" fillId="31" borderId="0" xfId="0" applyFont="1" applyFill="1" applyAlignment="1">
      <alignment horizontal="center" vertical="center"/>
    </xf>
    <xf numFmtId="0" fontId="6" fillId="30" borderId="0" xfId="0" applyFont="1" applyFill="1" applyAlignment="1">
      <alignment horizontal="center" vertical="center"/>
    </xf>
    <xf numFmtId="0" fontId="0" fillId="32" borderId="0" xfId="0" applyFill="1" applyAlignment="1">
      <alignment horizontal="center" vertical="center"/>
    </xf>
    <xf numFmtId="0" fontId="7" fillId="15" borderId="0" xfId="0" applyFont="1" applyFill="1" applyAlignment="1">
      <alignment horizontal="center" vertical="center"/>
    </xf>
    <xf numFmtId="0" fontId="0" fillId="0" borderId="0" xfId="0"/>
    <xf numFmtId="0" fontId="0" fillId="0" borderId="0" xfId="0"/>
    <xf numFmtId="0" fontId="0" fillId="4" borderId="0" xfId="0" applyFill="1"/>
    <xf numFmtId="0" fontId="7" fillId="15" borderId="0" xfId="0" applyFont="1" applyFill="1" applyAlignment="1">
      <alignment horizontal="center" vertical="center"/>
    </xf>
    <xf numFmtId="0" fontId="7" fillId="19" borderId="2" xfId="0" applyFont="1" applyFill="1" applyBorder="1" applyAlignment="1">
      <alignment horizontal="center" vertical="center"/>
    </xf>
    <xf numFmtId="0" fontId="7" fillId="19" borderId="14" xfId="0" applyFont="1" applyFill="1" applyBorder="1" applyAlignment="1">
      <alignment horizontal="center" vertical="center"/>
    </xf>
    <xf numFmtId="0" fontId="7" fillId="19" borderId="8" xfId="0" applyFont="1" applyFill="1" applyBorder="1" applyAlignment="1">
      <alignment horizontal="center"/>
    </xf>
    <xf numFmtId="0" fontId="2" fillId="8" borderId="6" xfId="0" applyFont="1" applyFill="1" applyBorder="1" applyAlignment="1">
      <alignment horizontal="center"/>
    </xf>
    <xf numFmtId="0" fontId="2" fillId="8" borderId="8" xfId="0" applyFont="1" applyFill="1" applyBorder="1" applyAlignment="1">
      <alignment horizontal="center"/>
    </xf>
    <xf numFmtId="0" fontId="0" fillId="0" borderId="0" xfId="0" applyBorder="1" applyAlignment="1">
      <alignment horizontal="center"/>
    </xf>
    <xf numFmtId="0" fontId="1" fillId="0" borderId="0" xfId="0" applyFont="1" applyAlignment="1">
      <alignment horizontal="center"/>
    </xf>
    <xf numFmtId="0" fontId="1" fillId="0" borderId="5" xfId="0" applyFont="1" applyBorder="1" applyAlignment="1">
      <alignment horizontal="center"/>
    </xf>
    <xf numFmtId="0" fontId="7" fillId="9" borderId="0" xfId="0" applyFont="1" applyFill="1" applyAlignment="1">
      <alignment horizontal="center" vertical="center"/>
    </xf>
    <xf numFmtId="0" fontId="7" fillId="9" borderId="5" xfId="0" applyFont="1" applyFill="1" applyBorder="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5" fillId="2" borderId="12" xfId="0" applyFont="1" applyFill="1" applyBorder="1" applyAlignment="1">
      <alignment horizontal="center" vertical="center"/>
    </xf>
    <xf numFmtId="0" fontId="7" fillId="19" borderId="0" xfId="0" applyFont="1" applyFill="1" applyAlignment="1">
      <alignment horizontal="center"/>
    </xf>
    <xf numFmtId="0" fontId="7" fillId="19" borderId="1" xfId="0" applyFont="1" applyFill="1" applyBorder="1" applyAlignment="1">
      <alignment horizontal="center" vertical="center"/>
    </xf>
    <xf numFmtId="0" fontId="7" fillId="19" borderId="5" xfId="0" applyFont="1" applyFill="1" applyBorder="1" applyAlignment="1">
      <alignment horizontal="center"/>
    </xf>
    <xf numFmtId="0" fontId="5" fillId="9" borderId="3" xfId="0" applyFont="1" applyFill="1" applyBorder="1" applyAlignment="1">
      <alignment horizontal="center" vertical="center"/>
    </xf>
    <xf numFmtId="0" fontId="5" fillId="9" borderId="5" xfId="0" applyFont="1" applyFill="1" applyBorder="1" applyAlignment="1">
      <alignment horizontal="center" vertical="center"/>
    </xf>
    <xf numFmtId="0" fontId="5" fillId="9" borderId="10" xfId="0" applyFont="1" applyFill="1" applyBorder="1" applyAlignment="1">
      <alignment horizontal="center" vertical="center"/>
    </xf>
    <xf numFmtId="0" fontId="5" fillId="9" borderId="11" xfId="0" applyFont="1" applyFill="1" applyBorder="1" applyAlignment="1">
      <alignment horizontal="center" vertical="center"/>
    </xf>
    <xf numFmtId="0" fontId="5" fillId="2" borderId="1" xfId="0" applyFont="1" applyFill="1" applyBorder="1" applyAlignment="1">
      <alignment horizontal="center" vertical="center"/>
    </xf>
    <xf numFmtId="0" fontId="2" fillId="8" borderId="1" xfId="0" applyFont="1" applyFill="1" applyBorder="1" applyAlignment="1">
      <alignment horizontal="center"/>
    </xf>
    <xf numFmtId="0" fontId="7" fillId="8" borderId="2" xfId="0" applyFont="1" applyFill="1" applyBorder="1" applyAlignment="1">
      <alignment horizontal="center" vertical="center"/>
    </xf>
    <xf numFmtId="0" fontId="7" fillId="8" borderId="3" xfId="0" applyFont="1" applyFill="1" applyBorder="1" applyAlignment="1">
      <alignment horizontal="center" vertical="center"/>
    </xf>
    <xf numFmtId="0" fontId="7" fillId="8" borderId="4" xfId="0" applyFont="1" applyFill="1" applyBorder="1" applyAlignment="1">
      <alignment horizontal="center" vertical="center"/>
    </xf>
    <xf numFmtId="0" fontId="7" fillId="8" borderId="5" xfId="0" applyFont="1" applyFill="1" applyBorder="1" applyAlignment="1">
      <alignment horizontal="center" vertical="center"/>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1" xfId="0" applyFont="1" applyFill="1" applyBorder="1" applyAlignment="1">
      <alignment horizontal="center" vertical="center"/>
    </xf>
    <xf numFmtId="0" fontId="5" fillId="9" borderId="9" xfId="0" applyFont="1" applyFill="1" applyBorder="1" applyAlignment="1">
      <alignment horizontal="center" vertical="center"/>
    </xf>
    <xf numFmtId="0" fontId="5" fillId="9" borderId="7" xfId="0" applyFont="1" applyFill="1" applyBorder="1" applyAlignment="1">
      <alignment horizontal="center" vertical="center"/>
    </xf>
    <xf numFmtId="0" fontId="7" fillId="2" borderId="1" xfId="0" applyFont="1" applyFill="1" applyBorder="1" applyAlignment="1">
      <alignment horizontal="center" vertical="center"/>
    </xf>
    <xf numFmtId="0" fontId="7" fillId="22" borderId="3" xfId="0" applyFont="1" applyFill="1" applyBorder="1" applyAlignment="1">
      <alignment horizontal="center" vertical="center"/>
    </xf>
    <xf numFmtId="0" fontId="7" fillId="22" borderId="9" xfId="0" applyFont="1" applyFill="1" applyBorder="1" applyAlignment="1">
      <alignment horizontal="center" vertical="center"/>
    </xf>
    <xf numFmtId="0" fontId="7" fillId="22" borderId="1" xfId="0" applyFont="1" applyFill="1" applyBorder="1" applyAlignment="1">
      <alignment horizontal="center" vertical="center"/>
    </xf>
    <xf numFmtId="0" fontId="7" fillId="25" borderId="14" xfId="0" applyFont="1" applyFill="1" applyBorder="1" applyAlignment="1">
      <alignment horizontal="center"/>
    </xf>
    <xf numFmtId="0" fontId="7" fillId="25" borderId="3" xfId="0" applyFont="1" applyFill="1" applyBorder="1" applyAlignment="1">
      <alignment horizontal="center"/>
    </xf>
    <xf numFmtId="0" fontId="7" fillId="9" borderId="6" xfId="0" applyFont="1" applyFill="1" applyBorder="1" applyAlignment="1">
      <alignment horizontal="center" vertical="center"/>
    </xf>
    <xf numFmtId="0" fontId="7" fillId="9" borderId="7" xfId="0" applyFont="1" applyFill="1" applyBorder="1" applyAlignment="1">
      <alignment horizontal="center" vertical="center"/>
    </xf>
    <xf numFmtId="0" fontId="7" fillId="9" borderId="4" xfId="0" applyFont="1" applyFill="1" applyBorder="1" applyAlignment="1">
      <alignment horizontal="center" vertical="center"/>
    </xf>
    <xf numFmtId="0" fontId="7" fillId="9" borderId="0" xfId="0" applyFont="1" applyFill="1" applyBorder="1" applyAlignment="1">
      <alignment horizontal="center" vertical="center"/>
    </xf>
    <xf numFmtId="0" fontId="7" fillId="9" borderId="8" xfId="0" applyFont="1" applyFill="1" applyBorder="1" applyAlignment="1">
      <alignment horizontal="center" vertical="center"/>
    </xf>
    <xf numFmtId="0" fontId="7" fillId="25" borderId="2" xfId="0" applyFont="1" applyFill="1" applyBorder="1" applyAlignment="1">
      <alignment horizontal="center"/>
    </xf>
    <xf numFmtId="0" fontId="7" fillId="8" borderId="0" xfId="0" applyFont="1" applyFill="1" applyBorder="1" applyAlignment="1">
      <alignment horizontal="center"/>
    </xf>
    <xf numFmtId="0" fontId="7" fillId="25" borderId="4" xfId="0" applyFont="1" applyFill="1" applyBorder="1" applyAlignment="1">
      <alignment horizontal="center"/>
    </xf>
    <xf numFmtId="0" fontId="7" fillId="25" borderId="0" xfId="0" applyFont="1" applyFill="1" applyBorder="1" applyAlignment="1">
      <alignment horizontal="center"/>
    </xf>
    <xf numFmtId="0" fontId="7" fillId="9" borderId="13" xfId="0" applyFont="1" applyFill="1" applyBorder="1" applyAlignment="1">
      <alignment horizontal="center"/>
    </xf>
    <xf numFmtId="0" fontId="7" fillId="9" borderId="12" xfId="0" applyFont="1" applyFill="1" applyBorder="1" applyAlignment="1">
      <alignment horizontal="center"/>
    </xf>
    <xf numFmtId="0" fontId="7" fillId="2" borderId="0" xfId="0" applyFont="1" applyFill="1" applyAlignment="1">
      <alignment horizontal="center" vertical="center"/>
    </xf>
    <xf numFmtId="0" fontId="0" fillId="0" borderId="0" xfId="0" applyAlignment="1">
      <alignment horizontal="left"/>
    </xf>
    <xf numFmtId="0" fontId="7" fillId="27" borderId="0" xfId="0" applyFont="1" applyFill="1" applyAlignment="1">
      <alignment horizontal="center"/>
    </xf>
    <xf numFmtId="0" fontId="7" fillId="3" borderId="0" xfId="0" applyFont="1" applyFill="1" applyAlignment="1">
      <alignment horizontal="center"/>
    </xf>
    <xf numFmtId="0" fontId="13" fillId="0" borderId="0" xfId="0" applyFont="1" applyAlignment="1">
      <alignment horizontal="left"/>
    </xf>
    <xf numFmtId="0" fontId="0" fillId="0" borderId="0" xfId="0" applyFont="1" applyAlignment="1">
      <alignment horizontal="left"/>
    </xf>
    <xf numFmtId="0" fontId="3" fillId="2" borderId="0" xfId="0" applyFont="1" applyFill="1" applyAlignment="1">
      <alignment horizontal="center" vertical="center"/>
    </xf>
    <xf numFmtId="0" fontId="0" fillId="0" borderId="0" xfId="0" applyAlignment="1">
      <alignment horizontal="center"/>
    </xf>
    <xf numFmtId="0" fontId="0" fillId="0" borderId="0" xfId="0" applyAlignment="1"/>
    <xf numFmtId="0" fontId="2" fillId="2" borderId="0" xfId="0" applyFont="1" applyFill="1" applyAlignment="1">
      <alignment horizontal="center"/>
    </xf>
    <xf numFmtId="0" fontId="0" fillId="0" borderId="0" xfId="0"/>
    <xf numFmtId="0" fontId="2" fillId="3" borderId="0" xfId="0" applyFont="1" applyFill="1" applyAlignment="1">
      <alignment horizontal="center"/>
    </xf>
    <xf numFmtId="0" fontId="3" fillId="3" borderId="0" xfId="0" applyFont="1" applyFill="1" applyAlignment="1">
      <alignment horizontal="center" vertical="center"/>
    </xf>
  </cellXfs>
  <cellStyles count="5">
    <cellStyle name="Cant Get" xfId="3"/>
    <cellStyle name="Data 1.8" xfId="2"/>
    <cellStyle name="Estilo 1" xfId="1"/>
    <cellStyle name="GM Only" xfId="4"/>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
  <sheetViews>
    <sheetView workbookViewId="0">
      <selection activeCell="A2" sqref="A2"/>
    </sheetView>
  </sheetViews>
  <sheetFormatPr baseColWidth="10" defaultRowHeight="15" x14ac:dyDescent="0.25"/>
  <cols>
    <col min="1" max="4" width="18" customWidth="1"/>
    <col min="5" max="5" width="16.7109375" customWidth="1"/>
  </cols>
  <sheetData>
    <row r="1" spans="1:4" ht="26.25" customHeight="1" x14ac:dyDescent="0.25">
      <c r="A1" s="294" t="s">
        <v>1193</v>
      </c>
      <c r="B1" s="294"/>
      <c r="C1" s="289"/>
      <c r="D1" s="289"/>
    </row>
  </sheetData>
  <mergeCells count="1">
    <mergeCell ref="A1:B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X505"/>
  <sheetViews>
    <sheetView topLeftCell="J1" workbookViewId="0">
      <selection activeCell="R3" sqref="R3"/>
    </sheetView>
  </sheetViews>
  <sheetFormatPr baseColWidth="10" defaultRowHeight="15" x14ac:dyDescent="0.25"/>
  <cols>
    <col min="1" max="1" width="13.140625" style="27" customWidth="1"/>
    <col min="2" max="2" width="13.42578125" style="27" customWidth="1"/>
    <col min="3" max="3" width="11.42578125" style="27"/>
    <col min="4" max="4" width="17.140625" style="27" customWidth="1"/>
    <col min="5" max="11" width="16.28515625" style="27" customWidth="1"/>
    <col min="12" max="13" width="13.42578125" style="24" customWidth="1"/>
    <col min="14" max="18" width="15" customWidth="1"/>
    <col min="19" max="19" width="12.85546875" customWidth="1"/>
    <col min="20" max="24" width="14.85546875" customWidth="1"/>
  </cols>
  <sheetData>
    <row r="1" spans="1:24" s="24" customFormat="1" x14ac:dyDescent="0.25">
      <c r="A1" s="27"/>
      <c r="B1" s="27"/>
      <c r="C1" s="27"/>
      <c r="D1" s="308" t="s">
        <v>146</v>
      </c>
      <c r="E1" s="308"/>
      <c r="F1" s="308"/>
      <c r="G1" s="308"/>
      <c r="H1" s="308"/>
      <c r="I1" s="308"/>
      <c r="J1" s="308"/>
      <c r="K1" s="310"/>
      <c r="L1" s="317" t="s">
        <v>199</v>
      </c>
      <c r="M1" s="318"/>
      <c r="N1" s="316" t="s">
        <v>164</v>
      </c>
      <c r="O1" s="316"/>
      <c r="P1" s="316"/>
      <c r="Q1" s="316"/>
      <c r="R1" s="316"/>
      <c r="S1" s="25"/>
    </row>
    <row r="2" spans="1:24" x14ac:dyDescent="0.25">
      <c r="B2" s="50" t="s">
        <v>147</v>
      </c>
      <c r="C2" s="50" t="s">
        <v>62</v>
      </c>
      <c r="D2" s="303" t="s">
        <v>152</v>
      </c>
      <c r="E2" s="303"/>
      <c r="F2" s="303" t="s">
        <v>150</v>
      </c>
      <c r="G2" s="303"/>
      <c r="H2" s="303" t="s">
        <v>151</v>
      </c>
      <c r="I2" s="303"/>
      <c r="J2" s="303" t="s">
        <v>160</v>
      </c>
      <c r="K2" s="304"/>
      <c r="L2" s="319"/>
      <c r="M2" s="320"/>
      <c r="N2" s="29" t="s">
        <v>35</v>
      </c>
      <c r="O2" s="30" t="s">
        <v>51</v>
      </c>
      <c r="P2" s="29" t="s">
        <v>52</v>
      </c>
      <c r="Q2" s="30" t="s">
        <v>53</v>
      </c>
      <c r="R2" s="29" t="s">
        <v>54</v>
      </c>
    </row>
    <row r="3" spans="1:24" x14ac:dyDescent="0.25">
      <c r="B3" s="28">
        <v>1</v>
      </c>
      <c r="C3" s="53">
        <v>1</v>
      </c>
      <c r="D3" s="305" t="s">
        <v>122</v>
      </c>
      <c r="E3" s="305"/>
      <c r="F3" s="301" t="s">
        <v>128</v>
      </c>
      <c r="G3" s="301"/>
      <c r="H3" s="305" t="s">
        <v>134</v>
      </c>
      <c r="I3" s="305"/>
      <c r="J3" s="305" t="s">
        <v>135</v>
      </c>
      <c r="K3" s="306"/>
      <c r="L3" s="319"/>
      <c r="M3" s="320"/>
      <c r="N3" s="33">
        <v>1</v>
      </c>
      <c r="O3" s="33">
        <v>3</v>
      </c>
      <c r="P3" s="33">
        <v>5</v>
      </c>
      <c r="Q3" s="33">
        <v>7</v>
      </c>
      <c r="R3" s="33">
        <v>9</v>
      </c>
      <c r="S3" s="298" t="s">
        <v>165</v>
      </c>
      <c r="T3" s="299"/>
      <c r="U3" s="299"/>
      <c r="V3" s="299"/>
      <c r="W3" s="299"/>
      <c r="X3" s="299"/>
    </row>
    <row r="4" spans="1:24" s="24" customFormat="1" x14ac:dyDescent="0.25">
      <c r="B4" s="28">
        <v>2</v>
      </c>
      <c r="C4" s="54">
        <f>$C$3+2</f>
        <v>3</v>
      </c>
      <c r="D4" s="305" t="s">
        <v>123</v>
      </c>
      <c r="E4" s="305"/>
      <c r="F4" s="301" t="s">
        <v>129</v>
      </c>
      <c r="G4" s="301"/>
      <c r="H4" s="305" t="s">
        <v>136</v>
      </c>
      <c r="I4" s="305"/>
      <c r="J4" s="305" t="s">
        <v>137</v>
      </c>
      <c r="K4" s="306"/>
      <c r="L4" s="321"/>
      <c r="M4" s="322"/>
      <c r="N4" s="29" t="s">
        <v>117</v>
      </c>
      <c r="O4" s="30" t="s">
        <v>118</v>
      </c>
      <c r="P4" s="29" t="s">
        <v>83</v>
      </c>
      <c r="Q4" s="30" t="s">
        <v>84</v>
      </c>
      <c r="R4" s="29" t="s">
        <v>85</v>
      </c>
      <c r="S4" s="30" t="s">
        <v>121</v>
      </c>
      <c r="T4" s="29" t="s">
        <v>117</v>
      </c>
      <c r="U4" s="30" t="s">
        <v>118</v>
      </c>
      <c r="V4" s="29" t="s">
        <v>83</v>
      </c>
      <c r="W4" s="30" t="s">
        <v>84</v>
      </c>
      <c r="X4" s="29" t="s">
        <v>85</v>
      </c>
    </row>
    <row r="5" spans="1:24" s="13" customFormat="1" ht="15" customHeight="1" x14ac:dyDescent="0.25">
      <c r="B5" s="43">
        <v>3</v>
      </c>
      <c r="C5" s="55">
        <f>$C$4+2</f>
        <v>5</v>
      </c>
      <c r="D5" s="305" t="s">
        <v>124</v>
      </c>
      <c r="E5" s="305"/>
      <c r="F5" s="301" t="s">
        <v>130</v>
      </c>
      <c r="G5" s="301"/>
      <c r="H5" s="305" t="s">
        <v>139</v>
      </c>
      <c r="I5" s="305"/>
      <c r="J5" s="305" t="s">
        <v>138</v>
      </c>
      <c r="K5" s="306"/>
      <c r="L5" s="323" t="s">
        <v>108</v>
      </c>
      <c r="M5" s="31" t="s">
        <v>6</v>
      </c>
      <c r="N5" s="34">
        <f>MAIN!$D$2+(MAIN!$C$18+MAIN!$C$19)/2*MAIN!$B$9+(MAIN!$C$20+MAIN!$C$21)/2*MAIN!$B$8+(MAIN!$C$47*MAIN!$B$11)+($N$3*MAIN!$B$10)</f>
        <v>900</v>
      </c>
      <c r="O5" s="35">
        <f>MAIN!$D$3+(MAIN!$C$18+MAIN!$C$19)/2*MAIN!$B$9+(MAIN!$C$20+MAIN!$C$21)/2*MAIN!$B$8+(MAIN!$C$47*MAIN!$B$11)+($N$3*MAIN!$B$10)</f>
        <v>1300</v>
      </c>
      <c r="P5" s="34">
        <f>MAIN!$D$4+(MAIN!$C$18+MAIN!$C$19)/2*MAIN!$B$9+(MAIN!$C$20+MAIN!$C$21)/2*MAIN!$B$8+(MAIN!$C$47*MAIN!$B$11)+($N$3*MAIN!$B$10)</f>
        <v>2100</v>
      </c>
      <c r="Q5" s="35">
        <f>MAIN!$D$5+(MAIN!$C$18+MAIN!$C$19)/2*MAIN!$B$9+(MAIN!$C$20+MAIN!$C$21)/2*MAIN!$B$8+(MAIN!$C$47*MAIN!$B$11)+($N$3*MAIN!$B$10)</f>
        <v>3700</v>
      </c>
      <c r="R5" s="34">
        <f>MAIN!$D$6+(MAIN!$C$18+MAIN!$C$19)/2*MAIN!$B$9+(MAIN!$C$20+MAIN!$C$21)/2*MAIN!$B$8+(MAIN!$C$47*MAIN!$B$11)+($N$3*MAIN!$B$10)</f>
        <v>6900</v>
      </c>
      <c r="S5" s="44" t="s">
        <v>35</v>
      </c>
      <c r="T5" s="46">
        <f>SUM($N$5:$N$9)</f>
        <v>7700</v>
      </c>
      <c r="U5" s="46">
        <f>SUM($O$5:$O$9)</f>
        <v>12900</v>
      </c>
      <c r="V5" s="46">
        <f>SUM($P$5:$P$9)</f>
        <v>23300</v>
      </c>
      <c r="W5" s="46">
        <f>SUM($Q$5:$Q$9)</f>
        <v>44100</v>
      </c>
      <c r="X5" s="46">
        <f>SUM($R$5:$R$9)</f>
        <v>85700</v>
      </c>
    </row>
    <row r="6" spans="1:24" s="13" customFormat="1" ht="15" customHeight="1" x14ac:dyDescent="0.25">
      <c r="B6" s="43">
        <v>4</v>
      </c>
      <c r="C6" s="56">
        <f>$C$5+2</f>
        <v>7</v>
      </c>
      <c r="D6" s="305" t="s">
        <v>127</v>
      </c>
      <c r="E6" s="305"/>
      <c r="F6" s="301" t="s">
        <v>131</v>
      </c>
      <c r="G6" s="301"/>
      <c r="H6" s="305" t="s">
        <v>140</v>
      </c>
      <c r="I6" s="305"/>
      <c r="J6" s="305" t="s">
        <v>141</v>
      </c>
      <c r="K6" s="306"/>
      <c r="L6" s="324"/>
      <c r="M6" s="32" t="s">
        <v>113</v>
      </c>
      <c r="N6" s="36">
        <f>MAIN!$F$2+(MAIN!$C$18+MAIN!$C$19)/2*MAIN!$B$9+(MAIN!$C$20+MAIN!$C$21)/2*MAIN!$B$8+(MAIN!$C$58*MAIN!$B$11)+($N$3*MAIN!$B$10)</f>
        <v>1500</v>
      </c>
      <c r="O6" s="36">
        <f>MAIN!$G$2+(MAIN!$C$18+MAIN!$C$19)/2*MAIN!$B$9+(MAIN!$C$20+MAIN!$C$21)/2*MAIN!$B$8+(MAIN!$C$58*MAIN!$B$11)+($N$3*MAIN!$B$10)</f>
        <v>2500</v>
      </c>
      <c r="P6" s="36">
        <f>MAIN!$H$2+(MAIN!$C$18+MAIN!$C$19)/2*MAIN!$B$9+(MAIN!$C$20+MAIN!$C$21)/2*MAIN!$B$8+(MAIN!$C$58*MAIN!$B$11)+($N$3*MAIN!$B$10)</f>
        <v>4500</v>
      </c>
      <c r="Q6" s="36">
        <f>MAIN!$I$2+(MAIN!$C$18+MAIN!$C$19)/2*MAIN!$B$9+(MAIN!$C$20+MAIN!$C$21)/2*MAIN!$B$8+(MAIN!$C$58*MAIN!$B$11)+($N$3*MAIN!$B$10)</f>
        <v>8500</v>
      </c>
      <c r="R6" s="36">
        <f>MAIN!$J$2+(MAIN!$C$18+MAIN!$C$19)/2*MAIN!$B$9+(MAIN!$C$20+MAIN!$C$21)/2*MAIN!$B$8+(MAIN!$C$58*MAIN!$B$11)+($N$3*MAIN!$B$10)</f>
        <v>16500</v>
      </c>
      <c r="S6" s="44" t="s">
        <v>51</v>
      </c>
      <c r="T6" s="46">
        <f>SUM($N$10:$N$14)</f>
        <v>15850</v>
      </c>
      <c r="U6" s="46">
        <f>SUM($O$10:$O$14)</f>
        <v>21050</v>
      </c>
      <c r="V6" s="46">
        <f>SUM($P$10:$P$14)</f>
        <v>31450</v>
      </c>
      <c r="W6" s="46">
        <f>SUM($Q$10:$Q$14)</f>
        <v>52250</v>
      </c>
      <c r="X6" s="46">
        <f>SUM($R$10:$R$14)</f>
        <v>93850</v>
      </c>
    </row>
    <row r="7" spans="1:24" s="13" customFormat="1" ht="15" customHeight="1" x14ac:dyDescent="0.25">
      <c r="A7" s="48"/>
      <c r="B7" s="43">
        <v>5</v>
      </c>
      <c r="C7" s="57">
        <f>$C$6+2</f>
        <v>9</v>
      </c>
      <c r="D7" s="305" t="s">
        <v>126</v>
      </c>
      <c r="E7" s="305"/>
      <c r="F7" s="301" t="s">
        <v>132</v>
      </c>
      <c r="G7" s="301"/>
      <c r="H7" s="305" t="s">
        <v>142</v>
      </c>
      <c r="I7" s="305"/>
      <c r="J7" s="305" t="s">
        <v>143</v>
      </c>
      <c r="K7" s="306"/>
      <c r="L7" s="324"/>
      <c r="M7" s="31" t="s">
        <v>114</v>
      </c>
      <c r="N7" s="34">
        <f>MAIN!$F$3+(MAIN!$C$18+MAIN!$C$19)/2*MAIN!$B$9+(MAIN!$C$20+MAIN!$C$21)/2*MAIN!$B$8+(MAIN!$C$69*MAIN!$B$11)+($N$3*MAIN!$B$10)</f>
        <v>2100</v>
      </c>
      <c r="O7" s="35">
        <f>MAIN!$G$3+(MAIN!$C$18+MAIN!$C$19)/2*MAIN!$B$9+(MAIN!$C$20+MAIN!$C$21)/2*MAIN!$B$8+(MAIN!$C$69*MAIN!$B$11)+($N$3*MAIN!$B$10)</f>
        <v>3700</v>
      </c>
      <c r="P7" s="34">
        <f>MAIN!$H$3+(MAIN!$C$18+MAIN!$C$19)/2*MAIN!$B$9+(MAIN!$C$20+MAIN!$C$21)/2*MAIN!$B$8+(MAIN!$C$69*MAIN!$B$11)+($N$3*MAIN!$B$10)</f>
        <v>6900</v>
      </c>
      <c r="Q7" s="35">
        <f>MAIN!$I$3+(MAIN!$C$18+MAIN!$C$19)/2*MAIN!$B$9+(MAIN!$C$20+MAIN!$C$21)/2*MAIN!$B$8+(MAIN!$C$69*MAIN!$B$11)+($N$3*MAIN!$B$10)</f>
        <v>13300</v>
      </c>
      <c r="R7" s="34">
        <f>MAIN!$J$3+(MAIN!$C$18+MAIN!$C$19)/2*MAIN!$B$9+(MAIN!$C$20+MAIN!$C$21)/2*MAIN!$B$8+(MAIN!$C$69*MAIN!$B$11)+($N$3*MAIN!$B$10)</f>
        <v>26100</v>
      </c>
      <c r="S7" s="45" t="s">
        <v>52</v>
      </c>
      <c r="T7" s="46">
        <f>SUM($N$15:$N$19)</f>
        <v>24650</v>
      </c>
      <c r="U7" s="46">
        <f>SUM($O$15:$O$19)</f>
        <v>29850</v>
      </c>
      <c r="V7" s="46">
        <f>SUM($P$15:$P$19)</f>
        <v>40250</v>
      </c>
      <c r="W7" s="46">
        <f>SUM($Q$15:$Q$19)</f>
        <v>61050</v>
      </c>
      <c r="X7" s="46">
        <f>SUM($R$15:$R$19)</f>
        <v>102650</v>
      </c>
    </row>
    <row r="8" spans="1:24" s="13" customFormat="1" ht="15" customHeight="1" x14ac:dyDescent="0.25">
      <c r="A8" s="48"/>
      <c r="B8" s="43">
        <v>6</v>
      </c>
      <c r="C8" s="58">
        <f>$C$7+2</f>
        <v>11</v>
      </c>
      <c r="D8" s="305" t="s">
        <v>125</v>
      </c>
      <c r="E8" s="305"/>
      <c r="F8" s="301" t="s">
        <v>133</v>
      </c>
      <c r="G8" s="301"/>
      <c r="H8" s="305" t="s">
        <v>144</v>
      </c>
      <c r="I8" s="305"/>
      <c r="J8" s="305" t="s">
        <v>145</v>
      </c>
      <c r="K8" s="306"/>
      <c r="L8" s="324"/>
      <c r="M8" s="32" t="s">
        <v>115</v>
      </c>
      <c r="N8" s="36">
        <f>MAIN!$F$4+(MAIN!$C$18+MAIN!$C$19)/2*MAIN!$B$9+(MAIN!$C$20+MAIN!$C$21)/2*MAIN!$B$8+(MAIN!$C$80*MAIN!$B$11)+($N$3*MAIN!$B$10)</f>
        <v>1900</v>
      </c>
      <c r="O8" s="36">
        <f>MAIN!$G$4+(MAIN!$C$18+MAIN!$C$19)/2*MAIN!$B$9+(MAIN!$C$20+MAIN!$C$21)/2*MAIN!$B$8+(MAIN!$C$80*MAIN!$B$11)+($N$3*MAIN!$B$10)</f>
        <v>3300</v>
      </c>
      <c r="P8" s="36">
        <f>MAIN!$H$4+(MAIN!$C$18+MAIN!$C$19)/2*MAIN!$B$9+(MAIN!$C$20+MAIN!$C$21)/2*MAIN!$B$8+(MAIN!$C$80*MAIN!$B$11)+($N$3*MAIN!$B$10)</f>
        <v>6100</v>
      </c>
      <c r="Q8" s="36">
        <f>MAIN!$I$4+(MAIN!$C$18+MAIN!$C$19)/2*MAIN!$B$9+(MAIN!$C$20+MAIN!$C$21)/2*MAIN!$B$8+(MAIN!$C$80*MAIN!$B$11)+($N$3*MAIN!$B$10)</f>
        <v>11700</v>
      </c>
      <c r="R8" s="36">
        <f>MAIN!$J$4+(MAIN!$C$18+MAIN!$C$19)/2*MAIN!$B$9+(MAIN!$C$20+MAIN!$C$21)/2*MAIN!$B$8+(MAIN!$C$80*MAIN!$B$11)+($N$3*MAIN!$B$10)</f>
        <v>22900</v>
      </c>
      <c r="S8" s="45" t="s">
        <v>53</v>
      </c>
      <c r="T8" s="46">
        <f>SUM($N$20:$N$24)</f>
        <v>33450</v>
      </c>
      <c r="U8" s="46">
        <f>SUM($O$20:$O$24)</f>
        <v>38650</v>
      </c>
      <c r="V8" s="46">
        <f>SUM($P$20:$P$24)</f>
        <v>49050</v>
      </c>
      <c r="W8" s="46">
        <f>SUM($Q$20:$Q$24)</f>
        <v>69850</v>
      </c>
      <c r="X8" s="46">
        <f>SUM($R$20:$R$24)</f>
        <v>111450</v>
      </c>
    </row>
    <row r="9" spans="1:24" s="13" customFormat="1" ht="15" customHeight="1" x14ac:dyDescent="0.25">
      <c r="D9" s="308" t="s">
        <v>163</v>
      </c>
      <c r="E9" s="308"/>
      <c r="F9" s="308"/>
      <c r="G9" s="308"/>
      <c r="H9" s="308"/>
      <c r="I9" s="308"/>
      <c r="J9" s="308"/>
      <c r="K9" s="310"/>
      <c r="L9" s="325"/>
      <c r="M9" s="31" t="s">
        <v>116</v>
      </c>
      <c r="N9" s="34">
        <f>MAIN!$F$5+(MAIN!$C$18+MAIN!$C$19)/2*MAIN!$B$9+(MAIN!$C$20+MAIN!$C$21)/2*MAIN!$B$8+(MAIN!$C$91*MAIN!$B$11)+($N$3*MAIN!$B$10)</f>
        <v>1300</v>
      </c>
      <c r="O9" s="35">
        <f>MAIN!$G$5+(MAIN!$C$18+MAIN!$C$19)/2*MAIN!$B$9+(MAIN!$C$20+MAIN!$C$21)/2*MAIN!$B$8+(MAIN!$C$91*MAIN!$B$11)+($N$3*MAIN!$B$10)</f>
        <v>2100</v>
      </c>
      <c r="P9" s="34">
        <f>MAIN!$H$5+(MAIN!$C$18+MAIN!$C$19)/2*MAIN!$B$9+(MAIN!$C$20+MAIN!$C$21)/2*MAIN!$B$8+(MAIN!$C$91*MAIN!$B$11)+($N$3*MAIN!$B$10)</f>
        <v>3700</v>
      </c>
      <c r="Q9" s="35">
        <f>MAIN!$I$5+(MAIN!$C$18+MAIN!$C$19)/2*MAIN!$B$9+(MAIN!$C$20+MAIN!$C$21)/2*MAIN!$B$8+(MAIN!$C$91*MAIN!$B$11)+($N$3*MAIN!$B$10)</f>
        <v>6900</v>
      </c>
      <c r="R9" s="34">
        <f>MAIN!$J$5+(MAIN!$C$18+MAIN!$C$19)/2*MAIN!$B$9+(MAIN!$C$20+MAIN!$C$21)/2*MAIN!$B$8+(MAIN!$C$91*MAIN!$B$11)+($N$3*MAIN!$B$10)</f>
        <v>13300</v>
      </c>
      <c r="S9" s="45" t="s">
        <v>54</v>
      </c>
      <c r="T9" s="46">
        <f>SUM($N$25:$N$29)</f>
        <v>42250</v>
      </c>
      <c r="U9" s="46">
        <f>SUM($O$25:$O$29)</f>
        <v>47450</v>
      </c>
      <c r="V9" s="46">
        <f>SUM($P$25:$P$29)</f>
        <v>57850</v>
      </c>
      <c r="W9" s="46">
        <f>SUM($Q$25:$Q$29)</f>
        <v>78650</v>
      </c>
      <c r="X9" s="46">
        <f>SUM($R$25:$R$29)</f>
        <v>120250</v>
      </c>
    </row>
    <row r="10" spans="1:24" s="24" customFormat="1" ht="15" customHeight="1" x14ac:dyDescent="0.25">
      <c r="A10" s="27"/>
      <c r="B10" s="27"/>
      <c r="C10" s="51" t="s">
        <v>148</v>
      </c>
      <c r="D10" s="301">
        <v>1.5</v>
      </c>
      <c r="E10" s="301"/>
      <c r="F10" s="301">
        <v>2.5</v>
      </c>
      <c r="G10" s="301"/>
      <c r="H10" s="301">
        <v>64</v>
      </c>
      <c r="I10" s="301"/>
      <c r="J10" s="301">
        <v>64</v>
      </c>
      <c r="K10" s="302"/>
      <c r="L10" s="326" t="s">
        <v>109</v>
      </c>
      <c r="M10" s="32" t="s">
        <v>6</v>
      </c>
      <c r="N10" s="36">
        <f>MAIN!$D$2+(MAIN!$D$18+MAIN!$D$19)/2*MAIN!$B$9+(MAIN!$D$20+MAIN!$D$21)/2*MAIN!$B$8+(MAIN!$D$47*MAIN!$B$11)+($O$3*MAIN!$B$10)</f>
        <v>2450</v>
      </c>
      <c r="O10" s="36">
        <f>MAIN!$D$3+(MAIN!$D$18+MAIN!$D$19)/2*MAIN!$B$9+(MAIN!$D$20+MAIN!$D$21)/2*MAIN!$B$8+(MAIN!$D$47*MAIN!$B$11)+($O$3*MAIN!$B$10)</f>
        <v>2850</v>
      </c>
      <c r="P10" s="36">
        <f>MAIN!$D$4+(MAIN!$D$18+MAIN!$D$19)/2*MAIN!$B$9+(MAIN!$D$20+MAIN!$D$21)/2*MAIN!$B$8+(MAIN!$D$47*MAIN!$B$11)+($O$3*MAIN!$B$10)</f>
        <v>3650</v>
      </c>
      <c r="Q10" s="36">
        <f>MAIN!$D$5+(MAIN!$D$18+MAIN!$D$19)/2*MAIN!$B$9+(MAIN!$D$20+MAIN!$D$21)/2*MAIN!$B$8+(MAIN!$D$47*MAIN!$B$11)+($O$3*MAIN!$B$10)</f>
        <v>5250</v>
      </c>
      <c r="R10" s="36">
        <f>MAIN!$D$6+(MAIN!$D$18+MAIN!$D$19)/2*MAIN!$B$9+(MAIN!$D$20+MAIN!$D$21)/2*MAIN!$B$8+(MAIN!$D$47*MAIN!$B$11)+($O$3*MAIN!$B$10)</f>
        <v>8450</v>
      </c>
    </row>
    <row r="11" spans="1:24" s="24" customFormat="1" ht="15" customHeight="1" x14ac:dyDescent="0.25">
      <c r="A11" s="27"/>
      <c r="B11" s="27"/>
      <c r="C11" s="51" t="s">
        <v>149</v>
      </c>
      <c r="D11" s="301">
        <v>64</v>
      </c>
      <c r="E11" s="301"/>
      <c r="F11" s="301">
        <v>64</v>
      </c>
      <c r="G11" s="301"/>
      <c r="H11" s="301">
        <v>64</v>
      </c>
      <c r="I11" s="301"/>
      <c r="J11" s="301">
        <v>64</v>
      </c>
      <c r="K11" s="302"/>
      <c r="L11" s="313"/>
      <c r="M11" s="31" t="s">
        <v>113</v>
      </c>
      <c r="N11" s="34">
        <f>MAIN!$F$2+(MAIN!$D$18+MAIN!$D$19)/2*MAIN!$B$9+(MAIN!$D$20+MAIN!$D$21)/2*MAIN!$B$8+(MAIN!$D$58*MAIN!$B$11)+($O$3*MAIN!$B$10)</f>
        <v>3125</v>
      </c>
      <c r="O11" s="35">
        <f>MAIN!$G$2+(MAIN!$D$18+MAIN!$D$19)/2*MAIN!$B$9+(MAIN!$D$20+MAIN!$D$21)/2*MAIN!$B$8+(MAIN!$D$58*MAIN!$B$11)+($O$3*MAIN!$B$10)</f>
        <v>4125</v>
      </c>
      <c r="P11" s="34">
        <f>MAIN!$H$2+(MAIN!$D$18+MAIN!$D$19)/2*MAIN!$B$9+(MAIN!$D$20+MAIN!$D$21)/2*MAIN!$B$8+(MAIN!$D$58*MAIN!$B$11)+($O$3*MAIN!$B$10)</f>
        <v>6125</v>
      </c>
      <c r="Q11" s="35">
        <f>MAIN!$I$2+(MAIN!$D$18+MAIN!$D$19)/2*MAIN!$B$9+(MAIN!$D$20+MAIN!$D$21)/2*MAIN!$B$8+(MAIN!$D$58*MAIN!$B$11)+($O$3*MAIN!$B$10)</f>
        <v>10125</v>
      </c>
      <c r="R11" s="34">
        <f>MAIN!$J$2+(MAIN!$D$18+MAIN!$D$19)/2*MAIN!$B$9+(MAIN!$D$20+MAIN!$D$21)/2*MAIN!$B$8+(MAIN!$D$58*MAIN!$B$11)+($O$3*MAIN!$B$10)</f>
        <v>18125</v>
      </c>
    </row>
    <row r="12" spans="1:24" s="24" customFormat="1" ht="15" customHeight="1" x14ac:dyDescent="0.25">
      <c r="A12" s="308" t="s">
        <v>169</v>
      </c>
      <c r="B12" s="308"/>
      <c r="C12" s="27"/>
      <c r="D12" s="308" t="s">
        <v>167</v>
      </c>
      <c r="E12" s="308"/>
      <c r="F12" s="308"/>
      <c r="G12" s="308"/>
      <c r="H12" s="308"/>
      <c r="I12" s="308"/>
      <c r="J12" s="308"/>
      <c r="K12" s="310"/>
      <c r="L12" s="313"/>
      <c r="M12" s="32" t="s">
        <v>114</v>
      </c>
      <c r="N12" s="36">
        <f>MAIN!$F$3+(MAIN!$D$18+MAIN!$D$19)/2*MAIN!$B$9+(MAIN!$D$20+MAIN!$D$21)/2*MAIN!$B$8+(MAIN!$D$69*MAIN!$B$11)+($O$3*MAIN!$B$10)</f>
        <v>3800</v>
      </c>
      <c r="O12" s="36">
        <f>MAIN!$G$3+(MAIN!$D$18+MAIN!$D$19)/2*MAIN!$B$9+(MAIN!$D$20+MAIN!$D$21)/2*MAIN!$B$8+(MAIN!$D$69*MAIN!$B$11)+($O$3*MAIN!$B$10)</f>
        <v>5400</v>
      </c>
      <c r="P12" s="36">
        <f>MAIN!$H$3+(MAIN!$D$18+MAIN!$D$19)/2*MAIN!$B$9+(MAIN!$D$20+MAIN!$D$21)/2*MAIN!$B$8+(MAIN!$D$69*MAIN!$B$11)+($O$3*MAIN!$B$10)</f>
        <v>8600</v>
      </c>
      <c r="Q12" s="36">
        <f>MAIN!$I$3+(MAIN!$D$18+MAIN!$D$19)/2*MAIN!$B$9+(MAIN!$D$20+MAIN!$D$21)/2*MAIN!$B$8+(MAIN!$D$69*MAIN!$B$11)+($O$3*MAIN!$B$10)</f>
        <v>15000</v>
      </c>
      <c r="R12" s="36">
        <f>MAIN!$J$3+(MAIN!$D$18+MAIN!$D$19)/2*MAIN!$B$9+(MAIN!$D$20+MAIN!$D$21)/2*MAIN!$B$8+(MAIN!$D$69*MAIN!$B$11)+($O$3*MAIN!$B$10)</f>
        <v>27800</v>
      </c>
      <c r="S12" s="13"/>
      <c r="T12" s="13"/>
      <c r="U12" s="13"/>
    </row>
    <row r="13" spans="1:24" s="27" customFormat="1" ht="15" customHeight="1" x14ac:dyDescent="0.25">
      <c r="A13" s="27" t="s">
        <v>159</v>
      </c>
      <c r="B13" s="27">
        <f>$T$5</f>
        <v>7700</v>
      </c>
      <c r="D13" s="303" t="s">
        <v>152</v>
      </c>
      <c r="E13" s="303"/>
      <c r="F13" s="303" t="s">
        <v>150</v>
      </c>
      <c r="G13" s="303"/>
      <c r="H13" s="303" t="s">
        <v>151</v>
      </c>
      <c r="I13" s="303"/>
      <c r="J13" s="303" t="s">
        <v>160</v>
      </c>
      <c r="K13" s="304"/>
      <c r="L13" s="313"/>
      <c r="M13" s="31" t="s">
        <v>115</v>
      </c>
      <c r="N13" s="34">
        <f>MAIN!$F$4+(MAIN!$D$18+MAIN!$D$19)/2*MAIN!$B$9+(MAIN!$D$20+MAIN!$D$21)/2*MAIN!$B$8+(MAIN!$D$80*MAIN!$B$11)+($O$3*MAIN!$B$10)</f>
        <v>3575</v>
      </c>
      <c r="O13" s="35">
        <f>MAIN!$G$4+(MAIN!$D$18+MAIN!$D$19)/2*MAIN!$B$9+(MAIN!$D$20+MAIN!$D$21)/2*MAIN!$B$8+(MAIN!$D$80*MAIN!$B$11)+($O$3*MAIN!$B$10)</f>
        <v>4975</v>
      </c>
      <c r="P13" s="34">
        <f>MAIN!$H$4+(MAIN!$D$18+MAIN!$D$19)/2*MAIN!$B$9+(MAIN!$D$20+MAIN!$D$21)/2*MAIN!$B$8+(MAIN!$D$80*MAIN!$B$11)+($O$3*MAIN!$B$10)</f>
        <v>7775</v>
      </c>
      <c r="Q13" s="35">
        <f>MAIN!$I$4+(MAIN!$D$18+MAIN!$D$19)/2*MAIN!$B$9+(MAIN!$D$20+MAIN!$D$21)/2*MAIN!$B$8+(MAIN!$D$80*MAIN!$B$11)+($O$3*MAIN!$B$10)</f>
        <v>13375</v>
      </c>
      <c r="R13" s="34">
        <f>MAIN!$J$4+(MAIN!$D$18+MAIN!$D$19)/2*MAIN!$B$9+(MAIN!$D$20+MAIN!$D$21)/2*MAIN!$B$8+(MAIN!$D$80*MAIN!$B$11)+($O$3*MAIN!$B$10)</f>
        <v>24575</v>
      </c>
      <c r="S13" s="13"/>
      <c r="T13" s="47"/>
      <c r="U13" s="13"/>
      <c r="V13" s="24"/>
      <c r="W13" s="24"/>
    </row>
    <row r="14" spans="1:24" s="27" customFormat="1" ht="15" customHeight="1" x14ac:dyDescent="0.25">
      <c r="A14" s="27" t="s">
        <v>148</v>
      </c>
      <c r="B14" s="7">
        <v>90</v>
      </c>
      <c r="C14" s="51" t="s">
        <v>161</v>
      </c>
      <c r="D14" s="300">
        <f>ROUND((D10*$B$13)/$B$14,2)</f>
        <v>128.33000000000001</v>
      </c>
      <c r="E14" s="300"/>
      <c r="F14" s="300">
        <f>ROUND((F10*$B$13)/$B$14,2)</f>
        <v>213.89</v>
      </c>
      <c r="G14" s="300"/>
      <c r="H14" s="300">
        <f>ROUND((H10*$B$13)/$B$14,2)</f>
        <v>5475.56</v>
      </c>
      <c r="I14" s="300"/>
      <c r="J14" s="300">
        <f>ROUND((J10*$B$13)/$B$14,2)</f>
        <v>5475.56</v>
      </c>
      <c r="K14" s="300"/>
      <c r="L14" s="327"/>
      <c r="M14" s="32" t="s">
        <v>116</v>
      </c>
      <c r="N14" s="36">
        <f>MAIN!$F$5+(MAIN!$D$18+MAIN!$D$19)/2*MAIN!$B$9+(MAIN!$D$20+MAIN!$D$21)/2*MAIN!$B$8+(MAIN!$D$91*MAIN!$B$11)+($O$3*MAIN!$B$10)</f>
        <v>2900</v>
      </c>
      <c r="O14" s="36">
        <f>MAIN!$G$5+(MAIN!$D$18+MAIN!$D$19)/2*MAIN!$B$9+(MAIN!$D$20+MAIN!$D$21)/2*MAIN!$B$8+(MAIN!$D$91*MAIN!$B$11)+($O$3*MAIN!$B$10)</f>
        <v>3700</v>
      </c>
      <c r="P14" s="36">
        <f>MAIN!$H$5+(MAIN!$D$18+MAIN!$D$19)/2*MAIN!$B$9+(MAIN!$D$20+MAIN!$D$21)/2*MAIN!$B$8+(MAIN!$D$91*MAIN!$B$11)+($O$3*MAIN!$B$10)</f>
        <v>5300</v>
      </c>
      <c r="Q14" s="36">
        <f>MAIN!$I$5+(MAIN!$D$18+MAIN!$D$19)/2*MAIN!$B$9+(MAIN!$D$20+MAIN!$D$21)/2*MAIN!$B$8+(MAIN!$D$91*MAIN!$B$11)+($O$3*MAIN!$B$10)</f>
        <v>8500</v>
      </c>
      <c r="R14" s="36">
        <f>MAIN!$J$5+(MAIN!$D$18+MAIN!$D$19)/2*MAIN!$B$9+(MAIN!$D$20+MAIN!$D$21)/2*MAIN!$B$8+(MAIN!$D$91*MAIN!$B$11)+($O$3*MAIN!$B$10)</f>
        <v>14900</v>
      </c>
      <c r="S14" s="13"/>
      <c r="T14" s="13"/>
      <c r="U14" s="13"/>
      <c r="V14" s="24"/>
    </row>
    <row r="15" spans="1:24" s="27" customFormat="1" ht="15" customHeight="1" x14ac:dyDescent="0.25">
      <c r="A15" s="308" t="s">
        <v>171</v>
      </c>
      <c r="B15" s="308"/>
      <c r="C15" s="51" t="s">
        <v>162</v>
      </c>
      <c r="D15" s="300">
        <f>ROUND($D$14/$D$11,2)</f>
        <v>2.0099999999999998</v>
      </c>
      <c r="E15" s="300"/>
      <c r="F15" s="300">
        <f>ROUND($F$14/$F$11,2)</f>
        <v>3.34</v>
      </c>
      <c r="G15" s="300"/>
      <c r="H15" s="300">
        <f>ROUND($H$14/$H$11,2)</f>
        <v>85.56</v>
      </c>
      <c r="I15" s="300"/>
      <c r="J15" s="300">
        <f>ROUND($J$14/$J$11,2)</f>
        <v>85.56</v>
      </c>
      <c r="K15" s="300"/>
      <c r="L15" s="307" t="s">
        <v>110</v>
      </c>
      <c r="M15" s="31" t="s">
        <v>6</v>
      </c>
      <c r="N15" s="34">
        <f>MAIN!$D$2+(MAIN!$E$18+MAIN!$E$19)/2*MAIN!$B$9+(MAIN!$E$20+MAIN!$E$21)/2*MAIN!$B$8+(MAIN!$E$47*MAIN!$B$11)+($P$3*MAIN!$B$10)</f>
        <v>4050</v>
      </c>
      <c r="O15" s="35">
        <f>MAIN!$D$3+(MAIN!$E$18+MAIN!$E$19)/2*MAIN!$B$9+(MAIN!$E$20+MAIN!$E$21)/2*MAIN!$B$8+(MAIN!$E$47*MAIN!$B$11)+($P$3*MAIN!$B$10)</f>
        <v>4450</v>
      </c>
      <c r="P15" s="34">
        <f>MAIN!$D$4+(MAIN!$E$18+MAIN!$E$19)/2*MAIN!$B$9+(MAIN!$E$20+MAIN!$E$21)/2*MAIN!$B$8+(MAIN!$E$47*MAIN!$B$11)+($P$3*MAIN!$B$10)</f>
        <v>5250</v>
      </c>
      <c r="Q15" s="35">
        <f>MAIN!$D$5+(MAIN!$E$18+MAIN!$E$19)/2*MAIN!$B$9+(MAIN!$E$20+MAIN!$E$21)/2*MAIN!$B$8+(MAIN!$E$47*MAIN!$B$11)+($P$3*MAIN!$B$10)</f>
        <v>6850</v>
      </c>
      <c r="R15" s="34">
        <f>MAIN!$D$6+(MAIN!$E$18+MAIN!$E$19)/2*MAIN!$B$9+(MAIN!$E$20+MAIN!$E$21)/2*MAIN!$B$8+(MAIN!$E$47*MAIN!$B$11)+($P$3*MAIN!$B$10)</f>
        <v>10050</v>
      </c>
      <c r="S15" s="24"/>
      <c r="T15" s="24"/>
      <c r="U15" s="24"/>
      <c r="V15" s="24"/>
    </row>
    <row r="16" spans="1:24" s="27" customFormat="1" ht="15" customHeight="1" x14ac:dyDescent="0.25">
      <c r="A16" s="27" t="s">
        <v>170</v>
      </c>
      <c r="B16" s="7">
        <v>200</v>
      </c>
      <c r="D16" s="167" t="s">
        <v>971</v>
      </c>
      <c r="E16" s="167" t="s">
        <v>972</v>
      </c>
      <c r="F16" s="167" t="s">
        <v>973</v>
      </c>
      <c r="G16" s="167" t="s">
        <v>974</v>
      </c>
      <c r="H16" s="167" t="s">
        <v>976</v>
      </c>
      <c r="I16" s="167" t="s">
        <v>975</v>
      </c>
      <c r="J16" s="167"/>
      <c r="K16" s="167"/>
      <c r="L16" s="315"/>
      <c r="M16" s="32" t="s">
        <v>113</v>
      </c>
      <c r="N16" s="36">
        <f>MAIN!$F$2+(MAIN!$E$18+MAIN!$E$19)/2*MAIN!$B$9+(MAIN!$E$20+MAIN!$E$21)/2*MAIN!$B$8+(MAIN!$E$58*MAIN!$B$11)+($P$3*MAIN!$B$10)</f>
        <v>4875</v>
      </c>
      <c r="O16" s="36">
        <f>MAIN!$G$2+(MAIN!$E$18+MAIN!$E$19)/2*MAIN!$B$9+(MAIN!$E$20+MAIN!$E$21)/2*MAIN!$B$8+(MAIN!$E$58*MAIN!$B$11)+($P$3*MAIN!$B$10)</f>
        <v>5875</v>
      </c>
      <c r="P16" s="36">
        <f>MAIN!$H$2+(MAIN!$E$18+MAIN!$E$19)/2*MAIN!$B$9+(MAIN!$E$20+MAIN!$E$21)/2*MAIN!$B$8+(MAIN!$E$58*MAIN!$B$11)+($P$3*MAIN!$B$10)</f>
        <v>7875</v>
      </c>
      <c r="Q16" s="36">
        <f>MAIN!$I$2+(MAIN!$E$18+MAIN!$E$19)/2*MAIN!$B$9+(MAIN!$E$20+MAIN!$E$21)/2*MAIN!$B$8+(MAIN!$E$58*MAIN!$B$11)+($P$3*MAIN!$B$10)</f>
        <v>11875</v>
      </c>
      <c r="R16" s="36">
        <f>MAIN!$J$2+(MAIN!$E$18+MAIN!$E$19)/2*MAIN!$B$9+(MAIN!$E$20+MAIN!$E$21)/2*MAIN!$B$8+(MAIN!$E$58*MAIN!$B$11)+($P$3*MAIN!$B$10)</f>
        <v>19875</v>
      </c>
      <c r="S16" s="24"/>
      <c r="T16" s="24"/>
      <c r="U16" s="24"/>
      <c r="V16" s="24"/>
      <c r="W16" s="24"/>
    </row>
    <row r="17" spans="1:23" s="24" customFormat="1" ht="15" customHeight="1" x14ac:dyDescent="0.25">
      <c r="A17" s="27" t="s">
        <v>1</v>
      </c>
      <c r="B17" s="2">
        <f>$B$16*2</f>
        <v>400</v>
      </c>
      <c r="C17" s="52" t="s">
        <v>166</v>
      </c>
      <c r="D17" s="171" t="s">
        <v>152</v>
      </c>
      <c r="E17" s="160" t="s">
        <v>153</v>
      </c>
      <c r="F17" s="169" t="s">
        <v>157</v>
      </c>
      <c r="G17" s="163" t="s">
        <v>156</v>
      </c>
      <c r="H17" s="170"/>
      <c r="I17" s="160">
        <f>COUNTIF(E17:H17,"*")</f>
        <v>3</v>
      </c>
      <c r="J17" s="169"/>
      <c r="K17" s="162"/>
      <c r="L17" s="315"/>
      <c r="M17" s="31" t="s">
        <v>114</v>
      </c>
      <c r="N17" s="34">
        <f>MAIN!$F$3+(MAIN!$E$18+MAIN!$E$19)/2*MAIN!$B$9+(MAIN!$E$20+MAIN!$E$21)/2*MAIN!$B$8+(MAIN!$E$69*MAIN!$B$11)+($P$3*MAIN!$B$10)</f>
        <v>5700</v>
      </c>
      <c r="O17" s="35">
        <f>MAIN!$G$3+(MAIN!$E$18+MAIN!$E$19)/2*MAIN!$B$9+(MAIN!$E$20+MAIN!$E$21)/2*MAIN!$B$8+(MAIN!$E$69*MAIN!$B$11)+($P$3*MAIN!$B$10)</f>
        <v>7300</v>
      </c>
      <c r="P17" s="34">
        <f>MAIN!$H$3+(MAIN!$E$18+MAIN!$E$19)/2*MAIN!$B$9+(MAIN!$E$20+MAIN!$E$21)/2*MAIN!$B$8+(MAIN!$E$69*MAIN!$B$11)+($P$3*MAIN!$B$10)</f>
        <v>10500</v>
      </c>
      <c r="Q17" s="35">
        <f>MAIN!$I$3+(MAIN!$E$18+MAIN!$E$19)/2*MAIN!$B$9+(MAIN!$E$20+MAIN!$E$21)/2*MAIN!$B$8+(MAIN!$E$69*MAIN!$B$11)+($P$3*MAIN!$B$10)</f>
        <v>16900</v>
      </c>
      <c r="R17" s="34">
        <f>MAIN!$J$3+(MAIN!$E$18+MAIN!$E$19)/2*MAIN!$B$9+(MAIN!$E$20+MAIN!$E$21)/2*MAIN!$B$8+(MAIN!$E$69*MAIN!$B$11)+($P$3*MAIN!$B$10)</f>
        <v>29700</v>
      </c>
    </row>
    <row r="18" spans="1:23" s="27" customFormat="1" ht="15" customHeight="1" x14ac:dyDescent="0.25">
      <c r="A18" s="27" t="s">
        <v>2</v>
      </c>
      <c r="B18" s="2">
        <f>$B$17*2</f>
        <v>800</v>
      </c>
      <c r="C18" s="27" t="s">
        <v>153</v>
      </c>
      <c r="D18" s="171" t="s">
        <v>150</v>
      </c>
      <c r="E18" s="163" t="s">
        <v>156</v>
      </c>
      <c r="F18" s="161" t="s">
        <v>154</v>
      </c>
      <c r="G18" s="163" t="s">
        <v>153</v>
      </c>
      <c r="H18" s="48"/>
      <c r="I18" s="160">
        <f t="shared" ref="I18:I20" si="0">COUNTIF(E18:H18,"*")</f>
        <v>3</v>
      </c>
      <c r="J18" s="161"/>
      <c r="K18" s="163"/>
      <c r="L18" s="307"/>
      <c r="M18" s="32" t="s">
        <v>115</v>
      </c>
      <c r="N18" s="36">
        <f>MAIN!$F$4+(MAIN!$E$18+MAIN!$E$19)/2*MAIN!$B$9+(MAIN!$E$20+MAIN!$E$21)/2*MAIN!$B$8+(MAIN!$E$80*MAIN!$B$11)+($P$3*MAIN!$B$10)</f>
        <v>5425</v>
      </c>
      <c r="O18" s="36">
        <f>MAIN!$G$4+(MAIN!$E$18+MAIN!$E$19)/2*MAIN!$B$9+(MAIN!$E$20+MAIN!$E$21)/2*MAIN!$B$8+(MAIN!$E$80*MAIN!$B$11)+($P$3*MAIN!$B$10)</f>
        <v>6825</v>
      </c>
      <c r="P18" s="36">
        <f>MAIN!$H$4+(MAIN!$E$18+MAIN!$E$19)/2*MAIN!$B$9+(MAIN!$E$20+MAIN!$E$21)/2*MAIN!$B$8+(MAIN!$E$80*MAIN!$B$11)+($P$3*MAIN!$B$10)</f>
        <v>9625</v>
      </c>
      <c r="Q18" s="36">
        <f>MAIN!$I$4+(MAIN!$E$18+MAIN!$E$19)/2*MAIN!$B$9+(MAIN!$E$20+MAIN!$E$21)/2*MAIN!$B$8+(MAIN!$E$80*MAIN!$B$11)+($P$3*MAIN!$B$10)</f>
        <v>15225</v>
      </c>
      <c r="R18" s="36">
        <f>MAIN!$J$4+(MAIN!$E$18+MAIN!$E$19)/2*MAIN!$B$9+(MAIN!$E$20+MAIN!$E$21)/2*MAIN!$B$8+(MAIN!$E$80*MAIN!$B$11)+($P$3*MAIN!$B$10)</f>
        <v>26425</v>
      </c>
      <c r="S18" s="24"/>
      <c r="T18" s="24"/>
      <c r="U18" s="24"/>
      <c r="V18" s="24"/>
      <c r="W18" s="24"/>
    </row>
    <row r="19" spans="1:23" s="27" customFormat="1" ht="15" customHeight="1" x14ac:dyDescent="0.25">
      <c r="A19" s="27" t="s">
        <v>3</v>
      </c>
      <c r="B19" s="2">
        <f>$B$18*2</f>
        <v>1600</v>
      </c>
      <c r="C19" s="27" t="s">
        <v>154</v>
      </c>
      <c r="D19" s="171" t="s">
        <v>151</v>
      </c>
      <c r="E19" s="163" t="s">
        <v>156</v>
      </c>
      <c r="F19" s="161" t="s">
        <v>153</v>
      </c>
      <c r="G19" s="163" t="s">
        <v>154</v>
      </c>
      <c r="H19" s="48"/>
      <c r="I19" s="160">
        <f t="shared" si="0"/>
        <v>3</v>
      </c>
      <c r="J19" s="161"/>
      <c r="K19" s="163"/>
      <c r="L19" s="307"/>
      <c r="M19" s="31" t="s">
        <v>116</v>
      </c>
      <c r="N19" s="34">
        <f>MAIN!$F$5+(MAIN!$E$18+MAIN!$E$19)/2*MAIN!$B$9+(MAIN!$E$20+MAIN!$E$21)/2*MAIN!$B$8+(MAIN!$E$91*MAIN!$B$11)+($P$3*MAIN!$B$10)</f>
        <v>4600</v>
      </c>
      <c r="O19" s="35">
        <f>MAIN!$G$5+(MAIN!$E$18+MAIN!$E$19)/2*MAIN!$B$9+(MAIN!$E$20+MAIN!$E$21)/2*MAIN!$B$8+(MAIN!$E$91*MAIN!$B$11)+($P$3*MAIN!$B$10)</f>
        <v>5400</v>
      </c>
      <c r="P19" s="34">
        <f>MAIN!$H$5+(MAIN!$E$18+MAIN!$E$19)/2*MAIN!$B$9+(MAIN!$E$20+MAIN!$E$21)/2*MAIN!$B$8+(MAIN!$E$91*MAIN!$B$11)+($P$3*MAIN!$B$10)</f>
        <v>7000</v>
      </c>
      <c r="Q19" s="35">
        <f>MAIN!$I$5+(MAIN!$E$18+MAIN!$E$19)/2*MAIN!$B$9+(MAIN!$E$20+MAIN!$E$21)/2*MAIN!$B$8+(MAIN!$E$91*MAIN!$B$11)+($P$3*MAIN!$B$10)</f>
        <v>10200</v>
      </c>
      <c r="R19" s="34">
        <f>MAIN!$J$5+(MAIN!$E$18+MAIN!$E$19)/2*MAIN!$B$9+(MAIN!$E$20+MAIN!$E$21)/2*MAIN!$B$8+(MAIN!$E$91*MAIN!$B$11)+($P$3*MAIN!$B$10)</f>
        <v>16600</v>
      </c>
      <c r="S19" s="24"/>
      <c r="T19" s="24"/>
      <c r="U19" s="24"/>
      <c r="V19" s="24"/>
      <c r="W19" s="24"/>
    </row>
    <row r="20" spans="1:23" s="24" customFormat="1" ht="15" customHeight="1" x14ac:dyDescent="0.25">
      <c r="A20" s="27" t="s">
        <v>4</v>
      </c>
      <c r="B20" s="2">
        <f>$B$19*2</f>
        <v>3200</v>
      </c>
      <c r="C20" s="27" t="s">
        <v>156</v>
      </c>
      <c r="D20" s="171" t="s">
        <v>160</v>
      </c>
      <c r="E20" s="163" t="s">
        <v>155</v>
      </c>
      <c r="F20" s="161" t="s">
        <v>156</v>
      </c>
      <c r="G20" s="163"/>
      <c r="H20" s="48"/>
      <c r="I20" s="160">
        <f t="shared" si="0"/>
        <v>2</v>
      </c>
      <c r="J20" s="161"/>
      <c r="K20" s="163"/>
      <c r="L20" s="311" t="s">
        <v>111</v>
      </c>
      <c r="M20" s="32" t="s">
        <v>6</v>
      </c>
      <c r="N20" s="36">
        <f>MAIN!$D$2+(MAIN!$F$18+MAIN!$F$19)/2*MAIN!$B$9+(MAIN!$F$20+MAIN!$F$21)/2*MAIN!$B$8+(MAIN!$F$47*MAIN!$B$11)+($Q$3*MAIN!$B$10)</f>
        <v>5650</v>
      </c>
      <c r="O20" s="36">
        <f>MAIN!$D$3+(MAIN!$F$18+MAIN!$F$19)/2*MAIN!$B$9+(MAIN!$F$20+MAIN!$F$21)/2*MAIN!$B$8+(MAIN!$F$47*MAIN!$B$11)+($Q$3*MAIN!$B$10)</f>
        <v>6050</v>
      </c>
      <c r="P20" s="36">
        <f>MAIN!$D$4+(MAIN!$F$18+MAIN!$F$19)/2*MAIN!$B$9+(MAIN!$F$20+MAIN!$F$21)/2*MAIN!$B$8+(MAIN!$F$47*MAIN!$B$11)+($Q$3*MAIN!$B$10)</f>
        <v>6850</v>
      </c>
      <c r="Q20" s="36">
        <f>MAIN!$D$5+(MAIN!$F$18+MAIN!$F$19)/2*MAIN!$B$9+(MAIN!$F$20+MAIN!$F$21)/2*MAIN!$B$8+(MAIN!$F$47*MAIN!$B$11)+($Q$3*MAIN!$B$10)</f>
        <v>8450</v>
      </c>
      <c r="R20" s="36">
        <f>MAIN!$D$6+(MAIN!$F$18+MAIN!$F$19)/2*MAIN!$B$9+(MAIN!$F$20+MAIN!$F$21)/2*MAIN!$B$8+(MAIN!$F$47*MAIN!$B$11)+($Q$3*MAIN!$B$10)</f>
        <v>11650</v>
      </c>
    </row>
    <row r="21" spans="1:23" s="24" customFormat="1" ht="15" customHeight="1" x14ac:dyDescent="0.25">
      <c r="A21" s="27"/>
      <c r="B21" s="27"/>
      <c r="C21" s="27" t="s">
        <v>157</v>
      </c>
      <c r="D21" s="142"/>
      <c r="E21" s="142"/>
      <c r="F21" s="142"/>
      <c r="G21" s="142"/>
      <c r="H21" s="13"/>
      <c r="I21" s="163"/>
      <c r="J21" s="161"/>
      <c r="K21" s="163"/>
      <c r="L21" s="312"/>
      <c r="M21" s="31" t="s">
        <v>113</v>
      </c>
      <c r="N21" s="34">
        <f>MAIN!$F$2+(MAIN!$F$18+MAIN!$F$19)/2*MAIN!$B$9+(MAIN!$F$20+MAIN!$F$21)/2*MAIN!$B$8+(MAIN!$F$58*MAIN!$B$11)+($Q$3*MAIN!$B$10)</f>
        <v>6625</v>
      </c>
      <c r="O21" s="35">
        <f>MAIN!$G$2+(MAIN!$F$18+MAIN!$F$19)/2*MAIN!$B$9+(MAIN!$F$20+MAIN!$F$21)/2*MAIN!$B$8+(MAIN!$F$58*MAIN!$B$11)+($Q$3*MAIN!$B$10)</f>
        <v>7625</v>
      </c>
      <c r="P21" s="34">
        <f>MAIN!$H$2+(MAIN!$F$18+MAIN!$F$19)/2*MAIN!$B$9+(MAIN!$F$20+MAIN!$F$21)/2*MAIN!$B$8+(MAIN!$F$58*MAIN!$B$11)+($Q$3*MAIN!$B$10)</f>
        <v>9625</v>
      </c>
      <c r="Q21" s="35">
        <f>MAIN!$I$2+(MAIN!$F$18+MAIN!$F$19)/2*MAIN!$B$9+(MAIN!$F$20+MAIN!$F$21)/2*MAIN!$B$8+(MAIN!$F$58*MAIN!$B$11)+($Q$3*MAIN!$B$10)</f>
        <v>13625</v>
      </c>
      <c r="R21" s="34">
        <f>MAIN!$J$2+(MAIN!$F$18+MAIN!$F$19)/2*MAIN!$B$9+(MAIN!$F$20+MAIN!$F$21)/2*MAIN!$B$8+(MAIN!$F$58*MAIN!$B$11)+($Q$3*MAIN!$B$10)</f>
        <v>21625</v>
      </c>
    </row>
    <row r="22" spans="1:23" s="24" customFormat="1" ht="15" customHeight="1" x14ac:dyDescent="0.25">
      <c r="A22" s="27"/>
      <c r="B22" s="27"/>
      <c r="C22" s="27" t="s">
        <v>155</v>
      </c>
      <c r="D22" s="142"/>
      <c r="E22" s="142"/>
      <c r="F22" s="142"/>
      <c r="G22" s="142"/>
      <c r="H22" s="13"/>
      <c r="I22" s="163"/>
      <c r="J22" s="161"/>
      <c r="K22" s="163"/>
      <c r="L22" s="312"/>
      <c r="M22" s="32" t="s">
        <v>114</v>
      </c>
      <c r="N22" s="36">
        <f>MAIN!$F$3+(MAIN!$F$18+MAIN!$F$19)/2*MAIN!$B$9+(MAIN!$F$20+MAIN!$F$21)/2*MAIN!$B$8+(MAIN!$F$69*MAIN!$B$11)+($Q$3*MAIN!$B$10)</f>
        <v>7600</v>
      </c>
      <c r="O22" s="36">
        <f>MAIN!$G$3+(MAIN!$F$18+MAIN!$F$19)/2*MAIN!$B$9+(MAIN!$F$20+MAIN!$F$21)/2*MAIN!$B$8+(MAIN!$F$69*MAIN!$B$11)+($Q$3*MAIN!$B$10)</f>
        <v>9200</v>
      </c>
      <c r="P22" s="36">
        <f>MAIN!$H$3+(MAIN!$F$18+MAIN!$F$19)/2*MAIN!$B$9+(MAIN!$F$20+MAIN!$F$21)/2*MAIN!$B$8+(MAIN!$F$69*MAIN!$B$11)+($Q$3*MAIN!$B$10)</f>
        <v>12400</v>
      </c>
      <c r="Q22" s="36">
        <f>MAIN!$I$3+(MAIN!$F$18+MAIN!$F$19)/2*MAIN!$B$9+(MAIN!$F$20+MAIN!$F$21)/2*MAIN!$B$8+(MAIN!$F$69*MAIN!$B$11)+($Q$3*MAIN!$B$10)</f>
        <v>18800</v>
      </c>
      <c r="R22" s="36">
        <f>MAIN!$J$3+(MAIN!$F$18+MAIN!$F$19)/2*MAIN!$B$9+(MAIN!$F$20+MAIN!$F$21)/2*MAIN!$B$8+(MAIN!$F$69*MAIN!$B$11)+($Q$3*MAIN!$B$10)</f>
        <v>31600</v>
      </c>
    </row>
    <row r="23" spans="1:23" s="24" customFormat="1" ht="15" customHeight="1" x14ac:dyDescent="0.25">
      <c r="A23" s="27"/>
      <c r="B23" s="27"/>
      <c r="C23" s="222" t="s">
        <v>158</v>
      </c>
      <c r="D23" s="229"/>
      <c r="E23" s="229"/>
      <c r="F23" s="229"/>
      <c r="G23" s="229"/>
      <c r="H23" s="13"/>
      <c r="I23" s="160"/>
      <c r="J23" s="161"/>
      <c r="K23" s="162"/>
      <c r="L23" s="313"/>
      <c r="M23" s="31" t="s">
        <v>115</v>
      </c>
      <c r="N23" s="34">
        <f>MAIN!$F$4+(MAIN!$F$18+MAIN!$F$19)/2*MAIN!$B$9+(MAIN!$F$20+MAIN!$F$21)/2*MAIN!$B$8+(MAIN!$F$80*MAIN!$B$11)+($Q$3*MAIN!$B$10)</f>
        <v>7275</v>
      </c>
      <c r="O23" s="35">
        <f>MAIN!$G$4+(MAIN!$F$18+MAIN!$F$19)/2*MAIN!$B$9+(MAIN!$F$20+MAIN!$F$21)/2*MAIN!$B$8+(MAIN!$F$80*MAIN!$B$11)+($Q$3*MAIN!$B$10)</f>
        <v>8675</v>
      </c>
      <c r="P23" s="34">
        <f>MAIN!$H$4+(MAIN!$F$18+MAIN!$F$19)/2*MAIN!$B$9+(MAIN!$F$20+MAIN!$F$21)/2*MAIN!$B$8+(MAIN!$F$80*MAIN!$B$11)+($Q$3*MAIN!$B$10)</f>
        <v>11475</v>
      </c>
      <c r="Q23" s="35">
        <f>MAIN!$I$4+(MAIN!$F$18+MAIN!$F$19)/2*MAIN!$B$9+(MAIN!$F$20+MAIN!$F$21)/2*MAIN!$B$8+(MAIN!$F$80*MAIN!$B$11)+($Q$3*MAIN!$B$10)</f>
        <v>17075</v>
      </c>
      <c r="R23" s="34">
        <f>MAIN!$J$4+(MAIN!$F$18+MAIN!$F$19)/2*MAIN!$B$9+(MAIN!$F$20+MAIN!$F$21)/2*MAIN!$B$8+(MAIN!$F$80*MAIN!$B$11)+($Q$3*MAIN!$B$10)</f>
        <v>28275</v>
      </c>
    </row>
    <row r="24" spans="1:23" s="24" customFormat="1" ht="15" customHeight="1" x14ac:dyDescent="0.25">
      <c r="A24" s="27"/>
      <c r="B24" s="27"/>
      <c r="C24" s="50"/>
      <c r="D24" s="308" t="s">
        <v>198</v>
      </c>
      <c r="E24" s="308"/>
      <c r="F24" s="308"/>
      <c r="G24" s="308"/>
      <c r="H24" s="308"/>
      <c r="I24" s="308"/>
      <c r="J24" s="308"/>
      <c r="K24" s="310"/>
      <c r="L24" s="314"/>
      <c r="M24" s="32" t="s">
        <v>116</v>
      </c>
      <c r="N24" s="36">
        <f>MAIN!$F$5+(MAIN!$F$18+MAIN!$F$19)/2*MAIN!$B$9+(MAIN!$F$20+MAIN!$F$21)/2*MAIN!$B$8+(MAIN!$F$91*MAIN!$B$11)+($Q$3*MAIN!$B$10)</f>
        <v>6300</v>
      </c>
      <c r="O24" s="36">
        <f>MAIN!$G$5+(MAIN!$F$18+MAIN!$F$19)/2*MAIN!$B$9+(MAIN!$F$20+MAIN!$F$21)/2*MAIN!$B$8+(MAIN!$F$91*MAIN!$B$11)+($Q$3*MAIN!$B$10)</f>
        <v>7100</v>
      </c>
      <c r="P24" s="36">
        <f>MAIN!$H$5+(MAIN!$F$18+MAIN!$F$19)/2*MAIN!$B$9+(MAIN!$F$20+MAIN!$F$21)/2*MAIN!$B$8+(MAIN!$F$91*MAIN!$B$11)+($Q$3*MAIN!$B$10)</f>
        <v>8700</v>
      </c>
      <c r="Q24" s="36">
        <f>MAIN!$I$5+(MAIN!$F$18+MAIN!$F$19)/2*MAIN!$B$9+(MAIN!$F$20+MAIN!$F$21)/2*MAIN!$B$8+(MAIN!$F$91*MAIN!$B$11)+($Q$3*MAIN!$B$10)</f>
        <v>11900</v>
      </c>
      <c r="R24" s="36">
        <f>MAIN!$J$5+(MAIN!$F$18+MAIN!$F$19)/2*MAIN!$B$9+(MAIN!$F$20+MAIN!$F$21)/2*MAIN!$B$8+(MAIN!$F$91*MAIN!$B$11)+($Q$3*MAIN!$B$10)</f>
        <v>18300</v>
      </c>
    </row>
    <row r="25" spans="1:23" s="24" customFormat="1" ht="15" customHeight="1" x14ac:dyDescent="0.25">
      <c r="A25" s="27"/>
      <c r="B25" s="27"/>
      <c r="C25" s="50"/>
      <c r="D25" s="309" t="s">
        <v>152</v>
      </c>
      <c r="E25" s="309"/>
      <c r="F25" s="309" t="s">
        <v>150</v>
      </c>
      <c r="G25" s="309"/>
      <c r="H25" s="309" t="s">
        <v>151</v>
      </c>
      <c r="I25" s="309"/>
      <c r="J25" s="309" t="s">
        <v>160</v>
      </c>
      <c r="K25" s="309"/>
      <c r="L25" s="307" t="s">
        <v>112</v>
      </c>
      <c r="M25" s="31" t="s">
        <v>6</v>
      </c>
      <c r="N25" s="34">
        <f>MAIN!$D$2+(MAIN!$G$18+MAIN!$G$19)/2*MAIN!$B$9+(MAIN!$G$20+MAIN!$G$21)/2*MAIN!$B$8+(MAIN!$G$47*MAIN!$B$11)+($R$3*MAIN!$B$10)</f>
        <v>7250</v>
      </c>
      <c r="O25" s="35">
        <f>MAIN!$D$3+(MAIN!$G$18+MAIN!$G$19)/2*MAIN!$B$9+(MAIN!$G$20+MAIN!$G$21)/2*MAIN!$B$8+(MAIN!$G$47*MAIN!$B$11)+($R$3*MAIN!$B$10)</f>
        <v>7650</v>
      </c>
      <c r="P25" s="34">
        <f>MAIN!$D$4+(MAIN!$G$18+MAIN!$G$19)/2*MAIN!$B$9+(MAIN!$G$20+MAIN!$G$21)/2*MAIN!$B$8+(MAIN!$G$47*MAIN!$B$11)+($R$3*MAIN!$B$10)</f>
        <v>8450</v>
      </c>
      <c r="Q25" s="35">
        <f>MAIN!$D$5+(MAIN!$G$18+MAIN!$G$19)/2*MAIN!$B$9+(MAIN!$G$20+MAIN!$G$21)/2*MAIN!$B$8+(MAIN!$G$47*MAIN!$B$11)+($R$3*MAIN!$B$10)</f>
        <v>10050</v>
      </c>
      <c r="R25" s="34">
        <f>MAIN!$D$6+(MAIN!$G$18+MAIN!$G$19)/2*MAIN!$B$9+(MAIN!$G$20+MAIN!$G$21)/2*MAIN!$B$8+(MAIN!$G$47*MAIN!$B$11)+($R$3*MAIN!$B$10)</f>
        <v>13250</v>
      </c>
    </row>
    <row r="26" spans="1:23" s="24" customFormat="1" ht="15" customHeight="1" x14ac:dyDescent="0.25">
      <c r="A26" s="27"/>
      <c r="B26" s="59" t="s">
        <v>931</v>
      </c>
      <c r="C26" s="59" t="s">
        <v>19</v>
      </c>
      <c r="D26" s="59" t="s">
        <v>146</v>
      </c>
      <c r="E26" s="59" t="s">
        <v>159</v>
      </c>
      <c r="F26" s="59" t="s">
        <v>146</v>
      </c>
      <c r="G26" s="59" t="s">
        <v>159</v>
      </c>
      <c r="H26" s="59" t="s">
        <v>146</v>
      </c>
      <c r="I26" s="59" t="s">
        <v>159</v>
      </c>
      <c r="J26" s="59" t="s">
        <v>146</v>
      </c>
      <c r="K26" s="59" t="s">
        <v>159</v>
      </c>
      <c r="L26" s="307"/>
      <c r="M26" s="32" t="s">
        <v>113</v>
      </c>
      <c r="N26" s="36">
        <f>MAIN!$F$2+(MAIN!$G$18+MAIN!$G$19)/2*MAIN!$B$9+(MAIN!$G$20+MAIN!$G$21)/2*MAIN!$B$8+(MAIN!$G$58*MAIN!$B$11)+($R$3*MAIN!$B$10)</f>
        <v>8375</v>
      </c>
      <c r="O26" s="36">
        <f>MAIN!$G$2+(MAIN!$G$18+MAIN!$G$19)/2*MAIN!$B$9+(MAIN!$G$20+MAIN!$G$21)/2*MAIN!$B$8+(MAIN!$G$58*MAIN!$B$11)+($R$3*MAIN!$B$10)</f>
        <v>9375</v>
      </c>
      <c r="P26" s="36">
        <f>MAIN!$H$2+(MAIN!$G$18+MAIN!$G$19)/2*MAIN!$B$9+(MAIN!$G$20+MAIN!$G$21)/2*MAIN!$B$8+(MAIN!$G$58*MAIN!$B$11)+($R$3*MAIN!$B$10)</f>
        <v>11375</v>
      </c>
      <c r="Q26" s="36">
        <f>MAIN!$I$2+(MAIN!$G$18+MAIN!$G$19)/2*MAIN!$B$9+(MAIN!$G$20+MAIN!$G$21)/2*MAIN!$B$8+(MAIN!$G$58*MAIN!$B$11)+($R$3*MAIN!$B$10)</f>
        <v>15375</v>
      </c>
      <c r="R26" s="36">
        <f>MAIN!$J$2+(MAIN!$G$18+MAIN!$G$19)/2*MAIN!$B$9+(MAIN!$G$20+MAIN!$G$21)/2*MAIN!$B$8+(MAIN!$G$58*MAIN!$B$11)+($R$3*MAIN!$B$10)</f>
        <v>23375</v>
      </c>
    </row>
    <row r="27" spans="1:23" s="24" customFormat="1" ht="15" customHeight="1" x14ac:dyDescent="0.25">
      <c r="A27" s="27"/>
      <c r="B27" s="28">
        <v>20</v>
      </c>
      <c r="C27" s="60">
        <v>1</v>
      </c>
      <c r="D27" s="60" t="s">
        <v>168</v>
      </c>
      <c r="E27" s="60">
        <f>ROUNDUP($D$15*$C$3,0)</f>
        <v>3</v>
      </c>
      <c r="F27" s="60" t="s">
        <v>174</v>
      </c>
      <c r="G27" s="60">
        <f>ROUNDUP($F$15*$C$3,0)</f>
        <v>4</v>
      </c>
      <c r="H27" s="60" t="s">
        <v>186</v>
      </c>
      <c r="I27" s="60">
        <f>ROUNDUP($H$15*$C$3,0)</f>
        <v>86</v>
      </c>
      <c r="J27" s="60" t="s">
        <v>194</v>
      </c>
      <c r="K27" s="60">
        <f>ROUNDUP($J$15*$C$3,0)</f>
        <v>86</v>
      </c>
      <c r="L27" s="307"/>
      <c r="M27" s="31" t="s">
        <v>114</v>
      </c>
      <c r="N27" s="34">
        <f>MAIN!$F$3+(MAIN!$G$18+MAIN!$G$19)/2*MAIN!$B$9+(MAIN!$G$20+MAIN!$G$21)/2*MAIN!$B$8+(MAIN!$G$69*MAIN!$B$11)+($R$3*MAIN!$B$10)</f>
        <v>9500</v>
      </c>
      <c r="O27" s="35">
        <f>MAIN!$G$3+(MAIN!$G$18+MAIN!$G$19)/2*MAIN!$B$9+(MAIN!$G$20+MAIN!$G$21)/2*MAIN!$B$8+(MAIN!$G$69*MAIN!$B$11)+($R$3*MAIN!$B$10)</f>
        <v>11100</v>
      </c>
      <c r="P27" s="34">
        <f>MAIN!$H$3+(MAIN!$G$18+MAIN!$G$19)/2*MAIN!$B$9+(MAIN!$G$20+MAIN!$G$21)/2*MAIN!$B$8+(MAIN!$G$69*MAIN!$B$11)+($R$3*MAIN!$B$10)</f>
        <v>14300</v>
      </c>
      <c r="Q27" s="35">
        <f>MAIN!$I$3+(MAIN!$G$18+MAIN!$G$19)/2*MAIN!$B$9+(MAIN!$G$20+MAIN!$G$21)/2*MAIN!$B$8+(MAIN!$G$69*MAIN!$B$11)+($R$3*MAIN!$B$10)</f>
        <v>20700</v>
      </c>
      <c r="R27" s="34">
        <f>MAIN!$J$3+(MAIN!$G$18+MAIN!$G$19)/2*MAIN!$B$9+(MAIN!$G$20+MAIN!$G$21)/2*MAIN!$B$8+(MAIN!$G$69*MAIN!$B$11)+($R$3*MAIN!$B$10)</f>
        <v>33500</v>
      </c>
    </row>
    <row r="28" spans="1:23" s="24" customFormat="1" ht="15" customHeight="1" x14ac:dyDescent="0.25">
      <c r="A28" s="27"/>
      <c r="B28" s="27"/>
      <c r="C28" s="61">
        <v>2</v>
      </c>
      <c r="D28" s="61" t="s">
        <v>172</v>
      </c>
      <c r="E28" s="61">
        <f>ROUNDUP($D$15*$C$4,0)</f>
        <v>7</v>
      </c>
      <c r="F28" s="61" t="s">
        <v>175</v>
      </c>
      <c r="G28" s="61">
        <f>ROUNDUP($F$15*$C$4,0)</f>
        <v>11</v>
      </c>
      <c r="H28" s="61" t="s">
        <v>187</v>
      </c>
      <c r="I28" s="61">
        <f>ROUNDUP($H$15*$C$4,0)</f>
        <v>257</v>
      </c>
      <c r="J28" s="61" t="s">
        <v>158</v>
      </c>
      <c r="K28" s="61">
        <f>ROUNDUP($J$15*$C$4,0)</f>
        <v>257</v>
      </c>
      <c r="L28" s="307"/>
      <c r="M28" s="32" t="s">
        <v>115</v>
      </c>
      <c r="N28" s="36">
        <f>MAIN!$F$4+(MAIN!$G$18+MAIN!$G$19)/2*MAIN!$B$9+(MAIN!$G$20+MAIN!$G$21)/2*MAIN!$B$8+(MAIN!$G$80*MAIN!$B$11)+($R$3*MAIN!$B$10)</f>
        <v>9125</v>
      </c>
      <c r="O28" s="36">
        <f>MAIN!$G$4+(MAIN!$G$18+MAIN!$G$19)/2*MAIN!$B$9+(MAIN!$G$20+MAIN!$G$21)/2*MAIN!$B$8+(MAIN!$G$80*MAIN!$B$11)+($R$3*MAIN!$B$10)</f>
        <v>10525</v>
      </c>
      <c r="P28" s="36">
        <f>MAIN!$H$4+(MAIN!$G$18+MAIN!$G$19)/2*MAIN!$B$9+(MAIN!$G$20+MAIN!$G$21)/2*MAIN!$B$8+(MAIN!$G$80*MAIN!$B$11)+($R$3*MAIN!$B$10)</f>
        <v>13325</v>
      </c>
      <c r="Q28" s="36">
        <f>MAIN!$I$4+(MAIN!$G$18+MAIN!$G$19)/2*MAIN!$B$9+(MAIN!$G$20+MAIN!$G$21)/2*MAIN!$B$8+(MAIN!$G$80*MAIN!$B$11)+($R$3*MAIN!$B$10)</f>
        <v>18925</v>
      </c>
      <c r="R28" s="36">
        <f>MAIN!$J$4+(MAIN!$G$18+MAIN!$G$19)/2*MAIN!$B$9+(MAIN!$G$20+MAIN!$G$21)/2*MAIN!$B$8+(MAIN!$G$80*MAIN!$B$11)+($R$3*MAIN!$B$10)</f>
        <v>30125</v>
      </c>
    </row>
    <row r="29" spans="1:23" s="24" customFormat="1" ht="15" customHeight="1" x14ac:dyDescent="0.25">
      <c r="A29" s="27"/>
      <c r="B29" s="27"/>
      <c r="C29" s="62">
        <v>3</v>
      </c>
      <c r="D29" s="62" t="s">
        <v>173</v>
      </c>
      <c r="E29" s="62">
        <f>ROUNDUP($D$15*$C$5,0)</f>
        <v>11</v>
      </c>
      <c r="F29" s="62" t="s">
        <v>176</v>
      </c>
      <c r="G29" s="62">
        <f>ROUNDUP($F$15*$C$5,0)</f>
        <v>17</v>
      </c>
      <c r="H29" s="62" t="s">
        <v>188</v>
      </c>
      <c r="I29" s="62">
        <f>ROUNDUP($H$15*$C$5,0)</f>
        <v>428</v>
      </c>
      <c r="J29" s="62" t="s">
        <v>197</v>
      </c>
      <c r="K29" s="62">
        <f>ROUNDUP($J$15*$C$5,0)</f>
        <v>428</v>
      </c>
      <c r="L29" s="307"/>
      <c r="M29" s="31" t="s">
        <v>116</v>
      </c>
      <c r="N29" s="34">
        <f>MAIN!$F$5+(MAIN!$G$18+MAIN!$G$19)/2*MAIN!$B$9+(MAIN!$G$20+MAIN!$G$21)/2*MAIN!$B$8+(MAIN!$G$91*MAIN!$B$11)+($R$3*MAIN!$B$10)</f>
        <v>8000</v>
      </c>
      <c r="O29" s="35">
        <f>MAIN!$G$5+(MAIN!$G$18+MAIN!$G$19)/2*MAIN!$B$9+(MAIN!$G$20+MAIN!$G$21)/2*MAIN!$B$8+(MAIN!$G$91*MAIN!$B$11)+($R$3*MAIN!$B$10)</f>
        <v>8800</v>
      </c>
      <c r="P29" s="34">
        <f>MAIN!$H$5+(MAIN!$G$18+MAIN!$G$19)/2*MAIN!$B$9+(MAIN!$G$20+MAIN!$G$21)/2*MAIN!$B$8+(MAIN!$G$91*MAIN!$B$11)+($R$3*MAIN!$B$10)</f>
        <v>10400</v>
      </c>
      <c r="Q29" s="35">
        <f>MAIN!$I$5+(MAIN!$G$18+MAIN!$G$19)/2*MAIN!$B$9+(MAIN!$G$20+MAIN!$G$21)/2*MAIN!$B$8+(MAIN!$G$91*MAIN!$B$11)+($R$3*MAIN!$B$10)</f>
        <v>13600</v>
      </c>
      <c r="R29" s="34">
        <f>MAIN!$J$5+(MAIN!$G$18+MAIN!$G$19)/2*MAIN!$B$9+(MAIN!$G$20+MAIN!$G$21)/2*MAIN!$B$8+(MAIN!$G$91*MAIN!$B$11)+($R$3*MAIN!$B$10)</f>
        <v>20000</v>
      </c>
    </row>
    <row r="30" spans="1:23" s="24" customFormat="1" ht="15" customHeight="1" x14ac:dyDescent="0.25">
      <c r="A30" s="27"/>
      <c r="B30" s="27"/>
      <c r="C30" s="63">
        <v>4</v>
      </c>
      <c r="D30" s="63" t="s">
        <v>181</v>
      </c>
      <c r="E30" s="63">
        <f>ROUNDUP($D$15*$C$6,0)</f>
        <v>15</v>
      </c>
      <c r="F30" s="63" t="s">
        <v>177</v>
      </c>
      <c r="G30" s="63">
        <f>ROUNDUP($F$15*$C$6,0)</f>
        <v>24</v>
      </c>
      <c r="H30" s="62" t="s">
        <v>189</v>
      </c>
      <c r="I30" s="62">
        <f>ROUNDUP($H$15*$C$5,0)</f>
        <v>428</v>
      </c>
      <c r="J30" s="63" t="s">
        <v>195</v>
      </c>
      <c r="K30" s="63">
        <f>ROUNDUP($J$15*$C$6,0)</f>
        <v>599</v>
      </c>
      <c r="M30"/>
      <c r="N30"/>
      <c r="O30"/>
      <c r="P30"/>
      <c r="Q30"/>
    </row>
    <row r="31" spans="1:23" s="27" customFormat="1" ht="15" customHeight="1" x14ac:dyDescent="0.25">
      <c r="C31" s="64">
        <v>5</v>
      </c>
      <c r="D31" s="63" t="s">
        <v>180</v>
      </c>
      <c r="E31" s="63">
        <f>ROUNDUP($D$15*$C$6,0)</f>
        <v>15</v>
      </c>
      <c r="F31" s="64" t="s">
        <v>178</v>
      </c>
      <c r="G31" s="64">
        <f>ROUNDUP($F$15*$C$7,0)</f>
        <v>31</v>
      </c>
      <c r="H31" s="63" t="s">
        <v>190</v>
      </c>
      <c r="I31" s="63">
        <f>ROUNDUP($H$15*$C$6,0)</f>
        <v>599</v>
      </c>
      <c r="J31" s="64" t="s">
        <v>196</v>
      </c>
      <c r="K31" s="64">
        <f>ROUNDUP($J$15*$C$7,0)</f>
        <v>771</v>
      </c>
    </row>
    <row r="32" spans="1:23" s="24" customFormat="1" ht="15" customHeight="1" x14ac:dyDescent="0.25">
      <c r="A32" s="27"/>
      <c r="B32" s="27"/>
      <c r="C32" s="65">
        <v>6</v>
      </c>
      <c r="D32" s="63" t="s">
        <v>183</v>
      </c>
      <c r="E32" s="63">
        <f>ROUNDUP($D$15*$C$6,0)</f>
        <v>15</v>
      </c>
      <c r="F32" s="65" t="s">
        <v>179</v>
      </c>
      <c r="G32" s="65">
        <f>ROUNDUP($F$15*$C$8,0)</f>
        <v>37</v>
      </c>
      <c r="H32" s="64" t="s">
        <v>191</v>
      </c>
      <c r="I32" s="64">
        <f>ROUNDUP($H$15*$C$7,0)</f>
        <v>771</v>
      </c>
      <c r="J32" s="65" t="s">
        <v>1004</v>
      </c>
      <c r="K32" s="66">
        <f>ROUNDUP($J$15*$C$8,0)</f>
        <v>942</v>
      </c>
      <c r="M32"/>
      <c r="N32"/>
      <c r="O32"/>
      <c r="P32"/>
      <c r="Q32"/>
    </row>
    <row r="33" spans="1:23" s="24" customFormat="1" ht="15" customHeight="1" x14ac:dyDescent="0.25">
      <c r="A33" s="27"/>
      <c r="B33" s="27"/>
      <c r="C33" s="28"/>
      <c r="D33" s="64" t="s">
        <v>1024</v>
      </c>
      <c r="E33" s="64">
        <f>ROUNDUP($D$15*$C$7,0)</f>
        <v>19</v>
      </c>
      <c r="F33" s="2"/>
      <c r="G33" s="2"/>
      <c r="H33" s="65" t="s">
        <v>192</v>
      </c>
      <c r="I33" s="66">
        <f>ROUNDUP($H$15*$C$8,0)</f>
        <v>942</v>
      </c>
      <c r="J33" s="39"/>
      <c r="K33" s="2"/>
      <c r="M33"/>
      <c r="N33"/>
      <c r="O33"/>
      <c r="P33"/>
      <c r="Q33"/>
    </row>
    <row r="34" spans="1:23" s="24" customFormat="1" ht="15" customHeight="1" x14ac:dyDescent="0.25">
      <c r="A34" s="27"/>
      <c r="B34" s="27"/>
      <c r="C34" s="28"/>
      <c r="D34" s="64" t="s">
        <v>182</v>
      </c>
      <c r="E34" s="64">
        <f>ROUNDUP($D$15*$C$7,0)</f>
        <v>19</v>
      </c>
      <c r="F34" s="2"/>
      <c r="G34" s="2"/>
      <c r="H34" s="65" t="s">
        <v>193</v>
      </c>
      <c r="I34" s="66">
        <f>ROUNDUP($H$15*$C$8,0)</f>
        <v>942</v>
      </c>
      <c r="J34" s="2"/>
      <c r="K34" s="2"/>
      <c r="M34"/>
      <c r="N34"/>
      <c r="O34"/>
      <c r="P34"/>
      <c r="Q34"/>
      <c r="R34"/>
      <c r="S34"/>
      <c r="T34"/>
      <c r="U34"/>
    </row>
    <row r="35" spans="1:23" s="24" customFormat="1" x14ac:dyDescent="0.25">
      <c r="A35" s="27"/>
      <c r="B35" s="27"/>
      <c r="C35" s="28"/>
      <c r="D35" s="64" t="s">
        <v>923</v>
      </c>
      <c r="E35" s="64">
        <f>ROUNDUP($D$15*$C$7,0)</f>
        <v>19</v>
      </c>
      <c r="F35" s="2"/>
      <c r="G35" s="2"/>
      <c r="H35" s="65" t="s">
        <v>979</v>
      </c>
      <c r="I35" s="66">
        <f>ROUNDUP($H$15*$C$8,0)</f>
        <v>942</v>
      </c>
      <c r="J35" s="2"/>
      <c r="K35" s="2"/>
      <c r="N35"/>
      <c r="O35"/>
      <c r="P35"/>
      <c r="Q35"/>
      <c r="R35"/>
      <c r="S35"/>
      <c r="T35"/>
      <c r="U35"/>
      <c r="V35"/>
      <c r="W35"/>
    </row>
    <row r="36" spans="1:23" s="24" customFormat="1" x14ac:dyDescent="0.25">
      <c r="A36" s="27"/>
      <c r="B36" s="27"/>
      <c r="C36" s="28"/>
      <c r="D36" s="64" t="s">
        <v>184</v>
      </c>
      <c r="E36" s="64">
        <f>ROUNDUP($D$15*$C$7,0)</f>
        <v>19</v>
      </c>
      <c r="F36" s="2"/>
      <c r="G36" s="2"/>
      <c r="H36" s="65" t="s">
        <v>1025</v>
      </c>
      <c r="I36" s="66">
        <f>ROUNDUP($H$15*$C$8,0)</f>
        <v>942</v>
      </c>
      <c r="J36" s="2"/>
      <c r="K36" s="2"/>
      <c r="N36"/>
      <c r="O36"/>
      <c r="P36"/>
      <c r="Q36"/>
      <c r="R36"/>
      <c r="S36"/>
      <c r="T36"/>
      <c r="U36"/>
      <c r="V36"/>
      <c r="W36"/>
    </row>
    <row r="37" spans="1:23" s="24" customFormat="1" x14ac:dyDescent="0.25">
      <c r="A37" s="27"/>
      <c r="B37" s="27"/>
      <c r="C37" s="27"/>
      <c r="D37" s="65" t="s">
        <v>961</v>
      </c>
      <c r="E37" s="66">
        <f>ROUNDUP($D$15*$C$8,0)</f>
        <v>23</v>
      </c>
      <c r="F37" s="2"/>
      <c r="G37" s="2"/>
      <c r="H37" s="2"/>
      <c r="I37" s="2"/>
      <c r="J37" s="2"/>
      <c r="K37" s="2"/>
      <c r="N37"/>
      <c r="O37"/>
      <c r="P37"/>
      <c r="Q37"/>
      <c r="R37"/>
      <c r="S37"/>
      <c r="T37"/>
      <c r="U37"/>
      <c r="V37"/>
      <c r="W37"/>
    </row>
    <row r="38" spans="1:23" s="24" customFormat="1" x14ac:dyDescent="0.25">
      <c r="A38" s="27"/>
      <c r="B38" s="27"/>
      <c r="C38" s="27"/>
      <c r="D38" s="65" t="s">
        <v>185</v>
      </c>
      <c r="E38" s="66">
        <f>ROUNDUP($D$15*$C$8,0)</f>
        <v>23</v>
      </c>
      <c r="F38" s="2"/>
      <c r="G38" s="2"/>
      <c r="H38" s="2"/>
      <c r="I38" s="2"/>
      <c r="J38" s="2"/>
      <c r="K38" s="2"/>
      <c r="N38"/>
      <c r="O38"/>
      <c r="P38"/>
      <c r="Q38"/>
      <c r="R38"/>
      <c r="S38"/>
      <c r="T38"/>
      <c r="U38"/>
      <c r="V38"/>
      <c r="W38"/>
    </row>
    <row r="39" spans="1:23" x14ac:dyDescent="0.25">
      <c r="B39"/>
      <c r="C39"/>
      <c r="D39" s="65" t="s">
        <v>984</v>
      </c>
      <c r="E39" s="66">
        <f>ROUNDUP($D$15*$C$8,0)</f>
        <v>23</v>
      </c>
      <c r="F39"/>
      <c r="G39"/>
      <c r="H39"/>
      <c r="I39"/>
      <c r="J39"/>
      <c r="K39"/>
    </row>
    <row r="40" spans="1:23" x14ac:dyDescent="0.25">
      <c r="B40"/>
      <c r="C40"/>
      <c r="D40"/>
      <c r="E40"/>
      <c r="F40"/>
      <c r="G40"/>
      <c r="H40" s="13"/>
      <c r="I40" s="13"/>
      <c r="J40" s="13"/>
      <c r="K40" s="13"/>
    </row>
    <row r="41" spans="1:23" x14ac:dyDescent="0.25">
      <c r="B41" s="166"/>
      <c r="C41" s="165"/>
      <c r="D41" s="297" t="s">
        <v>985</v>
      </c>
      <c r="E41" s="297"/>
      <c r="F41" s="297"/>
      <c r="G41" s="297"/>
      <c r="H41" s="297" t="s">
        <v>1005</v>
      </c>
      <c r="I41" s="297"/>
      <c r="J41" s="297"/>
      <c r="K41" s="297"/>
    </row>
    <row r="42" spans="1:23" x14ac:dyDescent="0.25">
      <c r="B42" s="166"/>
      <c r="C42" s="165"/>
      <c r="D42" s="295" t="s">
        <v>986</v>
      </c>
      <c r="E42" s="296"/>
      <c r="F42" s="296"/>
      <c r="G42" s="296"/>
      <c r="H42" s="295" t="s">
        <v>988</v>
      </c>
      <c r="I42" s="296"/>
      <c r="J42" s="296"/>
      <c r="K42" s="296"/>
    </row>
    <row r="43" spans="1:23" x14ac:dyDescent="0.25">
      <c r="B43" s="166"/>
      <c r="C43" s="59" t="s">
        <v>19</v>
      </c>
      <c r="D43" s="59" t="s">
        <v>999</v>
      </c>
      <c r="E43" s="59" t="s">
        <v>159</v>
      </c>
      <c r="F43" s="59" t="s">
        <v>987</v>
      </c>
      <c r="G43" s="59" t="s">
        <v>1000</v>
      </c>
      <c r="H43" s="59" t="s">
        <v>1001</v>
      </c>
      <c r="I43" s="59" t="s">
        <v>159</v>
      </c>
      <c r="J43" s="59" t="s">
        <v>987</v>
      </c>
      <c r="K43" s="59" t="s">
        <v>1000</v>
      </c>
    </row>
    <row r="44" spans="1:23" x14ac:dyDescent="0.25">
      <c r="B44" s="166"/>
      <c r="C44" s="60">
        <v>1</v>
      </c>
      <c r="D44" s="60" t="s">
        <v>989</v>
      </c>
      <c r="E44" s="60">
        <f>3*C3</f>
        <v>3</v>
      </c>
      <c r="F44" s="60">
        <v>1</v>
      </c>
      <c r="G44" s="60">
        <f>E44/F44</f>
        <v>3</v>
      </c>
      <c r="H44" s="60" t="s">
        <v>194</v>
      </c>
      <c r="I44" s="60">
        <f>K27</f>
        <v>86</v>
      </c>
      <c r="J44" s="60">
        <v>3</v>
      </c>
      <c r="K44" s="60">
        <f>ROUNDUP(I44/J44,1)</f>
        <v>28.700000000000003</v>
      </c>
    </row>
    <row r="45" spans="1:23" x14ac:dyDescent="0.25">
      <c r="B45" s="166"/>
      <c r="C45" s="61">
        <v>2</v>
      </c>
      <c r="D45" s="61" t="s">
        <v>990</v>
      </c>
      <c r="E45" s="61">
        <f>E44*C4</f>
        <v>9</v>
      </c>
      <c r="F45" s="61">
        <v>2</v>
      </c>
      <c r="G45" s="61">
        <f t="shared" ref="G45:G54" si="1">E45/F45</f>
        <v>4.5</v>
      </c>
      <c r="H45" s="61" t="s">
        <v>158</v>
      </c>
      <c r="I45" s="61">
        <f t="shared" ref="I45:I49" si="2">K28</f>
        <v>257</v>
      </c>
      <c r="J45" s="61">
        <v>2</v>
      </c>
      <c r="K45" s="61">
        <f t="shared" ref="K45:K49" si="3">I45/J45</f>
        <v>128.5</v>
      </c>
    </row>
    <row r="46" spans="1:23" x14ac:dyDescent="0.25">
      <c r="B46" s="166"/>
      <c r="C46" s="62">
        <v>3</v>
      </c>
      <c r="D46" s="62" t="s">
        <v>991</v>
      </c>
      <c r="E46" s="62">
        <f>E44*C5</f>
        <v>15</v>
      </c>
      <c r="F46" s="62">
        <v>2</v>
      </c>
      <c r="G46" s="62">
        <f t="shared" si="1"/>
        <v>7.5</v>
      </c>
      <c r="H46" s="62" t="s">
        <v>1002</v>
      </c>
      <c r="I46" s="62">
        <f t="shared" si="2"/>
        <v>428</v>
      </c>
      <c r="J46" s="62">
        <v>2</v>
      </c>
      <c r="K46" s="62">
        <f t="shared" si="3"/>
        <v>214</v>
      </c>
    </row>
    <row r="47" spans="1:23" x14ac:dyDescent="0.25">
      <c r="B47" s="166"/>
      <c r="C47" s="63">
        <v>4</v>
      </c>
      <c r="D47" s="62" t="s">
        <v>992</v>
      </c>
      <c r="E47" s="62">
        <f>E44*C5</f>
        <v>15</v>
      </c>
      <c r="F47" s="62">
        <v>1</v>
      </c>
      <c r="G47" s="62">
        <f t="shared" si="1"/>
        <v>15</v>
      </c>
      <c r="H47" s="63" t="s">
        <v>195</v>
      </c>
      <c r="I47" s="63">
        <f t="shared" si="2"/>
        <v>599</v>
      </c>
      <c r="J47" s="63">
        <v>1</v>
      </c>
      <c r="K47" s="63">
        <f t="shared" si="3"/>
        <v>599</v>
      </c>
    </row>
    <row r="48" spans="1:23" x14ac:dyDescent="0.25">
      <c r="B48" s="166"/>
      <c r="C48" s="64">
        <v>5</v>
      </c>
      <c r="D48" s="63" t="s">
        <v>998</v>
      </c>
      <c r="E48" s="63">
        <f>E44*C6</f>
        <v>21</v>
      </c>
      <c r="F48" s="63">
        <v>2</v>
      </c>
      <c r="G48" s="63">
        <f t="shared" si="1"/>
        <v>10.5</v>
      </c>
      <c r="H48" s="64" t="s">
        <v>1003</v>
      </c>
      <c r="I48" s="64">
        <f t="shared" si="2"/>
        <v>771</v>
      </c>
      <c r="J48" s="64">
        <v>2</v>
      </c>
      <c r="K48" s="64">
        <f t="shared" si="3"/>
        <v>385.5</v>
      </c>
      <c r="P48" s="28"/>
    </row>
    <row r="49" spans="1:16" x14ac:dyDescent="0.25">
      <c r="B49" s="166"/>
      <c r="C49" s="65">
        <v>6</v>
      </c>
      <c r="D49" s="63" t="s">
        <v>993</v>
      </c>
      <c r="E49" s="63">
        <f>E44*C6</f>
        <v>21</v>
      </c>
      <c r="F49" s="63">
        <v>7</v>
      </c>
      <c r="G49" s="63">
        <f t="shared" si="1"/>
        <v>3</v>
      </c>
      <c r="H49" s="65" t="s">
        <v>1004</v>
      </c>
      <c r="I49" s="65">
        <f t="shared" si="2"/>
        <v>942</v>
      </c>
      <c r="J49" s="65">
        <v>2</v>
      </c>
      <c r="K49" s="65">
        <f t="shared" si="3"/>
        <v>471</v>
      </c>
      <c r="P49" s="28"/>
    </row>
    <row r="50" spans="1:16" x14ac:dyDescent="0.25">
      <c r="B50" s="166"/>
      <c r="C50" s="106"/>
      <c r="D50" s="63" t="s">
        <v>994</v>
      </c>
      <c r="E50" s="63">
        <f>E44*C6</f>
        <v>21</v>
      </c>
      <c r="F50" s="63">
        <v>1</v>
      </c>
      <c r="G50" s="63">
        <f t="shared" si="1"/>
        <v>21</v>
      </c>
      <c r="H50"/>
      <c r="I50"/>
      <c r="J50"/>
      <c r="K50"/>
      <c r="P50" s="28"/>
    </row>
    <row r="51" spans="1:16" x14ac:dyDescent="0.25">
      <c r="B51"/>
      <c r="C51" s="106"/>
      <c r="D51" s="64" t="s">
        <v>1006</v>
      </c>
      <c r="E51" s="64">
        <f>E44*C7</f>
        <v>27</v>
      </c>
      <c r="F51" s="64">
        <v>2</v>
      </c>
      <c r="G51" s="64">
        <f>E51/F51</f>
        <v>13.5</v>
      </c>
      <c r="H51"/>
      <c r="I51"/>
      <c r="J51"/>
      <c r="K51"/>
      <c r="P51" s="28"/>
    </row>
    <row r="52" spans="1:16" x14ac:dyDescent="0.25">
      <c r="B52"/>
      <c r="C52" s="106"/>
      <c r="D52" s="64" t="s">
        <v>995</v>
      </c>
      <c r="E52" s="64">
        <f>E44*C7</f>
        <v>27</v>
      </c>
      <c r="F52" s="64">
        <v>2</v>
      </c>
      <c r="G52" s="64">
        <f t="shared" si="1"/>
        <v>13.5</v>
      </c>
      <c r="H52"/>
      <c r="I52"/>
      <c r="J52"/>
      <c r="K52"/>
      <c r="P52" s="28"/>
    </row>
    <row r="53" spans="1:16" x14ac:dyDescent="0.25">
      <c r="A53"/>
      <c r="B53"/>
      <c r="C53" s="106"/>
      <c r="D53" s="64" t="s">
        <v>996</v>
      </c>
      <c r="E53" s="64">
        <f>E44*C7</f>
        <v>27</v>
      </c>
      <c r="F53" s="64">
        <v>1</v>
      </c>
      <c r="G53" s="64">
        <f t="shared" si="1"/>
        <v>27</v>
      </c>
      <c r="H53"/>
      <c r="I53"/>
      <c r="J53"/>
      <c r="K53"/>
      <c r="L53"/>
      <c r="M53"/>
    </row>
    <row r="54" spans="1:16" x14ac:dyDescent="0.25">
      <c r="A54"/>
      <c r="B54"/>
      <c r="C54" s="166"/>
      <c r="D54" s="65" t="s">
        <v>997</v>
      </c>
      <c r="E54" s="65">
        <f>E44*C8</f>
        <v>33</v>
      </c>
      <c r="F54" s="65">
        <v>2</v>
      </c>
      <c r="G54" s="65">
        <f t="shared" si="1"/>
        <v>16.5</v>
      </c>
      <c r="H54"/>
      <c r="I54"/>
      <c r="J54"/>
      <c r="K54"/>
      <c r="L54"/>
      <c r="M54"/>
    </row>
    <row r="55" spans="1:16" x14ac:dyDescent="0.25">
      <c r="A55"/>
      <c r="B55"/>
      <c r="C55" s="166"/>
      <c r="D55"/>
      <c r="E55"/>
      <c r="F55"/>
      <c r="G55"/>
      <c r="H55"/>
      <c r="I55"/>
      <c r="J55"/>
      <c r="K55"/>
      <c r="L55"/>
      <c r="M55"/>
    </row>
    <row r="56" spans="1:16" x14ac:dyDescent="0.25">
      <c r="A56"/>
      <c r="B56"/>
      <c r="C56"/>
      <c r="D56"/>
      <c r="E56"/>
      <c r="F56"/>
      <c r="G56"/>
      <c r="H56"/>
      <c r="I56"/>
      <c r="J56"/>
      <c r="K56"/>
      <c r="L56"/>
      <c r="M56"/>
    </row>
    <row r="57" spans="1:16" x14ac:dyDescent="0.25">
      <c r="A57"/>
      <c r="B57"/>
      <c r="C57"/>
      <c r="D57"/>
      <c r="E57"/>
      <c r="F57"/>
      <c r="G57"/>
      <c r="H57"/>
      <c r="I57"/>
      <c r="J57"/>
      <c r="K57"/>
      <c r="L57"/>
      <c r="M57"/>
    </row>
    <row r="58" spans="1:16" x14ac:dyDescent="0.25">
      <c r="A58"/>
      <c r="B58"/>
      <c r="C58"/>
      <c r="D58" t="s">
        <v>1019</v>
      </c>
      <c r="E58" t="s">
        <v>1020</v>
      </c>
      <c r="F58"/>
      <c r="G58"/>
      <c r="H58"/>
      <c r="I58"/>
      <c r="J58"/>
      <c r="K58"/>
      <c r="L58"/>
      <c r="M58"/>
    </row>
    <row r="59" spans="1:16" s="42" customFormat="1" x14ac:dyDescent="0.25">
      <c r="B59"/>
      <c r="C59"/>
      <c r="D59" s="89" t="s">
        <v>648</v>
      </c>
      <c r="E59">
        <f>E74</f>
        <v>9</v>
      </c>
      <c r="G59" s="119">
        <v>35</v>
      </c>
      <c r="H59" s="68" t="s">
        <v>259</v>
      </c>
      <c r="I59" s="193">
        <v>1</v>
      </c>
    </row>
    <row r="60" spans="1:16" x14ac:dyDescent="0.25">
      <c r="A60"/>
      <c r="B60"/>
      <c r="C60"/>
      <c r="D60" s="89" t="s">
        <v>649</v>
      </c>
      <c r="E60" s="183">
        <f>E75</f>
        <v>7.5</v>
      </c>
      <c r="G60" s="119" t="s">
        <v>265</v>
      </c>
      <c r="H60" s="68" t="s">
        <v>211</v>
      </c>
      <c r="I60" s="193">
        <v>2</v>
      </c>
      <c r="M60"/>
    </row>
    <row r="61" spans="1:16" x14ac:dyDescent="0.25">
      <c r="A61"/>
      <c r="B61"/>
      <c r="C61"/>
      <c r="D61" s="89" t="s">
        <v>651</v>
      </c>
      <c r="E61"/>
      <c r="G61" s="119" t="s">
        <v>275</v>
      </c>
      <c r="H61" s="68" t="s">
        <v>274</v>
      </c>
      <c r="I61" s="193">
        <v>2</v>
      </c>
      <c r="M61"/>
    </row>
    <row r="62" spans="1:16" x14ac:dyDescent="0.25">
      <c r="A62"/>
      <c r="B62"/>
      <c r="C62"/>
      <c r="D62" s="89" t="s">
        <v>653</v>
      </c>
      <c r="E62"/>
      <c r="G62" s="119" t="s">
        <v>277</v>
      </c>
      <c r="H62" s="68" t="s">
        <v>276</v>
      </c>
      <c r="I62" s="193">
        <v>2</v>
      </c>
      <c r="M62"/>
    </row>
    <row r="63" spans="1:16" x14ac:dyDescent="0.25">
      <c r="A63"/>
      <c r="B63"/>
      <c r="C63"/>
      <c r="D63" s="89" t="s">
        <v>655</v>
      </c>
      <c r="E63"/>
      <c r="G63" s="119" t="s">
        <v>279</v>
      </c>
      <c r="H63" s="68" t="s">
        <v>278</v>
      </c>
      <c r="I63" s="193">
        <v>2</v>
      </c>
      <c r="M63"/>
    </row>
    <row r="64" spans="1:16" x14ac:dyDescent="0.25">
      <c r="A64"/>
      <c r="B64"/>
      <c r="C64"/>
      <c r="D64" s="89" t="s">
        <v>657</v>
      </c>
      <c r="E64"/>
      <c r="G64" s="119" t="s">
        <v>281</v>
      </c>
      <c r="H64" s="68" t="s">
        <v>280</v>
      </c>
      <c r="I64" s="193">
        <v>2</v>
      </c>
      <c r="M64"/>
    </row>
    <row r="65" spans="1:13" x14ac:dyDescent="0.25">
      <c r="A65"/>
      <c r="B65"/>
      <c r="C65"/>
      <c r="D65" s="89" t="s">
        <v>659</v>
      </c>
      <c r="E65"/>
      <c r="G65" s="119" t="s">
        <v>283</v>
      </c>
      <c r="H65" s="68" t="s">
        <v>282</v>
      </c>
      <c r="I65" s="193">
        <v>2</v>
      </c>
      <c r="M65"/>
    </row>
    <row r="66" spans="1:13" x14ac:dyDescent="0.25">
      <c r="A66"/>
      <c r="B66"/>
      <c r="C66"/>
      <c r="D66" s="89" t="s">
        <v>661</v>
      </c>
      <c r="E66"/>
      <c r="G66" s="119" t="s">
        <v>260</v>
      </c>
      <c r="H66" s="68" t="s">
        <v>210</v>
      </c>
      <c r="I66" s="193">
        <v>3</v>
      </c>
      <c r="M66"/>
    </row>
    <row r="67" spans="1:13" x14ac:dyDescent="0.25">
      <c r="A67"/>
      <c r="B67"/>
      <c r="C67"/>
      <c r="D67" s="89" t="s">
        <v>663</v>
      </c>
      <c r="E67"/>
      <c r="G67" s="119" t="s">
        <v>264</v>
      </c>
      <c r="H67" s="68" t="s">
        <v>263</v>
      </c>
      <c r="I67" s="193">
        <v>3</v>
      </c>
      <c r="M67"/>
    </row>
    <row r="68" spans="1:13" x14ac:dyDescent="0.25">
      <c r="B68"/>
      <c r="C68"/>
      <c r="D68" s="89" t="s">
        <v>665</v>
      </c>
      <c r="E68"/>
      <c r="G68" s="119" t="s">
        <v>268</v>
      </c>
      <c r="H68" s="68" t="s">
        <v>212</v>
      </c>
      <c r="I68" s="193">
        <v>3</v>
      </c>
      <c r="M68"/>
    </row>
    <row r="69" spans="1:13" x14ac:dyDescent="0.25">
      <c r="B69"/>
      <c r="C69"/>
      <c r="D69" s="89" t="s">
        <v>667</v>
      </c>
      <c r="E69"/>
      <c r="G69" s="119" t="s">
        <v>269</v>
      </c>
      <c r="H69" s="68" t="s">
        <v>213</v>
      </c>
      <c r="I69" s="193">
        <v>3</v>
      </c>
      <c r="M69"/>
    </row>
    <row r="70" spans="1:13" x14ac:dyDescent="0.25">
      <c r="B70"/>
      <c r="C70"/>
      <c r="D70" s="89" t="s">
        <v>669</v>
      </c>
      <c r="E70"/>
      <c r="G70" s="119" t="s">
        <v>271</v>
      </c>
      <c r="H70" s="68" t="s">
        <v>215</v>
      </c>
      <c r="I70" s="193">
        <v>3</v>
      </c>
      <c r="M70"/>
    </row>
    <row r="71" spans="1:13" x14ac:dyDescent="0.25">
      <c r="B71"/>
      <c r="C71"/>
      <c r="D71" s="89" t="s">
        <v>671</v>
      </c>
      <c r="E71"/>
      <c r="G71" s="119" t="s">
        <v>273</v>
      </c>
      <c r="H71" s="68" t="s">
        <v>272</v>
      </c>
      <c r="I71" s="193">
        <v>3</v>
      </c>
      <c r="M71"/>
    </row>
    <row r="72" spans="1:13" x14ac:dyDescent="0.25">
      <c r="B72"/>
      <c r="C72"/>
      <c r="D72" s="89" t="s">
        <v>673</v>
      </c>
      <c r="E72"/>
      <c r="G72" s="119" t="s">
        <v>267</v>
      </c>
      <c r="H72" s="68" t="s">
        <v>266</v>
      </c>
      <c r="I72" s="193">
        <v>4</v>
      </c>
      <c r="M72"/>
    </row>
    <row r="73" spans="1:13" x14ac:dyDescent="0.25">
      <c r="B73"/>
      <c r="C73"/>
      <c r="D73" s="89" t="s">
        <v>675</v>
      </c>
      <c r="E73"/>
      <c r="G73" s="119" t="s">
        <v>270</v>
      </c>
      <c r="H73" s="68" t="s">
        <v>214</v>
      </c>
      <c r="I73" s="193">
        <v>5</v>
      </c>
      <c r="M73"/>
    </row>
    <row r="74" spans="1:13" x14ac:dyDescent="0.25">
      <c r="B74"/>
      <c r="C74"/>
      <c r="D74" s="89" t="s">
        <v>677</v>
      </c>
      <c r="E74">
        <f>E75*1.2</f>
        <v>9</v>
      </c>
      <c r="G74" s="119" t="s">
        <v>262</v>
      </c>
      <c r="H74" s="68" t="s">
        <v>261</v>
      </c>
      <c r="I74" s="193">
        <v>6</v>
      </c>
      <c r="M74"/>
    </row>
    <row r="75" spans="1:13" x14ac:dyDescent="0.25">
      <c r="B75"/>
      <c r="C75"/>
      <c r="D75" s="89" t="s">
        <v>679</v>
      </c>
      <c r="E75">
        <f>'ITEM CRAFT'!E408</f>
        <v>7.5</v>
      </c>
      <c r="F75"/>
      <c r="G75"/>
      <c r="H75"/>
      <c r="I75"/>
      <c r="J75"/>
      <c r="K75"/>
      <c r="L75"/>
      <c r="M75"/>
    </row>
    <row r="76" spans="1:13" x14ac:dyDescent="0.25">
      <c r="B76"/>
      <c r="C76"/>
      <c r="D76"/>
      <c r="E76"/>
      <c r="F76"/>
      <c r="G76"/>
      <c r="H76"/>
      <c r="I76"/>
      <c r="J76"/>
      <c r="K76"/>
      <c r="L76"/>
      <c r="M76"/>
    </row>
    <row r="77" spans="1:13" x14ac:dyDescent="0.25">
      <c r="B77"/>
      <c r="C77"/>
      <c r="D77"/>
      <c r="E77"/>
      <c r="F77"/>
      <c r="G77"/>
      <c r="H77"/>
      <c r="I77"/>
      <c r="J77"/>
      <c r="K77"/>
      <c r="L77"/>
      <c r="M77"/>
    </row>
    <row r="78" spans="1:13" x14ac:dyDescent="0.25">
      <c r="B78"/>
      <c r="C78"/>
      <c r="D78"/>
      <c r="E78"/>
      <c r="F78"/>
      <c r="G78"/>
      <c r="H78"/>
      <c r="I78"/>
      <c r="J78"/>
      <c r="K78"/>
      <c r="L78"/>
      <c r="M78"/>
    </row>
    <row r="79" spans="1:13" x14ac:dyDescent="0.25">
      <c r="B79"/>
      <c r="C79"/>
      <c r="D79"/>
      <c r="E79"/>
      <c r="F79"/>
      <c r="G79"/>
      <c r="H79"/>
      <c r="I79"/>
      <c r="J79"/>
      <c r="K79"/>
      <c r="L79"/>
      <c r="M79"/>
    </row>
    <row r="80" spans="1:13" x14ac:dyDescent="0.25">
      <c r="B80"/>
      <c r="C80"/>
      <c r="D80"/>
      <c r="E80"/>
      <c r="F80"/>
      <c r="G80"/>
      <c r="H80"/>
      <c r="I80"/>
      <c r="J80"/>
      <c r="K80"/>
      <c r="L80"/>
      <c r="M80"/>
    </row>
    <row r="81" spans="2:13" x14ac:dyDescent="0.25">
      <c r="B81"/>
      <c r="C81"/>
      <c r="D81"/>
      <c r="E81"/>
      <c r="F81"/>
      <c r="G81"/>
      <c r="H81"/>
      <c r="I81"/>
      <c r="J81"/>
      <c r="K81"/>
      <c r="L81"/>
      <c r="M81"/>
    </row>
    <row r="82" spans="2:13" x14ac:dyDescent="0.25">
      <c r="B82"/>
      <c r="C82"/>
      <c r="D82"/>
      <c r="E82"/>
      <c r="F82"/>
      <c r="G82"/>
      <c r="H82"/>
      <c r="I82"/>
      <c r="J82"/>
      <c r="K82"/>
      <c r="L82"/>
      <c r="M82"/>
    </row>
    <row r="83" spans="2:13" x14ac:dyDescent="0.25">
      <c r="B83"/>
      <c r="C83"/>
      <c r="D83"/>
      <c r="E83"/>
      <c r="F83"/>
      <c r="G83"/>
      <c r="H83"/>
      <c r="I83"/>
      <c r="J83"/>
      <c r="K83"/>
      <c r="L83"/>
      <c r="M83"/>
    </row>
    <row r="84" spans="2:13" x14ac:dyDescent="0.25">
      <c r="B84"/>
      <c r="C84"/>
      <c r="D84"/>
      <c r="E84"/>
      <c r="F84"/>
      <c r="G84"/>
      <c r="H84"/>
      <c r="I84"/>
      <c r="J84"/>
      <c r="K84"/>
      <c r="L84"/>
      <c r="M84"/>
    </row>
    <row r="85" spans="2:13" x14ac:dyDescent="0.25">
      <c r="B85"/>
      <c r="C85"/>
      <c r="D85"/>
      <c r="E85"/>
      <c r="F85"/>
      <c r="G85"/>
      <c r="H85"/>
      <c r="I85"/>
      <c r="J85"/>
      <c r="K85"/>
      <c r="L85"/>
      <c r="M85"/>
    </row>
    <row r="86" spans="2:13" x14ac:dyDescent="0.25">
      <c r="B86"/>
      <c r="C86"/>
      <c r="D86"/>
      <c r="E86"/>
      <c r="F86"/>
      <c r="G86"/>
      <c r="H86"/>
      <c r="I86"/>
      <c r="J86"/>
      <c r="K86"/>
      <c r="L86"/>
      <c r="M86"/>
    </row>
    <row r="87" spans="2:13" x14ac:dyDescent="0.25">
      <c r="B87"/>
      <c r="C87"/>
      <c r="D87"/>
      <c r="E87"/>
      <c r="F87"/>
      <c r="G87"/>
      <c r="H87"/>
      <c r="I87"/>
      <c r="J87"/>
      <c r="K87"/>
      <c r="L87"/>
      <c r="M87"/>
    </row>
    <row r="88" spans="2:13" x14ac:dyDescent="0.25">
      <c r="B88"/>
      <c r="C88"/>
      <c r="D88"/>
      <c r="E88"/>
      <c r="F88"/>
      <c r="G88"/>
      <c r="H88"/>
      <c r="I88"/>
      <c r="J88"/>
      <c r="K88"/>
      <c r="L88"/>
      <c r="M88"/>
    </row>
    <row r="89" spans="2:13" x14ac:dyDescent="0.25">
      <c r="B89"/>
      <c r="C89"/>
      <c r="D89"/>
      <c r="E89"/>
      <c r="F89"/>
      <c r="G89"/>
      <c r="H89"/>
      <c r="I89"/>
      <c r="J89"/>
      <c r="K89"/>
      <c r="L89"/>
      <c r="M89"/>
    </row>
    <row r="90" spans="2:13" x14ac:dyDescent="0.25">
      <c r="B90"/>
      <c r="C90"/>
      <c r="D90"/>
      <c r="E90"/>
      <c r="F90"/>
      <c r="G90"/>
      <c r="H90"/>
      <c r="I90"/>
      <c r="J90"/>
      <c r="K90"/>
      <c r="L90"/>
      <c r="M90"/>
    </row>
    <row r="91" spans="2:13" x14ac:dyDescent="0.25">
      <c r="B91"/>
      <c r="C91"/>
      <c r="D91"/>
      <c r="E91"/>
      <c r="F91"/>
      <c r="G91"/>
      <c r="H91"/>
      <c r="I91"/>
      <c r="J91"/>
      <c r="K91"/>
      <c r="L91"/>
      <c r="M91"/>
    </row>
    <row r="92" spans="2:13" x14ac:dyDescent="0.25">
      <c r="B92"/>
      <c r="C92"/>
      <c r="D92"/>
      <c r="E92"/>
      <c r="F92"/>
      <c r="G92"/>
      <c r="H92"/>
      <c r="I92"/>
      <c r="J92"/>
      <c r="K92"/>
      <c r="L92"/>
      <c r="M92"/>
    </row>
    <row r="93" spans="2:13" x14ac:dyDescent="0.25">
      <c r="B93"/>
      <c r="C93"/>
      <c r="D93"/>
      <c r="E93"/>
      <c r="F93"/>
      <c r="G93"/>
      <c r="H93" s="42"/>
      <c r="I93" s="42"/>
      <c r="J93"/>
      <c r="K93"/>
      <c r="L93"/>
      <c r="M93"/>
    </row>
    <row r="94" spans="2:13" x14ac:dyDescent="0.25">
      <c r="B94"/>
      <c r="C94"/>
      <c r="D94"/>
      <c r="E94"/>
      <c r="F94"/>
      <c r="G94"/>
      <c r="H94" s="42"/>
      <c r="I94" s="42"/>
      <c r="J94"/>
      <c r="K94"/>
      <c r="L94"/>
      <c r="M94"/>
    </row>
    <row r="95" spans="2:13" x14ac:dyDescent="0.25">
      <c r="B95"/>
      <c r="C95"/>
      <c r="D95"/>
      <c r="E95"/>
      <c r="F95"/>
      <c r="G95"/>
      <c r="H95" s="42"/>
      <c r="I95" s="42"/>
      <c r="J95"/>
      <c r="K95"/>
      <c r="L95"/>
      <c r="M95"/>
    </row>
    <row r="96" spans="2:13" x14ac:dyDescent="0.25">
      <c r="B96"/>
      <c r="C96"/>
      <c r="D96"/>
      <c r="E96"/>
      <c r="F96"/>
      <c r="G96"/>
      <c r="H96"/>
      <c r="I96"/>
      <c r="J96"/>
      <c r="K96"/>
      <c r="L96"/>
      <c r="M96"/>
    </row>
    <row r="97" spans="2:13" x14ac:dyDescent="0.25">
      <c r="B97"/>
      <c r="C97"/>
      <c r="D97"/>
      <c r="E97"/>
      <c r="F97"/>
      <c r="G97"/>
      <c r="H97"/>
      <c r="I97"/>
      <c r="J97"/>
      <c r="K97"/>
      <c r="L97"/>
      <c r="M97"/>
    </row>
    <row r="98" spans="2:13" x14ac:dyDescent="0.25">
      <c r="B98"/>
      <c r="C98"/>
      <c r="D98"/>
      <c r="E98"/>
      <c r="F98"/>
      <c r="G98"/>
      <c r="H98"/>
      <c r="I98"/>
      <c r="J98"/>
      <c r="K98"/>
      <c r="L98"/>
      <c r="M98"/>
    </row>
    <row r="99" spans="2:13" x14ac:dyDescent="0.25">
      <c r="B99"/>
      <c r="C99"/>
      <c r="D99"/>
      <c r="E99"/>
      <c r="F99"/>
      <c r="G99"/>
      <c r="H99"/>
      <c r="I99"/>
      <c r="J99"/>
      <c r="K99"/>
      <c r="L99"/>
      <c r="M99"/>
    </row>
    <row r="100" spans="2:13" x14ac:dyDescent="0.25">
      <c r="B100"/>
      <c r="C100"/>
      <c r="D100"/>
      <c r="E100"/>
      <c r="F100"/>
      <c r="G100"/>
      <c r="H100"/>
      <c r="I100"/>
      <c r="J100"/>
      <c r="K100"/>
      <c r="L100"/>
      <c r="M100"/>
    </row>
    <row r="101" spans="2:13" x14ac:dyDescent="0.25">
      <c r="B101"/>
      <c r="C101"/>
      <c r="D101"/>
      <c r="E101"/>
      <c r="F101"/>
      <c r="G101"/>
      <c r="H101"/>
      <c r="I101"/>
      <c r="J101"/>
      <c r="K101"/>
      <c r="L101"/>
      <c r="M101"/>
    </row>
    <row r="102" spans="2:13" x14ac:dyDescent="0.25">
      <c r="B102"/>
      <c r="C102"/>
      <c r="D102"/>
      <c r="E102"/>
      <c r="F102"/>
      <c r="G102"/>
      <c r="H102"/>
      <c r="I102"/>
      <c r="J102"/>
      <c r="K102"/>
      <c r="L102"/>
      <c r="M102"/>
    </row>
    <row r="103" spans="2:13" x14ac:dyDescent="0.25">
      <c r="B103"/>
      <c r="C103"/>
      <c r="D103"/>
      <c r="E103"/>
      <c r="F103"/>
      <c r="G103"/>
      <c r="H103"/>
      <c r="I103"/>
      <c r="J103" s="42"/>
      <c r="K103" s="42"/>
      <c r="L103"/>
      <c r="M103"/>
    </row>
    <row r="104" spans="2:13" x14ac:dyDescent="0.25">
      <c r="B104"/>
      <c r="C104"/>
      <c r="D104"/>
      <c r="E104"/>
      <c r="F104"/>
      <c r="G104"/>
      <c r="H104"/>
      <c r="I104"/>
      <c r="J104" s="42"/>
      <c r="K104" s="42"/>
      <c r="L104"/>
      <c r="M104"/>
    </row>
    <row r="105" spans="2:13" x14ac:dyDescent="0.25">
      <c r="B105"/>
      <c r="C105"/>
      <c r="D105"/>
      <c r="E105"/>
      <c r="F105"/>
      <c r="G105"/>
      <c r="H105"/>
      <c r="I105"/>
      <c r="J105" s="42"/>
      <c r="K105" s="42"/>
      <c r="L105"/>
      <c r="M105"/>
    </row>
    <row r="106" spans="2:13" x14ac:dyDescent="0.25">
      <c r="B106"/>
      <c r="C106"/>
      <c r="D106"/>
      <c r="E106"/>
      <c r="F106"/>
      <c r="G106"/>
      <c r="H106"/>
      <c r="I106"/>
      <c r="J106"/>
      <c r="K106"/>
      <c r="L106"/>
      <c r="M106"/>
    </row>
    <row r="107" spans="2:13" x14ac:dyDescent="0.25">
      <c r="B107"/>
      <c r="C107"/>
      <c r="D107"/>
      <c r="E107"/>
      <c r="F107"/>
      <c r="G107"/>
      <c r="H107"/>
      <c r="I107"/>
      <c r="J107"/>
      <c r="K107"/>
      <c r="L107"/>
      <c r="M107"/>
    </row>
    <row r="108" spans="2:13" x14ac:dyDescent="0.25">
      <c r="B108"/>
      <c r="C108"/>
      <c r="D108"/>
      <c r="E108"/>
      <c r="F108"/>
      <c r="G108"/>
      <c r="H108"/>
      <c r="I108"/>
      <c r="J108"/>
      <c r="K108"/>
      <c r="L108"/>
      <c r="M108"/>
    </row>
    <row r="109" spans="2:13" x14ac:dyDescent="0.25">
      <c r="B109"/>
      <c r="C109"/>
      <c r="D109"/>
      <c r="E109"/>
      <c r="F109"/>
      <c r="G109"/>
      <c r="H109"/>
      <c r="I109"/>
      <c r="J109"/>
      <c r="K109"/>
      <c r="L109"/>
      <c r="M109"/>
    </row>
    <row r="110" spans="2:13" x14ac:dyDescent="0.25">
      <c r="B110"/>
      <c r="C110"/>
      <c r="D110"/>
      <c r="E110"/>
      <c r="F110"/>
      <c r="G110"/>
      <c r="H110"/>
      <c r="I110"/>
      <c r="J110"/>
      <c r="K110"/>
      <c r="L110"/>
      <c r="M110"/>
    </row>
    <row r="111" spans="2:13" x14ac:dyDescent="0.25">
      <c r="B111"/>
      <c r="C111"/>
      <c r="D111"/>
      <c r="E111"/>
      <c r="F111"/>
      <c r="G111"/>
      <c r="H111"/>
      <c r="I111"/>
      <c r="J111"/>
      <c r="K111"/>
      <c r="L111"/>
      <c r="M111"/>
    </row>
    <row r="112" spans="2:13" x14ac:dyDescent="0.25">
      <c r="B112"/>
      <c r="C112"/>
      <c r="D112"/>
      <c r="E112"/>
      <c r="F112" s="42"/>
      <c r="G112" s="42"/>
      <c r="H112"/>
      <c r="I112"/>
      <c r="J112"/>
      <c r="K112"/>
      <c r="L112"/>
      <c r="M112"/>
    </row>
    <row r="113" spans="2:13" x14ac:dyDescent="0.25">
      <c r="B113"/>
      <c r="C113"/>
      <c r="D113"/>
      <c r="E113"/>
      <c r="F113" s="42"/>
      <c r="G113" s="42"/>
      <c r="H113"/>
      <c r="I113"/>
      <c r="J113"/>
      <c r="K113"/>
      <c r="L113"/>
      <c r="M113"/>
    </row>
    <row r="114" spans="2:13" x14ac:dyDescent="0.25">
      <c r="B114"/>
      <c r="C114"/>
      <c r="D114"/>
      <c r="E114"/>
      <c r="F114" s="42"/>
      <c r="G114" s="42"/>
      <c r="H114"/>
      <c r="I114"/>
      <c r="J114"/>
      <c r="K114"/>
      <c r="L114"/>
      <c r="M114"/>
    </row>
    <row r="115" spans="2:13" x14ac:dyDescent="0.25">
      <c r="B115"/>
      <c r="C115"/>
      <c r="D115"/>
      <c r="E115"/>
      <c r="F115"/>
      <c r="G115"/>
      <c r="H115"/>
      <c r="I115"/>
      <c r="J115"/>
      <c r="K115"/>
      <c r="L115"/>
      <c r="M115"/>
    </row>
    <row r="116" spans="2:13" x14ac:dyDescent="0.25">
      <c r="B116" s="42"/>
      <c r="C116"/>
      <c r="D116"/>
      <c r="E116"/>
      <c r="F116"/>
      <c r="G116"/>
      <c r="H116"/>
      <c r="I116"/>
      <c r="J116"/>
      <c r="K116"/>
      <c r="L116"/>
      <c r="M116"/>
    </row>
    <row r="117" spans="2:13" x14ac:dyDescent="0.25">
      <c r="B117" s="42"/>
      <c r="C117"/>
      <c r="D117"/>
      <c r="E117"/>
      <c r="F117"/>
      <c r="G117"/>
      <c r="H117"/>
      <c r="I117"/>
      <c r="J117"/>
      <c r="K117"/>
      <c r="L117"/>
      <c r="M117"/>
    </row>
    <row r="118" spans="2:13" x14ac:dyDescent="0.25">
      <c r="B118" s="42"/>
      <c r="C118"/>
      <c r="D118"/>
      <c r="E118"/>
      <c r="F118"/>
      <c r="G118"/>
      <c r="H118"/>
      <c r="I118"/>
      <c r="J118"/>
      <c r="K118"/>
      <c r="L118"/>
      <c r="M118"/>
    </row>
    <row r="119" spans="2:13" x14ac:dyDescent="0.25">
      <c r="B119"/>
      <c r="C119"/>
      <c r="D119"/>
      <c r="E119" s="42"/>
      <c r="F119"/>
      <c r="G119"/>
      <c r="H119"/>
      <c r="I119"/>
      <c r="J119"/>
      <c r="K119"/>
      <c r="L119"/>
      <c r="M119"/>
    </row>
    <row r="120" spans="2:13" x14ac:dyDescent="0.25">
      <c r="B120"/>
      <c r="C120"/>
      <c r="D120" s="42"/>
      <c r="E120" s="42"/>
      <c r="F120"/>
      <c r="G120"/>
      <c r="H120"/>
      <c r="I120"/>
      <c r="J120"/>
      <c r="K120"/>
      <c r="L120"/>
      <c r="M120"/>
    </row>
    <row r="121" spans="2:13" x14ac:dyDescent="0.25">
      <c r="B121"/>
      <c r="C121" s="42"/>
      <c r="D121" s="42"/>
      <c r="E121" s="42"/>
      <c r="F121"/>
      <c r="G121"/>
      <c r="H121"/>
      <c r="I121"/>
      <c r="J121"/>
      <c r="K121"/>
      <c r="L121"/>
      <c r="M121"/>
    </row>
    <row r="122" spans="2:13" x14ac:dyDescent="0.25">
      <c r="B122"/>
      <c r="C122" s="42"/>
      <c r="D122" s="42"/>
      <c r="E122"/>
      <c r="F122"/>
      <c r="G122"/>
      <c r="H122"/>
      <c r="I122"/>
      <c r="J122"/>
      <c r="K122"/>
      <c r="L122"/>
      <c r="M122"/>
    </row>
    <row r="123" spans="2:13" x14ac:dyDescent="0.25">
      <c r="B123"/>
      <c r="C123" s="42"/>
      <c r="D123"/>
      <c r="E123"/>
      <c r="F123"/>
      <c r="G123"/>
      <c r="H123"/>
      <c r="I123"/>
      <c r="J123"/>
      <c r="K123"/>
      <c r="L123"/>
      <c r="M123"/>
    </row>
    <row r="124" spans="2:13" x14ac:dyDescent="0.25">
      <c r="B124"/>
      <c r="C124"/>
      <c r="D124"/>
      <c r="E124"/>
      <c r="F124"/>
      <c r="G124"/>
      <c r="H124"/>
      <c r="I124"/>
      <c r="J124"/>
      <c r="K124"/>
      <c r="L124"/>
      <c r="M124"/>
    </row>
    <row r="125" spans="2:13" x14ac:dyDescent="0.25">
      <c r="B125"/>
      <c r="C125"/>
      <c r="D125"/>
      <c r="E125"/>
      <c r="F125"/>
      <c r="G125"/>
      <c r="H125"/>
      <c r="I125"/>
      <c r="J125"/>
      <c r="K125"/>
      <c r="L125"/>
      <c r="M125"/>
    </row>
    <row r="126" spans="2:13" x14ac:dyDescent="0.25">
      <c r="B126"/>
      <c r="C126"/>
      <c r="D126"/>
      <c r="E126"/>
      <c r="F126"/>
      <c r="G126"/>
      <c r="H126"/>
      <c r="I126"/>
      <c r="J126"/>
      <c r="K126"/>
      <c r="L126"/>
      <c r="M126"/>
    </row>
    <row r="127" spans="2:13" x14ac:dyDescent="0.25">
      <c r="B127"/>
      <c r="C127"/>
      <c r="D127"/>
      <c r="E127"/>
      <c r="F127"/>
      <c r="G127"/>
      <c r="H127"/>
      <c r="I127"/>
      <c r="J127"/>
      <c r="K127"/>
      <c r="L127"/>
      <c r="M127"/>
    </row>
    <row r="128" spans="2:13" x14ac:dyDescent="0.25">
      <c r="B128"/>
      <c r="C128"/>
      <c r="D128"/>
      <c r="E128"/>
      <c r="F128"/>
      <c r="G128"/>
      <c r="H128"/>
      <c r="I128"/>
      <c r="J128"/>
      <c r="K128"/>
      <c r="L128"/>
      <c r="M128"/>
    </row>
    <row r="129" spans="2:13" x14ac:dyDescent="0.25">
      <c r="B129"/>
      <c r="C129"/>
      <c r="D129"/>
      <c r="E129"/>
      <c r="F129"/>
      <c r="G129"/>
      <c r="H129"/>
      <c r="I129"/>
      <c r="J129"/>
      <c r="K129"/>
      <c r="L129"/>
      <c r="M129"/>
    </row>
    <row r="130" spans="2:13" x14ac:dyDescent="0.25">
      <c r="B130"/>
      <c r="C130"/>
      <c r="D130"/>
      <c r="E130"/>
      <c r="F130"/>
      <c r="G130"/>
      <c r="H130"/>
      <c r="I130"/>
      <c r="J130"/>
      <c r="K130"/>
      <c r="L130"/>
      <c r="M130"/>
    </row>
    <row r="131" spans="2:13" x14ac:dyDescent="0.25">
      <c r="B131"/>
      <c r="C131"/>
      <c r="D131"/>
      <c r="E131"/>
      <c r="F131"/>
      <c r="G131"/>
      <c r="H131"/>
      <c r="I131"/>
      <c r="J131"/>
      <c r="K131"/>
      <c r="L131"/>
      <c r="M131"/>
    </row>
    <row r="132" spans="2:13" x14ac:dyDescent="0.25">
      <c r="B132"/>
      <c r="C132"/>
      <c r="D132"/>
      <c r="E132"/>
      <c r="F132"/>
      <c r="G132"/>
      <c r="H132"/>
      <c r="I132"/>
      <c r="J132"/>
      <c r="K132"/>
      <c r="L132"/>
      <c r="M132"/>
    </row>
    <row r="133" spans="2:13" x14ac:dyDescent="0.25">
      <c r="B133"/>
      <c r="C133"/>
      <c r="D133"/>
      <c r="E133"/>
      <c r="F133"/>
      <c r="G133"/>
      <c r="H133"/>
      <c r="I133"/>
      <c r="J133"/>
      <c r="K133"/>
      <c r="L133"/>
      <c r="M133"/>
    </row>
    <row r="134" spans="2:13" x14ac:dyDescent="0.25">
      <c r="B134"/>
      <c r="C134"/>
      <c r="D134"/>
      <c r="E134"/>
      <c r="F134"/>
      <c r="G134"/>
      <c r="H134"/>
      <c r="I134"/>
      <c r="J134"/>
      <c r="K134"/>
      <c r="L134"/>
      <c r="M134"/>
    </row>
    <row r="135" spans="2:13" x14ac:dyDescent="0.25">
      <c r="B135"/>
      <c r="C135"/>
      <c r="D135"/>
      <c r="E135"/>
      <c r="F135"/>
      <c r="G135"/>
      <c r="H135"/>
      <c r="I135"/>
      <c r="J135"/>
      <c r="K135"/>
      <c r="L135"/>
      <c r="M135"/>
    </row>
    <row r="136" spans="2:13" x14ac:dyDescent="0.25">
      <c r="B136"/>
      <c r="C136"/>
      <c r="D136"/>
      <c r="E136"/>
      <c r="F136"/>
      <c r="G136"/>
      <c r="H136"/>
      <c r="I136"/>
      <c r="J136"/>
      <c r="K136"/>
      <c r="L136"/>
      <c r="M136"/>
    </row>
    <row r="137" spans="2:13" s="42" customFormat="1" x14ac:dyDescent="0.25">
      <c r="B137"/>
      <c r="C137"/>
      <c r="D137"/>
      <c r="E137"/>
      <c r="F137"/>
      <c r="G137"/>
      <c r="H137"/>
      <c r="I137"/>
      <c r="J137"/>
      <c r="K137"/>
    </row>
    <row r="138" spans="2:13" s="42" customFormat="1" x14ac:dyDescent="0.25">
      <c r="B138"/>
      <c r="C138"/>
      <c r="D138"/>
      <c r="E138"/>
      <c r="F138"/>
      <c r="G138"/>
      <c r="H138"/>
      <c r="I138"/>
      <c r="J138"/>
      <c r="K138"/>
    </row>
    <row r="139" spans="2:13" s="42" customFormat="1" x14ac:dyDescent="0.25">
      <c r="B139"/>
      <c r="C139"/>
      <c r="D139"/>
      <c r="E139"/>
      <c r="F139"/>
      <c r="G139"/>
      <c r="H139"/>
      <c r="I139"/>
      <c r="J139"/>
      <c r="K139"/>
    </row>
    <row r="140" spans="2:13" x14ac:dyDescent="0.25">
      <c r="B140"/>
      <c r="C140"/>
      <c r="D140"/>
      <c r="E140"/>
      <c r="F140"/>
      <c r="G140"/>
      <c r="H140"/>
      <c r="I140"/>
      <c r="J140"/>
      <c r="K140"/>
      <c r="L140"/>
      <c r="M140"/>
    </row>
    <row r="141" spans="2:13" x14ac:dyDescent="0.25">
      <c r="B141"/>
      <c r="C141"/>
      <c r="D141"/>
      <c r="E141"/>
      <c r="F141"/>
      <c r="G141"/>
      <c r="H141"/>
      <c r="I141"/>
      <c r="J141"/>
      <c r="K141"/>
      <c r="L141"/>
      <c r="M141"/>
    </row>
    <row r="142" spans="2:13" x14ac:dyDescent="0.25">
      <c r="B142"/>
      <c r="C142"/>
      <c r="D142"/>
      <c r="E142"/>
      <c r="F142"/>
      <c r="G142"/>
      <c r="H142"/>
      <c r="I142"/>
      <c r="J142"/>
      <c r="K142"/>
      <c r="L142"/>
      <c r="M142"/>
    </row>
    <row r="143" spans="2:13" x14ac:dyDescent="0.25">
      <c r="B143"/>
      <c r="C143"/>
      <c r="D143"/>
      <c r="E143"/>
      <c r="F143"/>
      <c r="G143"/>
      <c r="H143"/>
      <c r="I143"/>
      <c r="J143"/>
      <c r="K143"/>
      <c r="L143"/>
      <c r="M143"/>
    </row>
    <row r="144" spans="2:13" x14ac:dyDescent="0.25">
      <c r="B144"/>
      <c r="C144"/>
      <c r="D144"/>
      <c r="E144"/>
      <c r="F144"/>
      <c r="G144"/>
      <c r="H144"/>
      <c r="I144"/>
      <c r="J144"/>
      <c r="K144"/>
      <c r="L144"/>
      <c r="M144"/>
    </row>
    <row r="145" spans="2:13" x14ac:dyDescent="0.25">
      <c r="B145"/>
      <c r="C145"/>
      <c r="D145"/>
      <c r="E145"/>
      <c r="F145"/>
      <c r="G145"/>
      <c r="H145"/>
      <c r="I145"/>
      <c r="J145"/>
      <c r="K145"/>
      <c r="L145"/>
      <c r="M145"/>
    </row>
    <row r="146" spans="2:13" x14ac:dyDescent="0.25">
      <c r="B146"/>
      <c r="C146"/>
      <c r="D146"/>
      <c r="E146"/>
      <c r="F146"/>
      <c r="G146"/>
      <c r="H146"/>
      <c r="I146"/>
      <c r="J146"/>
      <c r="K146"/>
      <c r="L146"/>
      <c r="M146"/>
    </row>
    <row r="147" spans="2:13" x14ac:dyDescent="0.25">
      <c r="B147"/>
      <c r="C147"/>
      <c r="D147"/>
      <c r="E147"/>
      <c r="F147"/>
      <c r="G147"/>
      <c r="H147"/>
      <c r="I147"/>
      <c r="J147"/>
      <c r="K147"/>
      <c r="L147"/>
      <c r="M147"/>
    </row>
    <row r="148" spans="2:13" x14ac:dyDescent="0.25">
      <c r="B148"/>
      <c r="C148"/>
      <c r="D148"/>
      <c r="E148"/>
      <c r="F148"/>
      <c r="G148"/>
      <c r="H148"/>
      <c r="I148"/>
      <c r="J148"/>
      <c r="K148"/>
      <c r="L148"/>
      <c r="M148"/>
    </row>
    <row r="149" spans="2:13" x14ac:dyDescent="0.25">
      <c r="B149"/>
      <c r="C149"/>
      <c r="D149"/>
      <c r="E149"/>
      <c r="F149"/>
      <c r="G149"/>
      <c r="H149"/>
      <c r="I149"/>
      <c r="J149"/>
      <c r="K149"/>
      <c r="L149"/>
      <c r="M149"/>
    </row>
    <row r="150" spans="2:13" x14ac:dyDescent="0.25">
      <c r="B150"/>
      <c r="C150"/>
      <c r="D150"/>
      <c r="E150"/>
      <c r="F150"/>
      <c r="G150"/>
      <c r="H150"/>
      <c r="I150"/>
      <c r="J150"/>
      <c r="K150"/>
      <c r="L150"/>
      <c r="M150"/>
    </row>
    <row r="151" spans="2:13" x14ac:dyDescent="0.25">
      <c r="B151"/>
      <c r="C151"/>
      <c r="D151"/>
      <c r="E151"/>
      <c r="F151"/>
      <c r="G151"/>
      <c r="H151"/>
      <c r="I151"/>
      <c r="J151"/>
      <c r="K151"/>
      <c r="L151"/>
      <c r="M151"/>
    </row>
    <row r="152" spans="2:13" x14ac:dyDescent="0.25">
      <c r="B152"/>
      <c r="C152"/>
      <c r="D152"/>
      <c r="E152"/>
      <c r="F152"/>
      <c r="G152"/>
      <c r="H152"/>
      <c r="I152"/>
      <c r="J152"/>
      <c r="K152"/>
      <c r="L152"/>
      <c r="M152"/>
    </row>
    <row r="153" spans="2:13" x14ac:dyDescent="0.25">
      <c r="B153"/>
      <c r="C153"/>
      <c r="D153"/>
      <c r="E153"/>
      <c r="F153"/>
      <c r="G153"/>
      <c r="H153"/>
      <c r="I153"/>
      <c r="J153"/>
      <c r="K153"/>
      <c r="L153"/>
      <c r="M153"/>
    </row>
    <row r="154" spans="2:13" x14ac:dyDescent="0.25">
      <c r="B154"/>
      <c r="C154"/>
      <c r="D154"/>
      <c r="E154"/>
      <c r="F154"/>
      <c r="G154"/>
      <c r="H154"/>
      <c r="I154"/>
      <c r="J154"/>
      <c r="K154"/>
      <c r="L154"/>
      <c r="M154"/>
    </row>
    <row r="155" spans="2:13" x14ac:dyDescent="0.25">
      <c r="B155"/>
      <c r="C155"/>
      <c r="D155"/>
      <c r="E155"/>
      <c r="F155"/>
      <c r="G155"/>
      <c r="H155"/>
      <c r="I155"/>
      <c r="J155"/>
      <c r="K155"/>
      <c r="L155"/>
      <c r="M155"/>
    </row>
    <row r="156" spans="2:13" x14ac:dyDescent="0.25">
      <c r="B156"/>
      <c r="C156"/>
      <c r="D156"/>
      <c r="E156"/>
      <c r="F156"/>
      <c r="G156"/>
      <c r="H156"/>
      <c r="I156"/>
      <c r="J156"/>
      <c r="K156"/>
      <c r="L156"/>
      <c r="M156"/>
    </row>
    <row r="157" spans="2:13" x14ac:dyDescent="0.25">
      <c r="B157"/>
      <c r="C157"/>
      <c r="D157"/>
      <c r="E157"/>
      <c r="F157"/>
      <c r="G157"/>
      <c r="H157"/>
      <c r="I157"/>
      <c r="J157"/>
      <c r="K157"/>
      <c r="L157"/>
      <c r="M157"/>
    </row>
    <row r="158" spans="2:13" x14ac:dyDescent="0.25">
      <c r="B158"/>
      <c r="C158"/>
      <c r="D158"/>
      <c r="E158"/>
      <c r="F158"/>
      <c r="G158"/>
      <c r="H158"/>
      <c r="I158"/>
      <c r="J158"/>
      <c r="K158"/>
      <c r="L158"/>
      <c r="M158"/>
    </row>
    <row r="159" spans="2:13" x14ac:dyDescent="0.25">
      <c r="B159"/>
      <c r="C159"/>
      <c r="D159"/>
      <c r="E159"/>
      <c r="F159"/>
      <c r="G159"/>
      <c r="H159"/>
      <c r="I159"/>
      <c r="J159"/>
      <c r="K159"/>
      <c r="L159"/>
      <c r="M159"/>
    </row>
    <row r="160" spans="2:13" x14ac:dyDescent="0.25">
      <c r="B160"/>
      <c r="C160"/>
      <c r="D160"/>
      <c r="E160"/>
      <c r="F160"/>
      <c r="G160"/>
      <c r="H160"/>
      <c r="I160"/>
      <c r="J160"/>
      <c r="K160"/>
      <c r="L160"/>
      <c r="M160"/>
    </row>
    <row r="161" spans="2:13" x14ac:dyDescent="0.25">
      <c r="B161"/>
      <c r="C161"/>
      <c r="D161"/>
      <c r="E161"/>
      <c r="F161"/>
      <c r="G161"/>
      <c r="H161"/>
      <c r="I161"/>
      <c r="J161"/>
      <c r="K161"/>
      <c r="L161"/>
      <c r="M161"/>
    </row>
    <row r="162" spans="2:13" x14ac:dyDescent="0.25">
      <c r="B162"/>
      <c r="C162"/>
      <c r="D162"/>
      <c r="E162"/>
      <c r="F162"/>
      <c r="G162"/>
      <c r="H162"/>
      <c r="I162"/>
      <c r="J162"/>
      <c r="K162"/>
      <c r="L162"/>
      <c r="M162"/>
    </row>
    <row r="163" spans="2:13" x14ac:dyDescent="0.25">
      <c r="B163"/>
      <c r="C163"/>
      <c r="D163"/>
      <c r="E163"/>
      <c r="F163"/>
      <c r="G163"/>
      <c r="H163"/>
      <c r="I163"/>
      <c r="J163"/>
      <c r="K163"/>
      <c r="L163"/>
      <c r="M163"/>
    </row>
    <row r="164" spans="2:13" x14ac:dyDescent="0.25">
      <c r="B164"/>
      <c r="C164"/>
      <c r="D164"/>
      <c r="E164"/>
      <c r="F164"/>
      <c r="G164"/>
      <c r="H164"/>
      <c r="I164"/>
      <c r="J164"/>
      <c r="K164"/>
      <c r="L164"/>
      <c r="M164"/>
    </row>
    <row r="165" spans="2:13" x14ac:dyDescent="0.25">
      <c r="B165"/>
      <c r="C165"/>
      <c r="D165"/>
      <c r="E165"/>
      <c r="F165"/>
      <c r="G165"/>
      <c r="H165"/>
      <c r="I165"/>
      <c r="J165"/>
      <c r="K165"/>
      <c r="L165"/>
      <c r="M165"/>
    </row>
    <row r="166" spans="2:13" x14ac:dyDescent="0.25">
      <c r="B166"/>
      <c r="C166"/>
      <c r="D166"/>
      <c r="E166"/>
      <c r="F166"/>
      <c r="G166"/>
      <c r="H166"/>
      <c r="I166"/>
      <c r="J166"/>
      <c r="K166"/>
      <c r="L166"/>
      <c r="M166"/>
    </row>
    <row r="167" spans="2:13" x14ac:dyDescent="0.25">
      <c r="B167"/>
      <c r="C167"/>
      <c r="D167"/>
      <c r="E167"/>
      <c r="F167"/>
      <c r="G167"/>
      <c r="H167"/>
      <c r="I167"/>
      <c r="J167"/>
      <c r="K167"/>
      <c r="L167"/>
      <c r="M167"/>
    </row>
    <row r="168" spans="2:13" x14ac:dyDescent="0.25">
      <c r="B168"/>
      <c r="C168"/>
      <c r="D168"/>
      <c r="E168"/>
      <c r="F168"/>
      <c r="G168"/>
      <c r="H168"/>
      <c r="I168"/>
      <c r="J168"/>
      <c r="K168"/>
      <c r="L168"/>
      <c r="M168"/>
    </row>
    <row r="169" spans="2:13" x14ac:dyDescent="0.25">
      <c r="B169"/>
      <c r="C169"/>
      <c r="D169"/>
      <c r="E169"/>
      <c r="F169"/>
      <c r="G169"/>
      <c r="H169"/>
      <c r="I169"/>
      <c r="J169"/>
      <c r="K169"/>
      <c r="L169"/>
      <c r="M169"/>
    </row>
    <row r="170" spans="2:13" x14ac:dyDescent="0.25">
      <c r="B170"/>
      <c r="C170"/>
      <c r="D170"/>
      <c r="E170"/>
      <c r="F170"/>
      <c r="G170"/>
      <c r="H170"/>
      <c r="I170"/>
      <c r="J170"/>
      <c r="K170"/>
      <c r="L170"/>
      <c r="M170"/>
    </row>
    <row r="171" spans="2:13" x14ac:dyDescent="0.25">
      <c r="B171"/>
      <c r="C171"/>
      <c r="D171"/>
      <c r="E171"/>
      <c r="F171"/>
      <c r="G171"/>
      <c r="H171"/>
      <c r="I171"/>
      <c r="J171"/>
      <c r="K171"/>
      <c r="L171"/>
      <c r="M171"/>
    </row>
    <row r="172" spans="2:13" x14ac:dyDescent="0.25">
      <c r="B172"/>
      <c r="C172"/>
      <c r="D172"/>
      <c r="E172"/>
      <c r="F172"/>
      <c r="G172"/>
      <c r="H172"/>
      <c r="I172"/>
      <c r="J172"/>
      <c r="K172"/>
      <c r="L172"/>
      <c r="M172"/>
    </row>
    <row r="173" spans="2:13" x14ac:dyDescent="0.25">
      <c r="B173"/>
      <c r="C173"/>
      <c r="D173"/>
      <c r="E173"/>
      <c r="F173"/>
      <c r="G173"/>
      <c r="H173"/>
      <c r="I173"/>
      <c r="J173"/>
      <c r="K173"/>
      <c r="L173"/>
      <c r="M173"/>
    </row>
    <row r="174" spans="2:13" x14ac:dyDescent="0.25">
      <c r="B174"/>
      <c r="C174"/>
      <c r="D174"/>
      <c r="E174"/>
      <c r="F174"/>
      <c r="G174"/>
      <c r="H174"/>
      <c r="I174"/>
      <c r="J174"/>
      <c r="K174"/>
      <c r="L174"/>
      <c r="M174"/>
    </row>
    <row r="175" spans="2:13" x14ac:dyDescent="0.25">
      <c r="B175"/>
      <c r="C175"/>
      <c r="D175"/>
      <c r="E175"/>
      <c r="F175"/>
      <c r="G175"/>
      <c r="H175"/>
      <c r="I175"/>
      <c r="J175"/>
      <c r="K175"/>
      <c r="L175"/>
      <c r="M175"/>
    </row>
    <row r="176" spans="2:13" x14ac:dyDescent="0.25">
      <c r="B176"/>
      <c r="C176"/>
      <c r="D176"/>
      <c r="E176"/>
      <c r="F176"/>
      <c r="G176"/>
      <c r="H176"/>
      <c r="I176"/>
      <c r="J176"/>
      <c r="K176"/>
      <c r="L176"/>
      <c r="M176"/>
    </row>
    <row r="177" spans="2:13" x14ac:dyDescent="0.25">
      <c r="B177"/>
      <c r="C177"/>
      <c r="D177"/>
      <c r="E177"/>
      <c r="F177"/>
      <c r="G177"/>
      <c r="H177"/>
      <c r="I177"/>
      <c r="J177"/>
      <c r="K177"/>
      <c r="L177"/>
      <c r="M177"/>
    </row>
    <row r="178" spans="2:13" x14ac:dyDescent="0.25">
      <c r="B178"/>
      <c r="C178"/>
      <c r="D178"/>
      <c r="E178"/>
      <c r="F178"/>
      <c r="G178"/>
      <c r="H178"/>
      <c r="I178"/>
      <c r="J178"/>
      <c r="K178"/>
      <c r="L178"/>
      <c r="M178"/>
    </row>
    <row r="179" spans="2:13" x14ac:dyDescent="0.25">
      <c r="B179"/>
      <c r="C179"/>
      <c r="D179"/>
      <c r="E179"/>
      <c r="F179"/>
      <c r="G179"/>
      <c r="H179"/>
      <c r="I179"/>
      <c r="J179"/>
      <c r="K179"/>
      <c r="L179"/>
      <c r="M179"/>
    </row>
    <row r="180" spans="2:13" x14ac:dyDescent="0.25">
      <c r="B180"/>
      <c r="C180"/>
      <c r="D180"/>
      <c r="E180"/>
      <c r="F180"/>
      <c r="G180"/>
      <c r="H180"/>
      <c r="I180"/>
      <c r="J180"/>
      <c r="K180"/>
      <c r="L180"/>
      <c r="M180"/>
    </row>
    <row r="181" spans="2:13" x14ac:dyDescent="0.25">
      <c r="B181"/>
      <c r="C181"/>
      <c r="D181"/>
      <c r="E181"/>
      <c r="F181"/>
      <c r="G181"/>
      <c r="H181"/>
      <c r="I181"/>
      <c r="J181"/>
      <c r="K181"/>
      <c r="L181"/>
      <c r="M181"/>
    </row>
    <row r="182" spans="2:13" x14ac:dyDescent="0.25">
      <c r="B182"/>
      <c r="C182"/>
      <c r="D182"/>
      <c r="E182"/>
      <c r="F182"/>
      <c r="G182"/>
      <c r="H182"/>
      <c r="I182"/>
      <c r="J182"/>
      <c r="K182"/>
      <c r="L182"/>
      <c r="M182"/>
    </row>
    <row r="183" spans="2:13" x14ac:dyDescent="0.25">
      <c r="B183"/>
      <c r="C183"/>
      <c r="D183"/>
      <c r="E183"/>
      <c r="F183"/>
      <c r="G183"/>
      <c r="H183"/>
      <c r="I183"/>
      <c r="J183"/>
      <c r="K183"/>
      <c r="L183"/>
      <c r="M183"/>
    </row>
    <row r="184" spans="2:13" x14ac:dyDescent="0.25">
      <c r="B184"/>
      <c r="C184"/>
      <c r="D184"/>
      <c r="E184"/>
      <c r="F184"/>
      <c r="G184"/>
      <c r="H184"/>
      <c r="I184"/>
      <c r="J184"/>
      <c r="K184"/>
      <c r="L184"/>
      <c r="M184"/>
    </row>
    <row r="185" spans="2:13" x14ac:dyDescent="0.25">
      <c r="B185"/>
      <c r="C185"/>
      <c r="D185"/>
      <c r="E185"/>
      <c r="F185"/>
      <c r="G185"/>
      <c r="H185"/>
      <c r="I185"/>
      <c r="J185"/>
      <c r="K185"/>
      <c r="L185"/>
      <c r="M185"/>
    </row>
    <row r="186" spans="2:13" x14ac:dyDescent="0.25">
      <c r="B186"/>
      <c r="C186"/>
      <c r="D186"/>
      <c r="E186"/>
      <c r="F186"/>
      <c r="G186"/>
      <c r="H186"/>
      <c r="I186"/>
      <c r="J186"/>
      <c r="K186"/>
      <c r="L186"/>
      <c r="M186"/>
    </row>
    <row r="187" spans="2:13" x14ac:dyDescent="0.25">
      <c r="B187"/>
      <c r="C187"/>
      <c r="D187"/>
      <c r="E187"/>
      <c r="F187"/>
      <c r="G187"/>
      <c r="H187"/>
      <c r="I187"/>
      <c r="J187"/>
      <c r="K187"/>
      <c r="L187"/>
      <c r="M187"/>
    </row>
    <row r="188" spans="2:13" x14ac:dyDescent="0.25">
      <c r="B188"/>
      <c r="C188"/>
      <c r="D188"/>
      <c r="E188"/>
      <c r="F188"/>
      <c r="G188"/>
      <c r="H188"/>
      <c r="I188"/>
      <c r="J188"/>
      <c r="K188"/>
      <c r="L188"/>
      <c r="M188"/>
    </row>
    <row r="189" spans="2:13" x14ac:dyDescent="0.25">
      <c r="B189"/>
      <c r="C189"/>
      <c r="D189"/>
      <c r="E189"/>
      <c r="F189"/>
      <c r="G189"/>
      <c r="H189"/>
      <c r="I189"/>
      <c r="J189"/>
      <c r="K189"/>
      <c r="L189"/>
      <c r="M189"/>
    </row>
    <row r="190" spans="2:13" x14ac:dyDescent="0.25">
      <c r="B190"/>
      <c r="C190"/>
      <c r="D190"/>
      <c r="E190"/>
      <c r="F190"/>
      <c r="G190"/>
      <c r="H190"/>
      <c r="I190"/>
      <c r="J190"/>
      <c r="K190"/>
      <c r="L190"/>
      <c r="M190"/>
    </row>
    <row r="191" spans="2:13" x14ac:dyDescent="0.25">
      <c r="B191"/>
      <c r="C191"/>
      <c r="D191"/>
      <c r="E191"/>
      <c r="F191"/>
      <c r="G191"/>
      <c r="H191"/>
      <c r="I191"/>
      <c r="J191"/>
      <c r="K191"/>
      <c r="L191"/>
      <c r="M191"/>
    </row>
    <row r="192" spans="2:13" x14ac:dyDescent="0.25">
      <c r="B192"/>
      <c r="C192"/>
      <c r="D192"/>
      <c r="E192"/>
      <c r="F192"/>
      <c r="G192"/>
      <c r="H192"/>
      <c r="I192"/>
      <c r="J192"/>
      <c r="K192"/>
      <c r="L192"/>
      <c r="M192"/>
    </row>
    <row r="193" spans="2:13" x14ac:dyDescent="0.25">
      <c r="B193"/>
      <c r="C193"/>
      <c r="D193"/>
      <c r="E193"/>
      <c r="F193"/>
      <c r="G193"/>
      <c r="H193"/>
      <c r="I193"/>
      <c r="J193"/>
      <c r="K193"/>
      <c r="L193"/>
      <c r="M193"/>
    </row>
    <row r="194" spans="2:13" x14ac:dyDescent="0.25">
      <c r="B194"/>
      <c r="C194"/>
      <c r="D194"/>
      <c r="E194"/>
      <c r="F194"/>
      <c r="G194"/>
      <c r="H194"/>
      <c r="I194"/>
      <c r="J194"/>
      <c r="K194"/>
      <c r="L194"/>
      <c r="M194"/>
    </row>
    <row r="195" spans="2:13" x14ac:dyDescent="0.25">
      <c r="B195"/>
      <c r="C195"/>
      <c r="D195"/>
      <c r="E195"/>
      <c r="F195"/>
      <c r="G195"/>
      <c r="H195"/>
      <c r="I195"/>
      <c r="J195"/>
      <c r="K195"/>
      <c r="L195"/>
      <c r="M195"/>
    </row>
    <row r="196" spans="2:13" x14ac:dyDescent="0.25">
      <c r="B196"/>
      <c r="C196"/>
      <c r="D196"/>
      <c r="E196"/>
      <c r="F196"/>
      <c r="G196"/>
      <c r="H196"/>
      <c r="I196"/>
      <c r="J196"/>
      <c r="K196"/>
      <c r="L196"/>
      <c r="M196"/>
    </row>
    <row r="197" spans="2:13" x14ac:dyDescent="0.25">
      <c r="B197"/>
      <c r="C197"/>
      <c r="D197"/>
      <c r="E197"/>
      <c r="F197"/>
      <c r="G197"/>
      <c r="H197"/>
      <c r="I197"/>
      <c r="J197"/>
      <c r="K197"/>
      <c r="L197"/>
      <c r="M197"/>
    </row>
    <row r="198" spans="2:13" x14ac:dyDescent="0.25">
      <c r="B198"/>
      <c r="C198"/>
      <c r="D198"/>
      <c r="E198"/>
      <c r="F198"/>
      <c r="G198"/>
      <c r="H198"/>
      <c r="I198"/>
      <c r="J198"/>
      <c r="K198"/>
      <c r="L198"/>
      <c r="M198"/>
    </row>
    <row r="199" spans="2:13" x14ac:dyDescent="0.25">
      <c r="B199"/>
      <c r="C199"/>
      <c r="D199"/>
      <c r="E199"/>
      <c r="F199"/>
      <c r="G199"/>
      <c r="H199"/>
      <c r="I199"/>
      <c r="J199"/>
      <c r="K199"/>
      <c r="L199"/>
      <c r="M199"/>
    </row>
    <row r="200" spans="2:13" x14ac:dyDescent="0.25">
      <c r="B200"/>
      <c r="C200"/>
      <c r="D200"/>
      <c r="E200"/>
      <c r="F200"/>
      <c r="G200"/>
      <c r="H200"/>
      <c r="I200"/>
      <c r="J200"/>
      <c r="K200"/>
      <c r="L200"/>
      <c r="M200"/>
    </row>
    <row r="201" spans="2:13" x14ac:dyDescent="0.25">
      <c r="B201"/>
      <c r="C201"/>
      <c r="D201"/>
      <c r="E201"/>
      <c r="F201"/>
      <c r="G201"/>
      <c r="H201"/>
      <c r="I201"/>
      <c r="J201"/>
      <c r="K201"/>
      <c r="L201"/>
      <c r="M201"/>
    </row>
    <row r="202" spans="2:13" x14ac:dyDescent="0.25">
      <c r="B202"/>
      <c r="C202"/>
      <c r="D202"/>
      <c r="E202"/>
      <c r="F202"/>
      <c r="G202"/>
      <c r="H202"/>
      <c r="I202"/>
      <c r="J202"/>
      <c r="K202"/>
      <c r="L202"/>
      <c r="M202"/>
    </row>
    <row r="203" spans="2:13" x14ac:dyDescent="0.25">
      <c r="B203"/>
      <c r="C203"/>
      <c r="D203"/>
      <c r="E203"/>
      <c r="F203"/>
      <c r="G203"/>
      <c r="H203"/>
      <c r="I203"/>
      <c r="J203"/>
      <c r="K203"/>
      <c r="L203"/>
      <c r="M203"/>
    </row>
    <row r="204" spans="2:13" x14ac:dyDescent="0.25">
      <c r="B204"/>
      <c r="C204"/>
      <c r="D204"/>
      <c r="E204"/>
      <c r="F204"/>
      <c r="G204"/>
      <c r="H204"/>
      <c r="I204"/>
      <c r="J204"/>
      <c r="K204"/>
      <c r="L204"/>
      <c r="M204"/>
    </row>
    <row r="205" spans="2:13" x14ac:dyDescent="0.25">
      <c r="B205"/>
      <c r="C205"/>
      <c r="D205"/>
      <c r="E205"/>
      <c r="F205"/>
      <c r="G205"/>
      <c r="H205"/>
      <c r="I205"/>
      <c r="J205"/>
      <c r="K205"/>
      <c r="L205"/>
      <c r="M205"/>
    </row>
    <row r="206" spans="2:13" x14ac:dyDescent="0.25">
      <c r="B206"/>
      <c r="C206"/>
      <c r="D206"/>
      <c r="E206"/>
      <c r="F206"/>
      <c r="G206"/>
      <c r="H206"/>
      <c r="I206"/>
      <c r="J206"/>
      <c r="K206"/>
      <c r="L206"/>
      <c r="M206"/>
    </row>
    <row r="207" spans="2:13" x14ac:dyDescent="0.25">
      <c r="B207"/>
      <c r="C207"/>
      <c r="D207"/>
      <c r="E207"/>
      <c r="F207"/>
      <c r="G207"/>
      <c r="H207"/>
      <c r="I207"/>
      <c r="J207"/>
      <c r="K207"/>
      <c r="L207"/>
      <c r="M207"/>
    </row>
    <row r="208" spans="2:13" x14ac:dyDescent="0.25">
      <c r="B208"/>
      <c r="C208"/>
      <c r="D208"/>
      <c r="E208"/>
      <c r="F208"/>
      <c r="G208"/>
      <c r="H208"/>
      <c r="I208"/>
      <c r="J208"/>
      <c r="K208"/>
      <c r="L208"/>
      <c r="M208"/>
    </row>
    <row r="209" spans="2:13" x14ac:dyDescent="0.25">
      <c r="B209"/>
      <c r="C209"/>
      <c r="D209"/>
      <c r="E209"/>
      <c r="F209"/>
      <c r="G209"/>
      <c r="H209"/>
      <c r="I209"/>
      <c r="J209"/>
      <c r="K209"/>
      <c r="L209"/>
      <c r="M209"/>
    </row>
    <row r="210" spans="2:13" x14ac:dyDescent="0.25">
      <c r="B210"/>
      <c r="C210"/>
      <c r="D210"/>
      <c r="E210"/>
      <c r="F210"/>
      <c r="G210"/>
      <c r="H210"/>
      <c r="I210"/>
      <c r="J210"/>
      <c r="K210"/>
      <c r="L210"/>
      <c r="M210"/>
    </row>
    <row r="211" spans="2:13" x14ac:dyDescent="0.25">
      <c r="B211"/>
      <c r="C211"/>
      <c r="D211"/>
      <c r="E211"/>
      <c r="F211"/>
      <c r="G211"/>
      <c r="H211"/>
      <c r="I211"/>
      <c r="J211"/>
      <c r="K211"/>
      <c r="L211"/>
      <c r="M211"/>
    </row>
    <row r="212" spans="2:13" x14ac:dyDescent="0.25">
      <c r="B212"/>
      <c r="C212"/>
      <c r="D212"/>
      <c r="E212"/>
      <c r="F212"/>
      <c r="G212"/>
      <c r="H212"/>
      <c r="I212"/>
      <c r="J212"/>
      <c r="K212"/>
      <c r="L212"/>
      <c r="M212"/>
    </row>
    <row r="213" spans="2:13" x14ac:dyDescent="0.25">
      <c r="B213"/>
      <c r="C213"/>
      <c r="D213"/>
      <c r="E213"/>
      <c r="F213"/>
      <c r="G213"/>
      <c r="H213"/>
      <c r="I213"/>
      <c r="J213"/>
      <c r="K213"/>
      <c r="L213"/>
      <c r="M213"/>
    </row>
    <row r="214" spans="2:13" x14ac:dyDescent="0.25">
      <c r="B214"/>
      <c r="C214"/>
      <c r="D214"/>
      <c r="E214"/>
      <c r="F214"/>
      <c r="G214"/>
      <c r="H214"/>
      <c r="I214"/>
      <c r="J214"/>
      <c r="K214"/>
      <c r="L214"/>
      <c r="M214"/>
    </row>
    <row r="215" spans="2:13" x14ac:dyDescent="0.25">
      <c r="B215"/>
      <c r="C215"/>
      <c r="D215"/>
      <c r="E215"/>
      <c r="F215"/>
      <c r="G215"/>
      <c r="H215"/>
      <c r="I215"/>
      <c r="J215"/>
      <c r="K215"/>
      <c r="L215"/>
      <c r="M215"/>
    </row>
    <row r="216" spans="2:13" x14ac:dyDescent="0.25">
      <c r="B216"/>
      <c r="C216"/>
      <c r="D216"/>
      <c r="E216"/>
      <c r="F216"/>
      <c r="G216"/>
      <c r="H216"/>
      <c r="I216"/>
      <c r="J216"/>
      <c r="K216"/>
      <c r="L216"/>
      <c r="M216"/>
    </row>
    <row r="217" spans="2:13" x14ac:dyDescent="0.25">
      <c r="B217"/>
      <c r="C217"/>
      <c r="D217"/>
      <c r="E217"/>
      <c r="F217"/>
      <c r="G217"/>
      <c r="H217"/>
      <c r="I217"/>
      <c r="J217"/>
      <c r="K217"/>
      <c r="L217"/>
      <c r="M217"/>
    </row>
    <row r="218" spans="2:13" x14ac:dyDescent="0.25">
      <c r="B218"/>
      <c r="C218"/>
      <c r="D218"/>
      <c r="E218"/>
      <c r="F218"/>
      <c r="G218"/>
      <c r="H218"/>
      <c r="I218"/>
      <c r="J218"/>
      <c r="K218"/>
      <c r="L218"/>
      <c r="M218"/>
    </row>
    <row r="219" spans="2:13" x14ac:dyDescent="0.25">
      <c r="B219"/>
      <c r="C219"/>
      <c r="D219"/>
      <c r="E219"/>
      <c r="F219"/>
      <c r="G219"/>
      <c r="H219"/>
      <c r="I219"/>
      <c r="J219"/>
      <c r="K219"/>
      <c r="L219"/>
      <c r="M219"/>
    </row>
    <row r="220" spans="2:13" x14ac:dyDescent="0.25">
      <c r="B220"/>
      <c r="C220"/>
      <c r="D220"/>
      <c r="E220"/>
      <c r="F220"/>
      <c r="G220"/>
      <c r="H220"/>
      <c r="I220"/>
      <c r="J220"/>
      <c r="K220"/>
      <c r="L220"/>
      <c r="M220"/>
    </row>
    <row r="221" spans="2:13" x14ac:dyDescent="0.25">
      <c r="B221"/>
      <c r="C221"/>
      <c r="D221"/>
      <c r="E221"/>
      <c r="F221"/>
      <c r="G221"/>
      <c r="H221"/>
      <c r="I221"/>
      <c r="J221"/>
      <c r="K221"/>
      <c r="L221"/>
      <c r="M221"/>
    </row>
    <row r="222" spans="2:13" x14ac:dyDescent="0.25">
      <c r="B222"/>
      <c r="C222"/>
      <c r="D222"/>
      <c r="E222"/>
      <c r="F222"/>
      <c r="G222"/>
      <c r="H222"/>
      <c r="I222"/>
      <c r="J222"/>
      <c r="K222"/>
      <c r="L222"/>
      <c r="M222"/>
    </row>
    <row r="223" spans="2:13" x14ac:dyDescent="0.25">
      <c r="B223"/>
      <c r="C223"/>
      <c r="D223"/>
      <c r="E223"/>
      <c r="F223"/>
      <c r="G223"/>
      <c r="H223"/>
      <c r="I223"/>
      <c r="J223"/>
      <c r="K223"/>
      <c r="L223"/>
      <c r="M223"/>
    </row>
    <row r="224" spans="2:13" x14ac:dyDescent="0.25">
      <c r="B224"/>
      <c r="C224"/>
      <c r="D224"/>
      <c r="E224"/>
      <c r="F224"/>
      <c r="G224"/>
      <c r="H224"/>
      <c r="I224"/>
      <c r="J224"/>
      <c r="K224"/>
      <c r="L224"/>
      <c r="M224"/>
    </row>
    <row r="225" spans="2:13" x14ac:dyDescent="0.25">
      <c r="B225"/>
      <c r="C225"/>
      <c r="D225"/>
      <c r="E225"/>
      <c r="F225"/>
      <c r="G225"/>
      <c r="H225"/>
      <c r="I225"/>
      <c r="J225"/>
      <c r="K225"/>
      <c r="L225"/>
      <c r="M225"/>
    </row>
    <row r="226" spans="2:13" x14ac:dyDescent="0.25">
      <c r="B226"/>
      <c r="C226"/>
      <c r="D226"/>
      <c r="E226"/>
      <c r="F226"/>
      <c r="G226"/>
      <c r="H226"/>
      <c r="I226"/>
      <c r="J226"/>
      <c r="K226"/>
      <c r="L226"/>
      <c r="M226"/>
    </row>
    <row r="227" spans="2:13" x14ac:dyDescent="0.25">
      <c r="B227"/>
      <c r="C227"/>
      <c r="D227"/>
      <c r="E227"/>
      <c r="F227"/>
      <c r="G227"/>
      <c r="H227"/>
      <c r="I227"/>
      <c r="J227"/>
      <c r="K227"/>
      <c r="L227"/>
      <c r="M227"/>
    </row>
    <row r="228" spans="2:13" x14ac:dyDescent="0.25">
      <c r="B228"/>
      <c r="C228"/>
      <c r="D228"/>
      <c r="E228"/>
      <c r="F228"/>
      <c r="G228"/>
      <c r="H228"/>
      <c r="I228"/>
      <c r="J228"/>
      <c r="K228"/>
      <c r="L228"/>
      <c r="M228"/>
    </row>
    <row r="229" spans="2:13" x14ac:dyDescent="0.25">
      <c r="B229"/>
      <c r="C229"/>
      <c r="D229"/>
      <c r="E229"/>
      <c r="F229"/>
      <c r="G229"/>
      <c r="H229"/>
      <c r="I229"/>
      <c r="J229"/>
      <c r="K229"/>
      <c r="L229"/>
      <c r="M229"/>
    </row>
    <row r="230" spans="2:13" x14ac:dyDescent="0.25">
      <c r="B230"/>
      <c r="C230"/>
      <c r="D230"/>
      <c r="E230"/>
      <c r="F230"/>
      <c r="G230"/>
      <c r="H230"/>
      <c r="I230"/>
      <c r="J230"/>
      <c r="K230"/>
      <c r="L230"/>
      <c r="M230"/>
    </row>
    <row r="231" spans="2:13" x14ac:dyDescent="0.25">
      <c r="B231"/>
      <c r="C231"/>
      <c r="D231"/>
      <c r="E231"/>
      <c r="F231"/>
      <c r="G231"/>
      <c r="H231"/>
      <c r="I231"/>
      <c r="J231"/>
      <c r="K231"/>
      <c r="L231"/>
      <c r="M231"/>
    </row>
    <row r="232" spans="2:13" x14ac:dyDescent="0.25">
      <c r="B232"/>
      <c r="C232"/>
      <c r="D232"/>
      <c r="E232"/>
      <c r="F232"/>
      <c r="G232"/>
      <c r="H232"/>
      <c r="I232"/>
      <c r="J232"/>
      <c r="K232"/>
      <c r="L232"/>
      <c r="M232"/>
    </row>
    <row r="233" spans="2:13" x14ac:dyDescent="0.25">
      <c r="B233"/>
      <c r="C233"/>
      <c r="D233"/>
      <c r="E233"/>
      <c r="F233"/>
      <c r="G233"/>
      <c r="H233"/>
      <c r="I233"/>
      <c r="J233"/>
      <c r="K233"/>
      <c r="L233"/>
      <c r="M233"/>
    </row>
    <row r="234" spans="2:13" x14ac:dyDescent="0.25">
      <c r="B234"/>
      <c r="C234"/>
      <c r="D234"/>
      <c r="E234"/>
      <c r="F234"/>
      <c r="G234"/>
      <c r="H234"/>
      <c r="I234"/>
      <c r="J234"/>
      <c r="K234"/>
      <c r="L234"/>
      <c r="M234"/>
    </row>
    <row r="235" spans="2:13" x14ac:dyDescent="0.25">
      <c r="B235"/>
      <c r="C235"/>
      <c r="D235"/>
      <c r="E235"/>
      <c r="F235"/>
      <c r="G235"/>
      <c r="H235"/>
      <c r="I235"/>
      <c r="J235"/>
      <c r="K235"/>
      <c r="L235"/>
      <c r="M235"/>
    </row>
    <row r="236" spans="2:13" x14ac:dyDescent="0.25">
      <c r="B236"/>
      <c r="C236"/>
      <c r="D236"/>
      <c r="E236"/>
      <c r="F236"/>
      <c r="G236"/>
      <c r="H236"/>
      <c r="I236"/>
      <c r="J236"/>
      <c r="K236"/>
      <c r="L236"/>
      <c r="M236"/>
    </row>
    <row r="237" spans="2:13" x14ac:dyDescent="0.25">
      <c r="B237"/>
      <c r="C237"/>
      <c r="D237"/>
      <c r="E237"/>
      <c r="F237"/>
      <c r="G237"/>
      <c r="H237"/>
      <c r="I237"/>
      <c r="J237"/>
      <c r="K237"/>
      <c r="L237"/>
      <c r="M237"/>
    </row>
    <row r="238" spans="2:13" x14ac:dyDescent="0.25">
      <c r="B238"/>
      <c r="C238"/>
      <c r="D238"/>
      <c r="E238"/>
      <c r="F238"/>
      <c r="G238"/>
      <c r="H238"/>
      <c r="I238"/>
      <c r="J238"/>
      <c r="K238"/>
      <c r="L238"/>
      <c r="M238"/>
    </row>
    <row r="239" spans="2:13" x14ac:dyDescent="0.25">
      <c r="B239"/>
      <c r="C239"/>
      <c r="D239"/>
      <c r="E239"/>
      <c r="F239"/>
      <c r="G239"/>
      <c r="H239"/>
      <c r="I239"/>
      <c r="J239"/>
      <c r="K239"/>
      <c r="L239"/>
      <c r="M239"/>
    </row>
    <row r="240" spans="2:13" x14ac:dyDescent="0.25">
      <c r="B240"/>
      <c r="C240"/>
      <c r="D240"/>
      <c r="E240"/>
      <c r="F240"/>
      <c r="G240"/>
      <c r="H240"/>
      <c r="I240"/>
      <c r="J240"/>
      <c r="K240"/>
      <c r="L240"/>
      <c r="M240"/>
    </row>
    <row r="241" spans="2:13" x14ac:dyDescent="0.25">
      <c r="B241"/>
      <c r="C241"/>
      <c r="D241"/>
      <c r="E241"/>
      <c r="F241"/>
      <c r="G241"/>
      <c r="H241"/>
      <c r="I241"/>
      <c r="J241"/>
      <c r="K241"/>
      <c r="L241"/>
      <c r="M241"/>
    </row>
    <row r="242" spans="2:13" x14ac:dyDescent="0.25">
      <c r="B242"/>
      <c r="C242"/>
      <c r="D242"/>
      <c r="E242"/>
      <c r="F242"/>
      <c r="G242"/>
      <c r="H242"/>
      <c r="I242"/>
      <c r="J242"/>
      <c r="K242"/>
      <c r="L242"/>
      <c r="M242"/>
    </row>
    <row r="243" spans="2:13" x14ac:dyDescent="0.25">
      <c r="B243"/>
      <c r="C243"/>
      <c r="D243"/>
      <c r="E243"/>
      <c r="F243"/>
      <c r="G243"/>
      <c r="H243"/>
      <c r="I243"/>
      <c r="J243"/>
      <c r="K243"/>
      <c r="L243"/>
      <c r="M243"/>
    </row>
    <row r="244" spans="2:13" x14ac:dyDescent="0.25">
      <c r="B244"/>
      <c r="C244"/>
      <c r="D244"/>
      <c r="E244"/>
      <c r="F244"/>
      <c r="G244"/>
      <c r="H244"/>
      <c r="I244"/>
      <c r="J244"/>
      <c r="K244"/>
      <c r="L244"/>
      <c r="M244"/>
    </row>
    <row r="245" spans="2:13" x14ac:dyDescent="0.25">
      <c r="B245"/>
      <c r="C245"/>
      <c r="D245"/>
      <c r="E245"/>
      <c r="F245"/>
      <c r="G245"/>
      <c r="H245"/>
      <c r="I245"/>
      <c r="J245"/>
      <c r="K245"/>
      <c r="L245"/>
      <c r="M245"/>
    </row>
    <row r="246" spans="2:13" x14ac:dyDescent="0.25">
      <c r="B246"/>
      <c r="C246"/>
      <c r="D246"/>
      <c r="E246"/>
      <c r="F246"/>
      <c r="G246"/>
      <c r="H246"/>
      <c r="I246"/>
      <c r="J246"/>
      <c r="K246"/>
      <c r="L246"/>
      <c r="M246"/>
    </row>
    <row r="247" spans="2:13" x14ac:dyDescent="0.25">
      <c r="B247"/>
      <c r="C247"/>
      <c r="D247"/>
      <c r="E247"/>
      <c r="F247"/>
      <c r="G247"/>
      <c r="H247"/>
      <c r="I247"/>
      <c r="J247"/>
      <c r="K247"/>
      <c r="L247"/>
      <c r="M247"/>
    </row>
    <row r="248" spans="2:13" x14ac:dyDescent="0.25">
      <c r="B248"/>
      <c r="C248"/>
      <c r="D248"/>
      <c r="E248"/>
      <c r="F248"/>
      <c r="G248"/>
      <c r="H248"/>
      <c r="I248"/>
      <c r="J248"/>
      <c r="K248"/>
      <c r="L248"/>
      <c r="M248"/>
    </row>
    <row r="249" spans="2:13" x14ac:dyDescent="0.25">
      <c r="B249"/>
      <c r="C249"/>
      <c r="D249"/>
      <c r="E249"/>
      <c r="F249"/>
      <c r="G249"/>
      <c r="H249"/>
      <c r="I249"/>
      <c r="J249"/>
      <c r="K249"/>
      <c r="L249"/>
      <c r="M249"/>
    </row>
    <row r="250" spans="2:13" x14ac:dyDescent="0.25">
      <c r="B250"/>
      <c r="C250"/>
      <c r="D250"/>
      <c r="E250"/>
      <c r="F250"/>
      <c r="G250"/>
      <c r="H250"/>
      <c r="I250"/>
      <c r="J250"/>
      <c r="K250"/>
      <c r="L250"/>
      <c r="M250"/>
    </row>
    <row r="251" spans="2:13" x14ac:dyDescent="0.25">
      <c r="B251"/>
      <c r="C251"/>
      <c r="D251"/>
      <c r="E251"/>
      <c r="F251"/>
      <c r="G251"/>
      <c r="H251"/>
      <c r="I251"/>
      <c r="J251"/>
      <c r="K251"/>
      <c r="L251"/>
      <c r="M251"/>
    </row>
    <row r="252" spans="2:13" x14ac:dyDescent="0.25">
      <c r="B252"/>
      <c r="C252"/>
      <c r="D252"/>
      <c r="E252"/>
      <c r="F252"/>
      <c r="G252"/>
      <c r="H252"/>
      <c r="I252"/>
      <c r="J252"/>
      <c r="K252"/>
      <c r="L252"/>
      <c r="M252"/>
    </row>
    <row r="253" spans="2:13" x14ac:dyDescent="0.25">
      <c r="B253"/>
      <c r="C253"/>
      <c r="D253"/>
      <c r="E253"/>
      <c r="F253"/>
      <c r="G253"/>
      <c r="H253"/>
      <c r="I253"/>
      <c r="J253"/>
      <c r="K253"/>
      <c r="L253"/>
      <c r="M253"/>
    </row>
    <row r="254" spans="2:13" x14ac:dyDescent="0.25">
      <c r="B254"/>
      <c r="C254"/>
      <c r="D254"/>
      <c r="E254"/>
      <c r="F254"/>
      <c r="G254"/>
      <c r="H254"/>
      <c r="I254"/>
      <c r="J254"/>
      <c r="K254"/>
      <c r="L254"/>
      <c r="M254"/>
    </row>
    <row r="255" spans="2:13" x14ac:dyDescent="0.25">
      <c r="B255"/>
      <c r="C255"/>
      <c r="D255"/>
      <c r="E255"/>
      <c r="F255"/>
      <c r="G255"/>
      <c r="H255"/>
      <c r="I255"/>
      <c r="J255"/>
      <c r="K255"/>
      <c r="L255"/>
      <c r="M255"/>
    </row>
    <row r="256" spans="2:13" x14ac:dyDescent="0.25">
      <c r="B256"/>
      <c r="C256"/>
      <c r="D256"/>
      <c r="E256"/>
      <c r="F256"/>
      <c r="G256"/>
      <c r="H256"/>
      <c r="I256"/>
      <c r="J256"/>
      <c r="K256"/>
      <c r="L256"/>
      <c r="M256"/>
    </row>
    <row r="257" spans="2:13" x14ac:dyDescent="0.25">
      <c r="B257"/>
      <c r="C257"/>
      <c r="D257"/>
      <c r="E257"/>
      <c r="F257"/>
      <c r="G257"/>
      <c r="H257"/>
      <c r="I257"/>
      <c r="J257"/>
      <c r="K257"/>
      <c r="L257"/>
      <c r="M257"/>
    </row>
    <row r="258" spans="2:13" x14ac:dyDescent="0.25">
      <c r="B258"/>
      <c r="C258"/>
      <c r="D258"/>
      <c r="E258"/>
      <c r="F258"/>
      <c r="G258"/>
      <c r="H258"/>
      <c r="I258"/>
      <c r="J258"/>
      <c r="K258"/>
      <c r="L258"/>
      <c r="M258"/>
    </row>
    <row r="259" spans="2:13" x14ac:dyDescent="0.25">
      <c r="B259"/>
      <c r="C259"/>
      <c r="D259"/>
      <c r="E259"/>
      <c r="F259"/>
      <c r="G259"/>
      <c r="H259"/>
      <c r="I259"/>
      <c r="J259"/>
      <c r="K259"/>
      <c r="L259"/>
      <c r="M259"/>
    </row>
    <row r="260" spans="2:13" x14ac:dyDescent="0.25">
      <c r="B260"/>
      <c r="C260"/>
      <c r="D260"/>
      <c r="E260"/>
      <c r="F260"/>
      <c r="G260"/>
      <c r="H260"/>
      <c r="I260"/>
      <c r="J260"/>
      <c r="K260"/>
      <c r="L260"/>
      <c r="M260"/>
    </row>
    <row r="261" spans="2:13" x14ac:dyDescent="0.25">
      <c r="B261"/>
      <c r="C261"/>
      <c r="D261"/>
      <c r="E261"/>
      <c r="F261"/>
      <c r="G261"/>
      <c r="H261"/>
      <c r="I261"/>
      <c r="J261"/>
      <c r="K261"/>
      <c r="L261"/>
      <c r="M261"/>
    </row>
    <row r="262" spans="2:13" x14ac:dyDescent="0.25">
      <c r="B262"/>
      <c r="C262"/>
      <c r="D262"/>
      <c r="E262"/>
      <c r="F262"/>
      <c r="G262"/>
      <c r="H262"/>
      <c r="I262"/>
      <c r="J262"/>
      <c r="K262"/>
      <c r="L262"/>
      <c r="M262"/>
    </row>
    <row r="263" spans="2:13" x14ac:dyDescent="0.25">
      <c r="B263"/>
      <c r="C263"/>
      <c r="D263"/>
      <c r="E263"/>
      <c r="F263"/>
      <c r="G263"/>
      <c r="H263"/>
      <c r="I263"/>
      <c r="J263"/>
      <c r="K263"/>
      <c r="L263"/>
      <c r="M263"/>
    </row>
    <row r="264" spans="2:13" x14ac:dyDescent="0.25">
      <c r="B264"/>
      <c r="C264"/>
      <c r="D264"/>
      <c r="E264"/>
      <c r="F264"/>
      <c r="G264"/>
      <c r="H264"/>
      <c r="I264"/>
      <c r="J264"/>
      <c r="K264"/>
      <c r="L264"/>
      <c r="M264"/>
    </row>
    <row r="265" spans="2:13" x14ac:dyDescent="0.25">
      <c r="B265"/>
      <c r="C265"/>
      <c r="D265"/>
      <c r="E265"/>
      <c r="F265"/>
      <c r="G265"/>
      <c r="H265"/>
      <c r="I265"/>
      <c r="J265"/>
      <c r="K265"/>
      <c r="L265"/>
      <c r="M265"/>
    </row>
    <row r="266" spans="2:13" x14ac:dyDescent="0.25">
      <c r="B266"/>
      <c r="C266"/>
      <c r="D266"/>
      <c r="E266"/>
      <c r="F266"/>
      <c r="G266"/>
      <c r="H266"/>
      <c r="I266"/>
      <c r="J266"/>
      <c r="K266"/>
      <c r="L266"/>
      <c r="M266"/>
    </row>
    <row r="267" spans="2:13" x14ac:dyDescent="0.25">
      <c r="B267"/>
      <c r="C267"/>
      <c r="D267"/>
      <c r="E267"/>
      <c r="F267"/>
      <c r="G267"/>
      <c r="H267"/>
      <c r="I267"/>
      <c r="J267"/>
      <c r="K267"/>
      <c r="L267"/>
      <c r="M267"/>
    </row>
    <row r="268" spans="2:13" x14ac:dyDescent="0.25">
      <c r="B268"/>
      <c r="C268"/>
      <c r="D268"/>
      <c r="E268"/>
      <c r="F268"/>
      <c r="G268"/>
      <c r="H268"/>
      <c r="I268"/>
      <c r="J268"/>
      <c r="K268"/>
      <c r="L268"/>
      <c r="M268"/>
    </row>
    <row r="269" spans="2:13" x14ac:dyDescent="0.25">
      <c r="B269"/>
      <c r="C269"/>
      <c r="D269"/>
      <c r="E269"/>
      <c r="F269"/>
      <c r="G269"/>
      <c r="H269"/>
      <c r="I269"/>
      <c r="J269"/>
      <c r="K269"/>
      <c r="L269"/>
      <c r="M269"/>
    </row>
    <row r="270" spans="2:13" x14ac:dyDescent="0.25">
      <c r="B270"/>
      <c r="C270"/>
      <c r="D270"/>
      <c r="E270"/>
      <c r="F270"/>
      <c r="G270"/>
      <c r="H270"/>
      <c r="I270"/>
      <c r="J270"/>
      <c r="K270"/>
      <c r="L270"/>
      <c r="M270"/>
    </row>
    <row r="271" spans="2:13" x14ac:dyDescent="0.25">
      <c r="B271"/>
      <c r="C271"/>
      <c r="D271"/>
      <c r="E271"/>
      <c r="F271"/>
      <c r="G271"/>
      <c r="H271"/>
      <c r="I271"/>
      <c r="J271"/>
      <c r="K271"/>
      <c r="L271"/>
      <c r="M271"/>
    </row>
    <row r="272" spans="2:13" x14ac:dyDescent="0.25">
      <c r="B272"/>
      <c r="C272"/>
      <c r="D272"/>
      <c r="E272"/>
      <c r="F272"/>
      <c r="G272"/>
      <c r="H272"/>
      <c r="I272"/>
      <c r="J272"/>
      <c r="K272"/>
      <c r="L272"/>
      <c r="M272"/>
    </row>
    <row r="273" spans="2:13" x14ac:dyDescent="0.25">
      <c r="B273"/>
      <c r="C273"/>
      <c r="D273"/>
      <c r="E273"/>
      <c r="F273"/>
      <c r="G273"/>
      <c r="H273"/>
      <c r="I273"/>
      <c r="J273"/>
      <c r="K273"/>
      <c r="L273"/>
      <c r="M273"/>
    </row>
    <row r="274" spans="2:13" x14ac:dyDescent="0.25">
      <c r="B274"/>
      <c r="C274"/>
      <c r="D274"/>
      <c r="E274"/>
      <c r="F274"/>
      <c r="G274"/>
      <c r="H274"/>
      <c r="I274"/>
      <c r="J274"/>
      <c r="K274"/>
      <c r="L274"/>
      <c r="M274"/>
    </row>
    <row r="275" spans="2:13" x14ac:dyDescent="0.25">
      <c r="B275"/>
      <c r="C275"/>
      <c r="D275"/>
      <c r="E275"/>
      <c r="F275"/>
      <c r="G275"/>
      <c r="H275"/>
      <c r="I275"/>
      <c r="J275"/>
      <c r="K275"/>
      <c r="L275"/>
      <c r="M275"/>
    </row>
    <row r="276" spans="2:13" x14ac:dyDescent="0.25">
      <c r="B276"/>
      <c r="C276"/>
      <c r="D276"/>
      <c r="E276"/>
      <c r="F276"/>
      <c r="G276"/>
      <c r="H276"/>
      <c r="I276"/>
      <c r="J276"/>
      <c r="K276"/>
      <c r="L276"/>
      <c r="M276"/>
    </row>
    <row r="277" spans="2:13" x14ac:dyDescent="0.25">
      <c r="B277"/>
      <c r="C277"/>
      <c r="D277"/>
      <c r="E277"/>
      <c r="F277"/>
      <c r="G277"/>
      <c r="H277"/>
      <c r="I277"/>
      <c r="J277"/>
      <c r="K277"/>
      <c r="L277"/>
      <c r="M277"/>
    </row>
    <row r="278" spans="2:13" x14ac:dyDescent="0.25">
      <c r="B278"/>
      <c r="C278"/>
      <c r="D278"/>
      <c r="E278"/>
      <c r="F278"/>
      <c r="G278"/>
      <c r="H278"/>
      <c r="I278"/>
      <c r="J278"/>
      <c r="K278"/>
      <c r="L278"/>
      <c r="M278"/>
    </row>
    <row r="279" spans="2:13" x14ac:dyDescent="0.25">
      <c r="B279"/>
      <c r="C279"/>
      <c r="D279"/>
      <c r="E279"/>
      <c r="F279"/>
      <c r="G279"/>
      <c r="H279"/>
      <c r="I279"/>
      <c r="J279"/>
      <c r="K279"/>
      <c r="L279"/>
      <c r="M279"/>
    </row>
    <row r="280" spans="2:13" x14ac:dyDescent="0.25">
      <c r="B280"/>
      <c r="C280"/>
      <c r="D280"/>
      <c r="E280"/>
      <c r="F280"/>
      <c r="G280"/>
      <c r="H280"/>
      <c r="I280"/>
      <c r="J280"/>
      <c r="K280"/>
      <c r="L280"/>
      <c r="M280"/>
    </row>
    <row r="281" spans="2:13" x14ac:dyDescent="0.25">
      <c r="B281"/>
      <c r="C281"/>
      <c r="D281"/>
      <c r="E281"/>
      <c r="F281"/>
      <c r="G281"/>
      <c r="H281"/>
      <c r="I281"/>
      <c r="J281"/>
      <c r="K281"/>
      <c r="L281"/>
      <c r="M281"/>
    </row>
    <row r="282" spans="2:13" x14ac:dyDescent="0.25">
      <c r="B282"/>
      <c r="C282"/>
      <c r="D282"/>
      <c r="E282"/>
      <c r="F282"/>
      <c r="G282"/>
      <c r="H282"/>
      <c r="I282"/>
      <c r="J282"/>
      <c r="K282"/>
      <c r="L282"/>
      <c r="M282"/>
    </row>
    <row r="283" spans="2:13" x14ac:dyDescent="0.25">
      <c r="B283"/>
      <c r="C283"/>
      <c r="D283"/>
      <c r="E283"/>
      <c r="F283"/>
      <c r="G283"/>
      <c r="H283"/>
      <c r="I283"/>
      <c r="J283"/>
      <c r="K283"/>
      <c r="L283"/>
      <c r="M283"/>
    </row>
    <row r="284" spans="2:13" x14ac:dyDescent="0.25">
      <c r="B284"/>
      <c r="C284"/>
      <c r="D284"/>
      <c r="E284"/>
      <c r="F284"/>
      <c r="G284"/>
      <c r="H284"/>
      <c r="I284"/>
      <c r="J284"/>
      <c r="K284"/>
      <c r="L284"/>
      <c r="M284"/>
    </row>
    <row r="285" spans="2:13" x14ac:dyDescent="0.25">
      <c r="B285"/>
      <c r="C285"/>
      <c r="D285"/>
      <c r="E285"/>
      <c r="F285"/>
      <c r="G285"/>
      <c r="H285"/>
      <c r="I285"/>
      <c r="J285"/>
      <c r="K285"/>
      <c r="L285"/>
      <c r="M285"/>
    </row>
    <row r="286" spans="2:13" x14ac:dyDescent="0.25">
      <c r="B286"/>
      <c r="C286"/>
      <c r="D286"/>
      <c r="E286"/>
      <c r="F286"/>
      <c r="G286"/>
      <c r="H286"/>
      <c r="I286"/>
      <c r="J286"/>
      <c r="K286"/>
      <c r="L286"/>
      <c r="M286"/>
    </row>
    <row r="287" spans="2:13" x14ac:dyDescent="0.25">
      <c r="B287"/>
      <c r="C287"/>
      <c r="D287"/>
      <c r="E287"/>
      <c r="F287"/>
      <c r="G287"/>
      <c r="H287"/>
      <c r="I287"/>
      <c r="J287"/>
      <c r="K287"/>
      <c r="L287"/>
      <c r="M287"/>
    </row>
    <row r="288" spans="2:13" x14ac:dyDescent="0.25">
      <c r="B288"/>
      <c r="C288"/>
      <c r="D288"/>
      <c r="E288"/>
      <c r="F288"/>
      <c r="G288"/>
      <c r="H288"/>
      <c r="I288"/>
      <c r="J288"/>
      <c r="K288"/>
      <c r="L288"/>
      <c r="M288"/>
    </row>
    <row r="289" spans="2:13" x14ac:dyDescent="0.25">
      <c r="B289"/>
      <c r="C289"/>
      <c r="D289"/>
      <c r="E289"/>
      <c r="F289"/>
      <c r="G289"/>
      <c r="H289"/>
      <c r="I289"/>
      <c r="J289"/>
      <c r="K289"/>
      <c r="L289"/>
      <c r="M289"/>
    </row>
    <row r="290" spans="2:13" x14ac:dyDescent="0.25">
      <c r="B290"/>
      <c r="C290"/>
      <c r="D290"/>
      <c r="E290"/>
      <c r="F290"/>
      <c r="G290"/>
      <c r="H290"/>
      <c r="I290"/>
      <c r="J290"/>
      <c r="K290"/>
      <c r="L290"/>
      <c r="M290"/>
    </row>
    <row r="291" spans="2:13" x14ac:dyDescent="0.25">
      <c r="B291"/>
      <c r="C291"/>
      <c r="D291"/>
      <c r="E291"/>
      <c r="F291"/>
      <c r="G291"/>
      <c r="H291"/>
      <c r="I291"/>
      <c r="J291"/>
      <c r="K291"/>
      <c r="L291"/>
      <c r="M291"/>
    </row>
    <row r="292" spans="2:13" x14ac:dyDescent="0.25">
      <c r="B292"/>
      <c r="C292"/>
      <c r="D292"/>
      <c r="E292"/>
      <c r="F292"/>
      <c r="G292"/>
      <c r="H292"/>
      <c r="I292"/>
      <c r="J292"/>
      <c r="K292"/>
      <c r="L292"/>
      <c r="M292"/>
    </row>
    <row r="293" spans="2:13" x14ac:dyDescent="0.25">
      <c r="B293"/>
      <c r="C293"/>
      <c r="D293"/>
      <c r="E293"/>
      <c r="F293"/>
      <c r="G293"/>
      <c r="H293"/>
      <c r="I293"/>
      <c r="J293"/>
      <c r="K293"/>
      <c r="L293"/>
      <c r="M293"/>
    </row>
    <row r="294" spans="2:13" x14ac:dyDescent="0.25">
      <c r="B294"/>
      <c r="C294"/>
      <c r="D294"/>
      <c r="E294"/>
      <c r="F294"/>
      <c r="G294"/>
      <c r="H294"/>
      <c r="I294"/>
      <c r="J294"/>
      <c r="K294"/>
      <c r="L294"/>
      <c r="M294"/>
    </row>
    <row r="295" spans="2:13" x14ac:dyDescent="0.25">
      <c r="B295"/>
      <c r="C295"/>
      <c r="D295"/>
      <c r="E295"/>
      <c r="F295"/>
      <c r="G295"/>
      <c r="H295"/>
      <c r="I295"/>
      <c r="J295"/>
      <c r="K295"/>
      <c r="L295"/>
      <c r="M295"/>
    </row>
    <row r="296" spans="2:13" x14ac:dyDescent="0.25">
      <c r="B296"/>
      <c r="C296"/>
      <c r="D296"/>
      <c r="E296"/>
      <c r="F296"/>
      <c r="G296"/>
      <c r="H296"/>
      <c r="I296"/>
      <c r="J296"/>
      <c r="K296"/>
      <c r="L296"/>
      <c r="M296"/>
    </row>
    <row r="297" spans="2:13" x14ac:dyDescent="0.25">
      <c r="B297"/>
      <c r="C297"/>
      <c r="D297"/>
      <c r="E297"/>
      <c r="F297"/>
      <c r="G297"/>
      <c r="H297"/>
      <c r="I297"/>
      <c r="J297"/>
      <c r="K297"/>
      <c r="L297"/>
      <c r="M297"/>
    </row>
    <row r="298" spans="2:13" x14ac:dyDescent="0.25">
      <c r="B298"/>
      <c r="C298"/>
      <c r="D298"/>
      <c r="E298"/>
      <c r="F298"/>
      <c r="G298"/>
      <c r="H298"/>
      <c r="I298"/>
      <c r="J298"/>
      <c r="K298"/>
      <c r="L298"/>
      <c r="M298"/>
    </row>
    <row r="299" spans="2:13" x14ac:dyDescent="0.25">
      <c r="B299"/>
      <c r="C299"/>
      <c r="D299"/>
      <c r="E299"/>
      <c r="F299"/>
      <c r="G299"/>
      <c r="H299"/>
      <c r="I299"/>
      <c r="J299"/>
      <c r="K299"/>
      <c r="L299"/>
      <c r="M299"/>
    </row>
    <row r="300" spans="2:13" x14ac:dyDescent="0.25">
      <c r="B300"/>
      <c r="C300"/>
      <c r="D300"/>
      <c r="E300"/>
      <c r="F300"/>
      <c r="G300"/>
      <c r="H300"/>
      <c r="I300"/>
      <c r="J300"/>
      <c r="K300"/>
      <c r="L300"/>
      <c r="M300"/>
    </row>
    <row r="301" spans="2:13" x14ac:dyDescent="0.25">
      <c r="B301"/>
      <c r="C301"/>
      <c r="D301"/>
      <c r="E301"/>
      <c r="F301"/>
      <c r="G301"/>
      <c r="H301"/>
      <c r="I301"/>
      <c r="J301"/>
      <c r="K301"/>
      <c r="L301"/>
      <c r="M301"/>
    </row>
    <row r="302" spans="2:13" x14ac:dyDescent="0.25">
      <c r="B302"/>
      <c r="C302"/>
      <c r="D302"/>
      <c r="E302"/>
      <c r="F302"/>
      <c r="G302"/>
      <c r="H302"/>
      <c r="I302"/>
      <c r="J302"/>
      <c r="K302"/>
      <c r="L302"/>
      <c r="M302"/>
    </row>
    <row r="303" spans="2:13" x14ac:dyDescent="0.25">
      <c r="B303"/>
      <c r="C303"/>
      <c r="D303"/>
      <c r="E303"/>
      <c r="F303"/>
      <c r="G303"/>
      <c r="H303"/>
      <c r="I303"/>
      <c r="J303"/>
      <c r="K303"/>
      <c r="L303"/>
      <c r="M303"/>
    </row>
    <row r="304" spans="2:13" x14ac:dyDescent="0.25">
      <c r="B304"/>
      <c r="C304"/>
      <c r="D304"/>
      <c r="E304"/>
      <c r="F304"/>
      <c r="G304"/>
      <c r="H304"/>
      <c r="I304"/>
      <c r="J304"/>
      <c r="K304"/>
      <c r="L304"/>
      <c r="M304"/>
    </row>
    <row r="305" spans="2:13" x14ac:dyDescent="0.25">
      <c r="B305"/>
      <c r="C305"/>
      <c r="D305"/>
      <c r="E305"/>
      <c r="F305"/>
      <c r="G305"/>
      <c r="H305"/>
      <c r="I305"/>
      <c r="J305"/>
      <c r="K305"/>
      <c r="L305"/>
      <c r="M305"/>
    </row>
    <row r="306" spans="2:13" x14ac:dyDescent="0.25">
      <c r="B306"/>
      <c r="C306"/>
      <c r="D306"/>
      <c r="E306"/>
      <c r="F306"/>
      <c r="G306"/>
      <c r="H306"/>
      <c r="I306"/>
      <c r="J306"/>
      <c r="K306"/>
      <c r="L306"/>
      <c r="M306"/>
    </row>
    <row r="307" spans="2:13" x14ac:dyDescent="0.25">
      <c r="B307"/>
      <c r="C307"/>
      <c r="D307"/>
      <c r="E307"/>
      <c r="F307"/>
      <c r="G307"/>
      <c r="H307"/>
      <c r="I307"/>
      <c r="J307"/>
      <c r="K307"/>
      <c r="L307"/>
      <c r="M307"/>
    </row>
    <row r="308" spans="2:13" x14ac:dyDescent="0.25">
      <c r="B308"/>
      <c r="C308"/>
      <c r="D308"/>
      <c r="E308"/>
      <c r="F308"/>
      <c r="G308"/>
      <c r="H308"/>
      <c r="I308"/>
      <c r="J308"/>
      <c r="K308"/>
      <c r="L308"/>
      <c r="M308"/>
    </row>
    <row r="309" spans="2:13" x14ac:dyDescent="0.25">
      <c r="B309"/>
      <c r="C309"/>
      <c r="D309"/>
      <c r="E309"/>
      <c r="F309"/>
      <c r="G309"/>
      <c r="H309"/>
      <c r="I309"/>
      <c r="J309"/>
      <c r="K309"/>
      <c r="L309"/>
      <c r="M309"/>
    </row>
    <row r="310" spans="2:13" x14ac:dyDescent="0.25">
      <c r="B310"/>
      <c r="C310"/>
      <c r="D310"/>
      <c r="E310"/>
      <c r="F310"/>
      <c r="G310"/>
      <c r="H310"/>
      <c r="I310"/>
      <c r="J310"/>
      <c r="K310"/>
      <c r="L310"/>
      <c r="M310"/>
    </row>
    <row r="311" spans="2:13" x14ac:dyDescent="0.25">
      <c r="B311"/>
      <c r="C311"/>
      <c r="D311"/>
      <c r="E311"/>
      <c r="F311"/>
      <c r="G311"/>
      <c r="H311"/>
      <c r="I311"/>
      <c r="J311"/>
      <c r="K311"/>
      <c r="L311"/>
      <c r="M311"/>
    </row>
    <row r="312" spans="2:13" x14ac:dyDescent="0.25">
      <c r="B312"/>
      <c r="C312"/>
      <c r="D312"/>
      <c r="E312"/>
      <c r="F312"/>
      <c r="G312"/>
      <c r="H312"/>
      <c r="I312"/>
      <c r="J312"/>
      <c r="K312"/>
      <c r="L312"/>
      <c r="M312"/>
    </row>
    <row r="313" spans="2:13" x14ac:dyDescent="0.25">
      <c r="B313"/>
      <c r="C313"/>
      <c r="D313"/>
      <c r="E313"/>
      <c r="F313"/>
      <c r="G313"/>
      <c r="H313"/>
      <c r="I313"/>
      <c r="J313"/>
      <c r="K313"/>
      <c r="L313"/>
      <c r="M313"/>
    </row>
    <row r="314" spans="2:13" x14ac:dyDescent="0.25">
      <c r="B314"/>
      <c r="C314"/>
      <c r="D314"/>
      <c r="E314"/>
      <c r="F314"/>
      <c r="G314"/>
      <c r="H314"/>
      <c r="I314"/>
      <c r="J314"/>
      <c r="K314"/>
      <c r="L314"/>
      <c r="M314"/>
    </row>
    <row r="315" spans="2:13" x14ac:dyDescent="0.25">
      <c r="B315"/>
      <c r="C315"/>
      <c r="D315"/>
      <c r="E315"/>
      <c r="F315"/>
      <c r="G315"/>
      <c r="H315"/>
      <c r="I315"/>
      <c r="J315"/>
      <c r="K315"/>
      <c r="L315"/>
      <c r="M315"/>
    </row>
    <row r="316" spans="2:13" x14ac:dyDescent="0.25">
      <c r="B316"/>
      <c r="C316"/>
      <c r="D316"/>
      <c r="E316"/>
      <c r="F316"/>
      <c r="G316"/>
      <c r="H316"/>
      <c r="I316"/>
      <c r="J316"/>
      <c r="K316"/>
      <c r="L316"/>
      <c r="M316"/>
    </row>
    <row r="317" spans="2:13" x14ac:dyDescent="0.25">
      <c r="B317"/>
      <c r="C317"/>
      <c r="D317"/>
      <c r="E317"/>
      <c r="F317"/>
      <c r="G317"/>
      <c r="H317"/>
      <c r="I317"/>
      <c r="J317"/>
      <c r="K317"/>
      <c r="L317"/>
      <c r="M317"/>
    </row>
    <row r="318" spans="2:13" x14ac:dyDescent="0.25">
      <c r="B318"/>
      <c r="C318"/>
      <c r="D318"/>
      <c r="E318"/>
      <c r="F318"/>
      <c r="G318"/>
      <c r="H318"/>
      <c r="I318"/>
      <c r="J318"/>
      <c r="K318"/>
      <c r="L318"/>
      <c r="M318"/>
    </row>
    <row r="319" spans="2:13" x14ac:dyDescent="0.25">
      <c r="B319"/>
      <c r="C319"/>
      <c r="D319"/>
      <c r="E319"/>
      <c r="F319"/>
      <c r="G319"/>
      <c r="H319"/>
      <c r="I319"/>
      <c r="J319"/>
      <c r="K319"/>
      <c r="L319"/>
      <c r="M319"/>
    </row>
    <row r="320" spans="2:13" x14ac:dyDescent="0.25">
      <c r="B320"/>
      <c r="C320"/>
      <c r="D320"/>
      <c r="E320"/>
      <c r="F320"/>
      <c r="G320"/>
      <c r="H320"/>
      <c r="I320"/>
      <c r="J320"/>
      <c r="K320"/>
      <c r="L320"/>
      <c r="M320"/>
    </row>
    <row r="321" spans="2:13" x14ac:dyDescent="0.25">
      <c r="B321"/>
      <c r="C321"/>
      <c r="D321"/>
      <c r="E321"/>
      <c r="F321"/>
      <c r="G321"/>
      <c r="H321"/>
      <c r="I321"/>
      <c r="J321"/>
      <c r="K321"/>
      <c r="L321"/>
      <c r="M321"/>
    </row>
    <row r="322" spans="2:13" x14ac:dyDescent="0.25">
      <c r="B322"/>
      <c r="C322"/>
      <c r="D322"/>
      <c r="E322"/>
      <c r="F322"/>
      <c r="G322"/>
      <c r="H322"/>
      <c r="I322"/>
      <c r="J322"/>
      <c r="K322"/>
      <c r="L322"/>
      <c r="M322"/>
    </row>
    <row r="323" spans="2:13" x14ac:dyDescent="0.25">
      <c r="B323"/>
      <c r="C323"/>
      <c r="D323"/>
      <c r="E323"/>
      <c r="F323"/>
      <c r="G323"/>
      <c r="H323"/>
      <c r="I323"/>
      <c r="J323"/>
      <c r="K323"/>
      <c r="L323"/>
      <c r="M323"/>
    </row>
    <row r="324" spans="2:13" x14ac:dyDescent="0.25">
      <c r="B324"/>
      <c r="C324"/>
      <c r="D324"/>
      <c r="E324"/>
      <c r="F324"/>
      <c r="G324"/>
      <c r="H324"/>
      <c r="I324"/>
      <c r="J324"/>
      <c r="K324"/>
      <c r="L324"/>
      <c r="M324"/>
    </row>
    <row r="325" spans="2:13" x14ac:dyDescent="0.25">
      <c r="B325"/>
      <c r="C325"/>
      <c r="D325"/>
      <c r="E325"/>
      <c r="F325"/>
      <c r="G325"/>
      <c r="H325"/>
      <c r="I325"/>
      <c r="J325"/>
      <c r="K325"/>
      <c r="L325"/>
      <c r="M325"/>
    </row>
    <row r="326" spans="2:13" x14ac:dyDescent="0.25">
      <c r="B326"/>
      <c r="C326"/>
      <c r="D326"/>
      <c r="E326"/>
      <c r="F326"/>
      <c r="G326"/>
      <c r="H326"/>
      <c r="I326"/>
      <c r="J326"/>
      <c r="K326"/>
      <c r="L326"/>
      <c r="M326"/>
    </row>
    <row r="327" spans="2:13" x14ac:dyDescent="0.25">
      <c r="B327"/>
      <c r="C327"/>
      <c r="D327"/>
      <c r="E327"/>
      <c r="F327"/>
      <c r="G327"/>
      <c r="H327"/>
      <c r="I327"/>
      <c r="J327"/>
      <c r="K327"/>
      <c r="L327"/>
      <c r="M327"/>
    </row>
    <row r="328" spans="2:13" x14ac:dyDescent="0.25">
      <c r="B328"/>
      <c r="C328"/>
      <c r="D328"/>
      <c r="E328"/>
      <c r="F328"/>
      <c r="G328"/>
      <c r="H328"/>
      <c r="I328"/>
      <c r="J328"/>
      <c r="K328"/>
      <c r="L328"/>
      <c r="M328"/>
    </row>
    <row r="329" spans="2:13" x14ac:dyDescent="0.25">
      <c r="B329"/>
      <c r="C329"/>
      <c r="D329"/>
      <c r="E329"/>
      <c r="F329"/>
      <c r="G329"/>
      <c r="H329"/>
      <c r="I329"/>
      <c r="J329"/>
      <c r="K329"/>
      <c r="L329"/>
      <c r="M329"/>
    </row>
    <row r="330" spans="2:13" x14ac:dyDescent="0.25">
      <c r="B330"/>
      <c r="C330"/>
      <c r="D330"/>
      <c r="E330"/>
      <c r="F330"/>
      <c r="G330"/>
      <c r="H330"/>
      <c r="I330"/>
      <c r="J330"/>
      <c r="K330"/>
      <c r="L330"/>
      <c r="M330"/>
    </row>
    <row r="331" spans="2:13" x14ac:dyDescent="0.25">
      <c r="B331"/>
      <c r="C331"/>
      <c r="D331"/>
      <c r="E331"/>
      <c r="F331"/>
      <c r="G331"/>
      <c r="H331"/>
      <c r="I331"/>
      <c r="J331"/>
      <c r="K331"/>
      <c r="L331"/>
      <c r="M331"/>
    </row>
    <row r="332" spans="2:13" x14ac:dyDescent="0.25">
      <c r="B332"/>
      <c r="C332"/>
      <c r="D332"/>
      <c r="E332"/>
      <c r="F332"/>
      <c r="G332"/>
      <c r="H332"/>
      <c r="I332"/>
      <c r="J332"/>
      <c r="K332"/>
      <c r="L332"/>
      <c r="M332"/>
    </row>
    <row r="333" spans="2:13" x14ac:dyDescent="0.25">
      <c r="B333"/>
      <c r="C333"/>
      <c r="D333"/>
      <c r="E333"/>
      <c r="F333"/>
      <c r="G333"/>
      <c r="H333"/>
      <c r="I333"/>
      <c r="J333"/>
      <c r="K333"/>
      <c r="L333"/>
      <c r="M333"/>
    </row>
    <row r="334" spans="2:13" x14ac:dyDescent="0.25">
      <c r="B334"/>
      <c r="C334"/>
      <c r="D334"/>
      <c r="E334"/>
      <c r="F334"/>
      <c r="G334"/>
      <c r="H334"/>
      <c r="I334"/>
      <c r="J334"/>
      <c r="K334"/>
      <c r="L334"/>
      <c r="M334"/>
    </row>
    <row r="335" spans="2:13" x14ac:dyDescent="0.25">
      <c r="B335"/>
      <c r="C335"/>
      <c r="D335"/>
      <c r="E335"/>
      <c r="F335"/>
      <c r="G335"/>
      <c r="H335"/>
      <c r="I335"/>
      <c r="J335"/>
      <c r="K335"/>
      <c r="L335"/>
      <c r="M335"/>
    </row>
    <row r="336" spans="2:13" x14ac:dyDescent="0.25">
      <c r="B336"/>
      <c r="C336"/>
      <c r="D336"/>
      <c r="E336"/>
      <c r="F336"/>
      <c r="G336"/>
      <c r="H336"/>
      <c r="I336"/>
      <c r="J336"/>
      <c r="K336"/>
      <c r="L336"/>
      <c r="M336"/>
    </row>
    <row r="337" spans="2:13" x14ac:dyDescent="0.25">
      <c r="B337"/>
      <c r="C337"/>
      <c r="D337"/>
      <c r="E337"/>
      <c r="F337"/>
      <c r="G337"/>
      <c r="H337"/>
      <c r="I337"/>
      <c r="J337"/>
      <c r="K337"/>
      <c r="L337"/>
      <c r="M337"/>
    </row>
    <row r="338" spans="2:13" x14ac:dyDescent="0.25">
      <c r="B338"/>
      <c r="C338"/>
      <c r="D338"/>
      <c r="E338"/>
      <c r="F338"/>
      <c r="G338"/>
      <c r="H338"/>
      <c r="I338"/>
      <c r="J338"/>
      <c r="K338"/>
      <c r="L338"/>
      <c r="M338"/>
    </row>
    <row r="339" spans="2:13" x14ac:dyDescent="0.25">
      <c r="B339"/>
      <c r="C339"/>
      <c r="D339"/>
      <c r="E339"/>
      <c r="F339"/>
      <c r="G339"/>
      <c r="H339"/>
      <c r="I339"/>
      <c r="J339"/>
      <c r="K339"/>
      <c r="L339"/>
      <c r="M339"/>
    </row>
    <row r="340" spans="2:13" x14ac:dyDescent="0.25">
      <c r="B340"/>
      <c r="C340"/>
      <c r="D340"/>
      <c r="E340"/>
      <c r="F340"/>
      <c r="G340"/>
      <c r="H340"/>
      <c r="I340"/>
      <c r="J340"/>
      <c r="K340"/>
      <c r="L340"/>
      <c r="M340"/>
    </row>
    <row r="341" spans="2:13" x14ac:dyDescent="0.25">
      <c r="B341"/>
      <c r="C341"/>
      <c r="D341"/>
      <c r="E341"/>
      <c r="F341"/>
      <c r="G341"/>
      <c r="H341"/>
      <c r="I341"/>
      <c r="J341"/>
      <c r="K341"/>
      <c r="L341"/>
      <c r="M341"/>
    </row>
    <row r="342" spans="2:13" x14ac:dyDescent="0.25">
      <c r="B342"/>
      <c r="C342"/>
      <c r="D342"/>
      <c r="E342"/>
      <c r="F342"/>
      <c r="G342"/>
      <c r="H342"/>
      <c r="I342"/>
      <c r="J342"/>
      <c r="K342"/>
      <c r="L342"/>
      <c r="M342"/>
    </row>
    <row r="343" spans="2:13" x14ac:dyDescent="0.25">
      <c r="B343"/>
      <c r="C343"/>
      <c r="D343"/>
      <c r="E343"/>
      <c r="F343"/>
      <c r="G343"/>
      <c r="H343"/>
      <c r="I343"/>
      <c r="J343"/>
      <c r="K343"/>
      <c r="L343"/>
      <c r="M343"/>
    </row>
    <row r="344" spans="2:13" x14ac:dyDescent="0.25">
      <c r="B344"/>
      <c r="C344"/>
      <c r="D344"/>
      <c r="E344"/>
      <c r="F344"/>
      <c r="G344"/>
      <c r="H344"/>
      <c r="I344"/>
      <c r="J344"/>
      <c r="K344"/>
      <c r="L344"/>
      <c r="M344"/>
    </row>
    <row r="345" spans="2:13" x14ac:dyDescent="0.25">
      <c r="B345"/>
      <c r="C345"/>
      <c r="D345"/>
      <c r="E345"/>
      <c r="F345"/>
      <c r="G345"/>
      <c r="H345"/>
      <c r="I345"/>
      <c r="J345"/>
      <c r="K345"/>
      <c r="L345"/>
      <c r="M345"/>
    </row>
    <row r="346" spans="2:13" x14ac:dyDescent="0.25">
      <c r="B346"/>
      <c r="C346"/>
      <c r="D346"/>
      <c r="E346"/>
      <c r="F346"/>
      <c r="G346"/>
      <c r="H346"/>
      <c r="I346"/>
      <c r="J346"/>
      <c r="K346"/>
      <c r="L346"/>
      <c r="M346"/>
    </row>
    <row r="347" spans="2:13" x14ac:dyDescent="0.25">
      <c r="B347"/>
      <c r="C347"/>
      <c r="D347"/>
      <c r="E347"/>
      <c r="F347"/>
      <c r="G347"/>
      <c r="H347"/>
      <c r="I347"/>
      <c r="J347"/>
      <c r="K347"/>
      <c r="L347"/>
      <c r="M347"/>
    </row>
    <row r="348" spans="2:13" x14ac:dyDescent="0.25">
      <c r="B348"/>
      <c r="C348"/>
      <c r="D348"/>
      <c r="E348"/>
      <c r="F348"/>
      <c r="G348"/>
      <c r="H348"/>
      <c r="I348"/>
      <c r="J348"/>
      <c r="K348"/>
      <c r="L348"/>
      <c r="M348"/>
    </row>
    <row r="349" spans="2:13" x14ac:dyDescent="0.25">
      <c r="B349"/>
      <c r="C349"/>
      <c r="D349"/>
      <c r="E349"/>
      <c r="F349"/>
      <c r="G349"/>
      <c r="H349"/>
      <c r="I349"/>
      <c r="J349"/>
      <c r="K349"/>
      <c r="L349"/>
      <c r="M349"/>
    </row>
    <row r="350" spans="2:13" x14ac:dyDescent="0.25">
      <c r="B350"/>
      <c r="C350"/>
      <c r="D350"/>
      <c r="E350"/>
      <c r="F350"/>
      <c r="G350"/>
      <c r="H350"/>
      <c r="I350"/>
      <c r="J350"/>
      <c r="K350"/>
      <c r="L350"/>
      <c r="M350"/>
    </row>
    <row r="351" spans="2:13" x14ac:dyDescent="0.25">
      <c r="B351"/>
      <c r="C351"/>
      <c r="D351"/>
      <c r="E351"/>
      <c r="F351"/>
      <c r="G351"/>
      <c r="H351"/>
      <c r="I351"/>
      <c r="J351"/>
      <c r="K351"/>
      <c r="L351"/>
      <c r="M351"/>
    </row>
    <row r="352" spans="2:13" x14ac:dyDescent="0.25">
      <c r="B352"/>
      <c r="C352"/>
      <c r="D352"/>
      <c r="E352"/>
      <c r="F352"/>
      <c r="G352"/>
      <c r="H352"/>
      <c r="I352"/>
      <c r="J352"/>
      <c r="K352"/>
      <c r="L352"/>
      <c r="M352"/>
    </row>
    <row r="353" spans="2:13" x14ac:dyDescent="0.25">
      <c r="B353"/>
      <c r="C353"/>
      <c r="D353"/>
      <c r="E353"/>
      <c r="F353"/>
      <c r="G353"/>
      <c r="H353"/>
      <c r="I353"/>
      <c r="J353"/>
      <c r="K353"/>
      <c r="L353"/>
      <c r="M353"/>
    </row>
    <row r="354" spans="2:13" x14ac:dyDescent="0.25">
      <c r="B354"/>
      <c r="C354"/>
      <c r="D354"/>
      <c r="E354"/>
      <c r="F354"/>
      <c r="G354"/>
      <c r="H354"/>
      <c r="I354"/>
      <c r="J354"/>
      <c r="K354"/>
      <c r="L354"/>
      <c r="M354"/>
    </row>
    <row r="355" spans="2:13" x14ac:dyDescent="0.25">
      <c r="B355"/>
      <c r="C355"/>
      <c r="D355"/>
      <c r="E355"/>
      <c r="F355"/>
      <c r="G355"/>
      <c r="H355"/>
      <c r="I355"/>
      <c r="J355"/>
      <c r="K355"/>
      <c r="L355"/>
      <c r="M355"/>
    </row>
    <row r="356" spans="2:13" x14ac:dyDescent="0.25">
      <c r="B356"/>
      <c r="C356"/>
      <c r="D356"/>
      <c r="E356"/>
      <c r="F356"/>
      <c r="G356"/>
      <c r="H356"/>
      <c r="I356"/>
      <c r="J356"/>
      <c r="K356"/>
      <c r="L356"/>
      <c r="M356"/>
    </row>
    <row r="357" spans="2:13" x14ac:dyDescent="0.25">
      <c r="B357"/>
      <c r="C357"/>
      <c r="D357"/>
      <c r="E357"/>
      <c r="F357"/>
      <c r="G357"/>
      <c r="H357"/>
      <c r="I357"/>
      <c r="J357"/>
      <c r="K357"/>
      <c r="L357"/>
      <c r="M357"/>
    </row>
    <row r="358" spans="2:13" x14ac:dyDescent="0.25">
      <c r="B358"/>
      <c r="C358"/>
      <c r="D358"/>
      <c r="E358"/>
      <c r="F358"/>
      <c r="G358"/>
      <c r="H358"/>
      <c r="I358"/>
      <c r="J358"/>
      <c r="K358"/>
      <c r="L358"/>
      <c r="M358"/>
    </row>
    <row r="359" spans="2:13" x14ac:dyDescent="0.25">
      <c r="B359"/>
      <c r="C359"/>
      <c r="D359"/>
      <c r="E359"/>
      <c r="F359"/>
      <c r="G359"/>
      <c r="H359"/>
      <c r="I359"/>
      <c r="J359"/>
      <c r="K359"/>
      <c r="L359"/>
      <c r="M359"/>
    </row>
    <row r="360" spans="2:13" x14ac:dyDescent="0.25">
      <c r="B360"/>
      <c r="C360"/>
      <c r="D360"/>
      <c r="E360"/>
      <c r="F360"/>
      <c r="G360"/>
      <c r="H360"/>
      <c r="I360"/>
      <c r="J360"/>
      <c r="K360"/>
      <c r="L360"/>
      <c r="M360"/>
    </row>
    <row r="361" spans="2:13" x14ac:dyDescent="0.25">
      <c r="B361"/>
      <c r="C361"/>
      <c r="D361"/>
      <c r="E361"/>
      <c r="F361"/>
      <c r="G361"/>
      <c r="H361"/>
      <c r="I361"/>
      <c r="J361"/>
      <c r="K361"/>
      <c r="L361"/>
      <c r="M361"/>
    </row>
    <row r="362" spans="2:13" x14ac:dyDescent="0.25">
      <c r="B362"/>
      <c r="C362"/>
      <c r="D362"/>
      <c r="E362"/>
      <c r="F362"/>
      <c r="G362"/>
      <c r="H362"/>
      <c r="I362"/>
      <c r="J362"/>
      <c r="K362"/>
      <c r="L362"/>
      <c r="M362"/>
    </row>
    <row r="363" spans="2:13" x14ac:dyDescent="0.25">
      <c r="B363"/>
      <c r="C363"/>
      <c r="D363"/>
      <c r="E363"/>
      <c r="F363"/>
      <c r="G363"/>
      <c r="H363"/>
      <c r="I363"/>
      <c r="J363"/>
      <c r="K363"/>
      <c r="L363"/>
      <c r="M363"/>
    </row>
    <row r="364" spans="2:13" x14ac:dyDescent="0.25">
      <c r="B364"/>
      <c r="C364"/>
      <c r="D364"/>
      <c r="E364"/>
      <c r="F364"/>
      <c r="G364"/>
      <c r="H364"/>
      <c r="I364"/>
      <c r="J364"/>
      <c r="K364"/>
      <c r="L364"/>
      <c r="M364"/>
    </row>
    <row r="365" spans="2:13" x14ac:dyDescent="0.25">
      <c r="B365"/>
      <c r="C365"/>
      <c r="D365"/>
      <c r="E365"/>
      <c r="F365"/>
      <c r="G365"/>
      <c r="H365"/>
      <c r="I365"/>
      <c r="J365"/>
      <c r="K365"/>
      <c r="L365"/>
      <c r="M365"/>
    </row>
    <row r="366" spans="2:13" x14ac:dyDescent="0.25">
      <c r="B366"/>
      <c r="C366"/>
      <c r="D366"/>
      <c r="E366"/>
      <c r="F366"/>
      <c r="G366"/>
      <c r="H366"/>
      <c r="I366"/>
      <c r="J366"/>
      <c r="K366"/>
      <c r="L366"/>
      <c r="M366"/>
    </row>
    <row r="367" spans="2:13" x14ac:dyDescent="0.25">
      <c r="B367"/>
      <c r="C367"/>
      <c r="D367"/>
      <c r="E367"/>
      <c r="F367"/>
      <c r="G367"/>
      <c r="H367"/>
      <c r="I367"/>
      <c r="J367"/>
      <c r="K367"/>
      <c r="L367"/>
      <c r="M367"/>
    </row>
    <row r="368" spans="2:13" x14ac:dyDescent="0.25">
      <c r="B368"/>
      <c r="C368"/>
      <c r="D368"/>
      <c r="E368"/>
      <c r="F368"/>
      <c r="G368"/>
      <c r="H368"/>
      <c r="I368"/>
      <c r="J368"/>
      <c r="K368"/>
      <c r="L368"/>
      <c r="M368"/>
    </row>
    <row r="369" spans="2:13" x14ac:dyDescent="0.25">
      <c r="B369"/>
      <c r="C369"/>
      <c r="D369"/>
      <c r="E369"/>
      <c r="F369"/>
      <c r="G369"/>
      <c r="H369"/>
      <c r="I369"/>
      <c r="J369"/>
      <c r="K369"/>
      <c r="L369"/>
      <c r="M369"/>
    </row>
    <row r="370" spans="2:13" x14ac:dyDescent="0.25">
      <c r="B370"/>
      <c r="C370"/>
      <c r="D370"/>
      <c r="E370"/>
      <c r="F370"/>
      <c r="G370"/>
      <c r="H370"/>
      <c r="I370"/>
      <c r="J370"/>
      <c r="K370"/>
      <c r="L370"/>
      <c r="M370"/>
    </row>
    <row r="371" spans="2:13" x14ac:dyDescent="0.25">
      <c r="B371"/>
      <c r="C371"/>
      <c r="D371"/>
      <c r="E371"/>
      <c r="F371"/>
      <c r="G371"/>
      <c r="H371"/>
      <c r="I371"/>
      <c r="J371"/>
      <c r="K371"/>
      <c r="L371"/>
      <c r="M371"/>
    </row>
    <row r="372" spans="2:13" x14ac:dyDescent="0.25">
      <c r="B372"/>
      <c r="C372"/>
      <c r="D372"/>
      <c r="E372"/>
      <c r="F372"/>
      <c r="G372"/>
      <c r="H372"/>
      <c r="I372"/>
      <c r="J372"/>
      <c r="K372"/>
      <c r="L372"/>
      <c r="M372"/>
    </row>
    <row r="373" spans="2:13" x14ac:dyDescent="0.25">
      <c r="B373"/>
      <c r="C373"/>
      <c r="D373"/>
      <c r="E373"/>
      <c r="F373"/>
      <c r="G373"/>
      <c r="H373"/>
      <c r="I373"/>
      <c r="J373"/>
      <c r="K373"/>
      <c r="L373"/>
      <c r="M373"/>
    </row>
    <row r="374" spans="2:13" x14ac:dyDescent="0.25">
      <c r="B374"/>
      <c r="C374"/>
      <c r="D374"/>
      <c r="E374"/>
      <c r="F374"/>
      <c r="G374"/>
      <c r="H374"/>
      <c r="I374"/>
      <c r="J374"/>
      <c r="K374"/>
      <c r="L374"/>
      <c r="M374"/>
    </row>
    <row r="375" spans="2:13" x14ac:dyDescent="0.25">
      <c r="B375"/>
      <c r="C375"/>
      <c r="D375"/>
      <c r="E375"/>
      <c r="F375"/>
      <c r="G375"/>
      <c r="H375"/>
      <c r="I375"/>
      <c r="J375"/>
      <c r="K375"/>
      <c r="L375"/>
      <c r="M375"/>
    </row>
    <row r="376" spans="2:13" x14ac:dyDescent="0.25">
      <c r="B376"/>
      <c r="C376"/>
      <c r="D376"/>
      <c r="E376"/>
      <c r="F376"/>
      <c r="G376"/>
      <c r="H376"/>
      <c r="I376"/>
      <c r="J376"/>
      <c r="K376"/>
      <c r="L376"/>
      <c r="M376"/>
    </row>
    <row r="377" spans="2:13" x14ac:dyDescent="0.25">
      <c r="B377"/>
      <c r="C377"/>
      <c r="D377"/>
      <c r="E377"/>
      <c r="F377"/>
      <c r="G377"/>
      <c r="H377"/>
      <c r="I377"/>
      <c r="J377"/>
      <c r="K377"/>
      <c r="L377"/>
      <c r="M377"/>
    </row>
    <row r="378" spans="2:13" x14ac:dyDescent="0.25">
      <c r="B378"/>
      <c r="C378"/>
      <c r="D378"/>
      <c r="E378"/>
      <c r="F378"/>
      <c r="G378"/>
      <c r="H378"/>
      <c r="I378"/>
      <c r="J378"/>
      <c r="K378"/>
      <c r="L378"/>
      <c r="M378"/>
    </row>
    <row r="379" spans="2:13" x14ac:dyDescent="0.25">
      <c r="B379"/>
      <c r="C379"/>
      <c r="D379"/>
      <c r="E379"/>
      <c r="F379"/>
      <c r="G379"/>
      <c r="H379"/>
      <c r="I379"/>
      <c r="J379"/>
      <c r="K379"/>
      <c r="L379"/>
      <c r="M379"/>
    </row>
    <row r="380" spans="2:13" x14ac:dyDescent="0.25">
      <c r="B380"/>
      <c r="C380"/>
      <c r="D380"/>
      <c r="E380"/>
      <c r="F380"/>
      <c r="G380"/>
      <c r="H380"/>
      <c r="I380"/>
      <c r="J380"/>
      <c r="K380"/>
      <c r="L380"/>
      <c r="M380"/>
    </row>
    <row r="381" spans="2:13" x14ac:dyDescent="0.25">
      <c r="B381"/>
      <c r="C381"/>
      <c r="D381"/>
      <c r="E381"/>
      <c r="F381"/>
      <c r="G381"/>
      <c r="H381"/>
      <c r="I381"/>
      <c r="J381"/>
      <c r="K381"/>
      <c r="L381"/>
      <c r="M381"/>
    </row>
    <row r="382" spans="2:13" x14ac:dyDescent="0.25">
      <c r="B382"/>
      <c r="C382"/>
      <c r="D382"/>
      <c r="E382"/>
      <c r="F382"/>
      <c r="G382"/>
      <c r="H382"/>
      <c r="I382"/>
      <c r="J382"/>
      <c r="K382"/>
      <c r="L382"/>
      <c r="M382"/>
    </row>
    <row r="383" spans="2:13" x14ac:dyDescent="0.25">
      <c r="B383"/>
      <c r="C383"/>
      <c r="D383"/>
      <c r="E383"/>
      <c r="F383"/>
      <c r="G383"/>
      <c r="H383"/>
      <c r="I383"/>
      <c r="J383"/>
      <c r="K383"/>
      <c r="L383"/>
      <c r="M383"/>
    </row>
    <row r="384" spans="2:13" x14ac:dyDescent="0.25">
      <c r="B384"/>
      <c r="C384"/>
      <c r="D384"/>
      <c r="E384"/>
      <c r="F384"/>
      <c r="G384"/>
      <c r="H384"/>
      <c r="I384"/>
      <c r="J384"/>
      <c r="K384"/>
      <c r="L384"/>
      <c r="M384"/>
    </row>
    <row r="385" spans="2:13" x14ac:dyDescent="0.25">
      <c r="B385"/>
      <c r="C385"/>
      <c r="D385"/>
      <c r="E385"/>
      <c r="F385"/>
      <c r="G385"/>
      <c r="H385"/>
      <c r="I385"/>
      <c r="J385"/>
      <c r="K385"/>
      <c r="L385"/>
      <c r="M385"/>
    </row>
    <row r="386" spans="2:13" x14ac:dyDescent="0.25">
      <c r="B386"/>
      <c r="C386"/>
      <c r="D386"/>
      <c r="E386"/>
      <c r="F386"/>
      <c r="G386"/>
      <c r="H386"/>
      <c r="I386"/>
      <c r="J386"/>
      <c r="K386"/>
      <c r="L386"/>
      <c r="M386"/>
    </row>
    <row r="387" spans="2:13" x14ac:dyDescent="0.25">
      <c r="B387"/>
      <c r="C387"/>
      <c r="D387"/>
      <c r="E387"/>
      <c r="F387"/>
      <c r="G387"/>
      <c r="H387"/>
      <c r="I387"/>
      <c r="J387"/>
      <c r="K387"/>
      <c r="L387"/>
      <c r="M387"/>
    </row>
    <row r="388" spans="2:13" x14ac:dyDescent="0.25">
      <c r="B388"/>
      <c r="C388"/>
      <c r="D388"/>
      <c r="E388"/>
      <c r="F388"/>
      <c r="G388"/>
      <c r="H388"/>
      <c r="I388"/>
      <c r="J388"/>
      <c r="K388"/>
      <c r="L388"/>
      <c r="M388"/>
    </row>
    <row r="389" spans="2:13" x14ac:dyDescent="0.25">
      <c r="B389"/>
      <c r="C389"/>
      <c r="D389"/>
      <c r="E389"/>
      <c r="F389"/>
      <c r="G389"/>
      <c r="H389"/>
      <c r="I389"/>
      <c r="J389"/>
      <c r="K389"/>
      <c r="L389"/>
      <c r="M389"/>
    </row>
    <row r="390" spans="2:13" x14ac:dyDescent="0.25">
      <c r="B390"/>
      <c r="C390"/>
      <c r="D390"/>
      <c r="E390"/>
      <c r="F390"/>
      <c r="G390"/>
      <c r="H390"/>
      <c r="I390"/>
      <c r="J390"/>
      <c r="K390"/>
      <c r="L390"/>
      <c r="M390"/>
    </row>
    <row r="391" spans="2:13" x14ac:dyDescent="0.25">
      <c r="B391"/>
      <c r="C391"/>
      <c r="D391"/>
      <c r="E391"/>
      <c r="F391"/>
      <c r="G391"/>
      <c r="H391"/>
      <c r="I391"/>
      <c r="J391"/>
      <c r="K391"/>
      <c r="L391"/>
      <c r="M391"/>
    </row>
    <row r="392" spans="2:13" x14ac:dyDescent="0.25">
      <c r="B392"/>
      <c r="C392"/>
      <c r="D392"/>
      <c r="E392"/>
      <c r="F392"/>
      <c r="G392"/>
      <c r="H392"/>
      <c r="I392"/>
      <c r="J392"/>
      <c r="K392"/>
      <c r="L392"/>
      <c r="M392"/>
    </row>
    <row r="393" spans="2:13" x14ac:dyDescent="0.25">
      <c r="B393"/>
      <c r="C393"/>
      <c r="D393"/>
      <c r="E393"/>
      <c r="F393"/>
      <c r="G393"/>
      <c r="H393"/>
      <c r="I393"/>
      <c r="J393"/>
      <c r="K393"/>
      <c r="L393"/>
      <c r="M393"/>
    </row>
    <row r="394" spans="2:13" x14ac:dyDescent="0.25">
      <c r="B394"/>
      <c r="C394"/>
      <c r="D394"/>
      <c r="E394"/>
      <c r="F394"/>
      <c r="G394"/>
      <c r="H394"/>
      <c r="I394"/>
      <c r="J394"/>
      <c r="K394"/>
      <c r="L394"/>
      <c r="M394"/>
    </row>
    <row r="395" spans="2:13" x14ac:dyDescent="0.25">
      <c r="B395"/>
      <c r="C395"/>
      <c r="D395"/>
      <c r="E395"/>
      <c r="F395"/>
      <c r="G395"/>
      <c r="H395"/>
      <c r="I395"/>
      <c r="J395"/>
      <c r="K395"/>
      <c r="L395"/>
      <c r="M395"/>
    </row>
    <row r="396" spans="2:13" x14ac:dyDescent="0.25">
      <c r="B396"/>
      <c r="C396"/>
      <c r="D396"/>
      <c r="E396"/>
      <c r="F396"/>
      <c r="G396"/>
      <c r="H396"/>
      <c r="I396"/>
      <c r="J396"/>
      <c r="K396"/>
      <c r="L396"/>
      <c r="M396"/>
    </row>
    <row r="397" spans="2:13" x14ac:dyDescent="0.25">
      <c r="B397"/>
      <c r="C397"/>
      <c r="D397"/>
      <c r="E397"/>
      <c r="F397"/>
      <c r="G397"/>
      <c r="H397"/>
      <c r="I397"/>
      <c r="J397"/>
      <c r="K397"/>
      <c r="L397"/>
      <c r="M397"/>
    </row>
    <row r="398" spans="2:13" x14ac:dyDescent="0.25">
      <c r="B398"/>
      <c r="C398"/>
      <c r="D398"/>
      <c r="E398"/>
      <c r="F398"/>
      <c r="G398"/>
      <c r="H398"/>
      <c r="I398"/>
      <c r="J398"/>
      <c r="K398"/>
      <c r="L398"/>
      <c r="M398"/>
    </row>
    <row r="399" spans="2:13" x14ac:dyDescent="0.25">
      <c r="B399"/>
      <c r="C399"/>
      <c r="D399"/>
      <c r="E399"/>
      <c r="F399"/>
      <c r="G399"/>
      <c r="H399"/>
      <c r="I399"/>
      <c r="J399"/>
      <c r="K399"/>
      <c r="L399"/>
      <c r="M399"/>
    </row>
    <row r="400" spans="2:13" x14ac:dyDescent="0.25">
      <c r="B400"/>
      <c r="C400"/>
      <c r="D400"/>
      <c r="E400"/>
      <c r="F400"/>
      <c r="G400"/>
      <c r="H400"/>
      <c r="I400"/>
      <c r="J400"/>
      <c r="K400"/>
      <c r="L400"/>
      <c r="M400"/>
    </row>
    <row r="401" spans="2:13" x14ac:dyDescent="0.25">
      <c r="B401"/>
      <c r="C401"/>
      <c r="D401"/>
      <c r="E401"/>
      <c r="F401"/>
      <c r="G401"/>
      <c r="H401"/>
      <c r="I401"/>
      <c r="J401"/>
      <c r="K401"/>
      <c r="L401"/>
      <c r="M401"/>
    </row>
    <row r="402" spans="2:13" x14ac:dyDescent="0.25">
      <c r="B402"/>
      <c r="C402"/>
      <c r="D402"/>
      <c r="E402"/>
      <c r="F402"/>
      <c r="G402"/>
      <c r="H402"/>
      <c r="I402"/>
      <c r="J402"/>
      <c r="K402"/>
      <c r="L402"/>
      <c r="M402"/>
    </row>
    <row r="403" spans="2:13" x14ac:dyDescent="0.25">
      <c r="B403"/>
      <c r="C403"/>
      <c r="D403"/>
      <c r="E403"/>
      <c r="F403"/>
      <c r="G403"/>
      <c r="H403"/>
      <c r="I403"/>
      <c r="J403"/>
      <c r="K403"/>
      <c r="L403"/>
      <c r="M403"/>
    </row>
    <row r="404" spans="2:13" x14ac:dyDescent="0.25">
      <c r="B404"/>
      <c r="C404"/>
      <c r="D404"/>
      <c r="E404"/>
      <c r="F404"/>
      <c r="G404"/>
      <c r="H404"/>
      <c r="I404"/>
      <c r="J404"/>
      <c r="K404"/>
      <c r="L404"/>
      <c r="M404"/>
    </row>
    <row r="405" spans="2:13" x14ac:dyDescent="0.25">
      <c r="B405"/>
      <c r="C405"/>
      <c r="D405"/>
      <c r="E405"/>
      <c r="F405"/>
      <c r="G405"/>
      <c r="H405"/>
      <c r="I405"/>
      <c r="J405"/>
      <c r="K405"/>
      <c r="L405"/>
      <c r="M405"/>
    </row>
    <row r="406" spans="2:13" x14ac:dyDescent="0.25">
      <c r="B406"/>
      <c r="C406"/>
      <c r="D406"/>
      <c r="E406"/>
      <c r="F406"/>
      <c r="G406"/>
      <c r="H406"/>
      <c r="I406"/>
      <c r="J406"/>
      <c r="K406"/>
      <c r="L406"/>
      <c r="M406"/>
    </row>
    <row r="407" spans="2:13" x14ac:dyDescent="0.25">
      <c r="B407"/>
      <c r="C407"/>
      <c r="D407"/>
      <c r="E407"/>
      <c r="F407"/>
      <c r="G407"/>
      <c r="H407"/>
      <c r="I407"/>
      <c r="J407"/>
      <c r="K407"/>
      <c r="L407"/>
      <c r="M407"/>
    </row>
    <row r="408" spans="2:13" x14ac:dyDescent="0.25">
      <c r="B408"/>
      <c r="C408"/>
      <c r="D408"/>
      <c r="E408"/>
      <c r="F408"/>
      <c r="G408"/>
      <c r="H408"/>
      <c r="I408"/>
      <c r="J408"/>
      <c r="K408"/>
      <c r="L408"/>
      <c r="M408"/>
    </row>
    <row r="409" spans="2:13" x14ac:dyDescent="0.25">
      <c r="B409"/>
      <c r="C409"/>
      <c r="D409"/>
      <c r="E409"/>
      <c r="F409"/>
      <c r="G409"/>
      <c r="H409"/>
      <c r="I409"/>
      <c r="J409"/>
      <c r="K409"/>
      <c r="L409"/>
      <c r="M409"/>
    </row>
    <row r="410" spans="2:13" x14ac:dyDescent="0.25">
      <c r="B410"/>
      <c r="C410"/>
      <c r="D410"/>
      <c r="E410"/>
      <c r="F410"/>
      <c r="G410"/>
      <c r="H410"/>
      <c r="I410"/>
      <c r="J410"/>
      <c r="K410"/>
      <c r="L410"/>
      <c r="M410"/>
    </row>
    <row r="411" spans="2:13" x14ac:dyDescent="0.25">
      <c r="B411"/>
      <c r="C411"/>
      <c r="D411"/>
      <c r="E411"/>
      <c r="F411"/>
      <c r="G411"/>
      <c r="H411"/>
      <c r="I411"/>
      <c r="J411"/>
      <c r="K411"/>
      <c r="L411"/>
      <c r="M411"/>
    </row>
    <row r="412" spans="2:13" x14ac:dyDescent="0.25">
      <c r="B412"/>
      <c r="C412"/>
      <c r="D412"/>
      <c r="E412"/>
      <c r="F412"/>
      <c r="G412"/>
      <c r="H412"/>
      <c r="I412"/>
      <c r="J412"/>
      <c r="K412"/>
      <c r="L412"/>
      <c r="M412"/>
    </row>
    <row r="413" spans="2:13" x14ac:dyDescent="0.25">
      <c r="B413"/>
      <c r="C413"/>
      <c r="D413"/>
      <c r="E413"/>
      <c r="F413"/>
      <c r="G413"/>
      <c r="H413"/>
      <c r="I413"/>
      <c r="J413"/>
      <c r="K413"/>
      <c r="L413"/>
      <c r="M413"/>
    </row>
    <row r="414" spans="2:13" x14ac:dyDescent="0.25">
      <c r="B414"/>
      <c r="C414"/>
      <c r="D414"/>
      <c r="E414"/>
      <c r="F414"/>
      <c r="G414"/>
      <c r="H414"/>
      <c r="I414"/>
      <c r="J414"/>
      <c r="K414"/>
      <c r="L414"/>
      <c r="M414"/>
    </row>
    <row r="415" spans="2:13" x14ac:dyDescent="0.25">
      <c r="B415"/>
      <c r="C415"/>
      <c r="D415"/>
      <c r="E415"/>
      <c r="F415"/>
      <c r="G415"/>
      <c r="H415"/>
      <c r="I415"/>
      <c r="J415"/>
      <c r="K415"/>
      <c r="L415"/>
      <c r="M415"/>
    </row>
    <row r="416" spans="2:13" x14ac:dyDescent="0.25">
      <c r="B416"/>
      <c r="C416"/>
      <c r="D416"/>
      <c r="E416"/>
      <c r="F416"/>
      <c r="G416"/>
      <c r="H416"/>
      <c r="I416"/>
      <c r="J416"/>
      <c r="K416"/>
      <c r="L416"/>
      <c r="M416"/>
    </row>
    <row r="417" spans="2:13" x14ac:dyDescent="0.25">
      <c r="B417"/>
      <c r="C417"/>
      <c r="D417"/>
      <c r="E417"/>
      <c r="F417"/>
      <c r="G417"/>
      <c r="H417"/>
      <c r="I417"/>
      <c r="J417"/>
      <c r="K417"/>
      <c r="L417"/>
      <c r="M417"/>
    </row>
    <row r="418" spans="2:13" x14ac:dyDescent="0.25">
      <c r="B418"/>
      <c r="C418"/>
      <c r="D418"/>
      <c r="E418"/>
      <c r="F418"/>
      <c r="G418"/>
      <c r="H418"/>
      <c r="I418"/>
      <c r="J418"/>
      <c r="K418"/>
      <c r="L418"/>
      <c r="M418"/>
    </row>
    <row r="419" spans="2:13" x14ac:dyDescent="0.25">
      <c r="B419"/>
      <c r="C419"/>
      <c r="D419"/>
      <c r="E419"/>
      <c r="F419"/>
      <c r="G419"/>
      <c r="H419"/>
      <c r="I419"/>
      <c r="J419"/>
      <c r="K419"/>
      <c r="L419"/>
      <c r="M419"/>
    </row>
    <row r="420" spans="2:13" x14ac:dyDescent="0.25">
      <c r="B420"/>
      <c r="C420"/>
      <c r="D420"/>
      <c r="E420"/>
      <c r="F420"/>
      <c r="G420"/>
      <c r="H420"/>
      <c r="I420"/>
      <c r="J420"/>
      <c r="K420"/>
      <c r="L420"/>
      <c r="M420"/>
    </row>
    <row r="421" spans="2:13" x14ac:dyDescent="0.25">
      <c r="B421"/>
      <c r="C421"/>
      <c r="D421"/>
      <c r="E421"/>
      <c r="F421"/>
      <c r="G421"/>
      <c r="H421"/>
      <c r="I421"/>
      <c r="J421"/>
      <c r="K421"/>
      <c r="L421"/>
      <c r="M421"/>
    </row>
    <row r="422" spans="2:13" x14ac:dyDescent="0.25">
      <c r="B422"/>
      <c r="C422"/>
      <c r="D422"/>
      <c r="E422"/>
      <c r="F422"/>
      <c r="G422"/>
      <c r="H422"/>
      <c r="I422"/>
      <c r="J422"/>
      <c r="K422"/>
      <c r="L422"/>
      <c r="M422"/>
    </row>
    <row r="423" spans="2:13" x14ac:dyDescent="0.25">
      <c r="B423"/>
      <c r="C423"/>
      <c r="D423"/>
      <c r="E423"/>
      <c r="F423"/>
      <c r="G423"/>
      <c r="H423"/>
      <c r="I423"/>
      <c r="J423"/>
      <c r="K423"/>
      <c r="L423"/>
      <c r="M423"/>
    </row>
    <row r="424" spans="2:13" x14ac:dyDescent="0.25">
      <c r="B424"/>
      <c r="C424"/>
      <c r="D424"/>
      <c r="E424"/>
      <c r="F424"/>
      <c r="G424"/>
      <c r="H424"/>
      <c r="I424"/>
      <c r="J424"/>
      <c r="K424"/>
      <c r="L424"/>
      <c r="M424"/>
    </row>
    <row r="425" spans="2:13" x14ac:dyDescent="0.25">
      <c r="B425"/>
      <c r="C425"/>
      <c r="D425"/>
      <c r="E425"/>
      <c r="F425"/>
      <c r="G425"/>
      <c r="H425"/>
      <c r="I425"/>
      <c r="J425"/>
      <c r="K425"/>
      <c r="L425"/>
      <c r="M425"/>
    </row>
    <row r="426" spans="2:13" x14ac:dyDescent="0.25">
      <c r="B426"/>
      <c r="C426"/>
      <c r="D426"/>
      <c r="E426"/>
      <c r="F426"/>
      <c r="G426"/>
      <c r="H426"/>
      <c r="I426"/>
      <c r="J426"/>
      <c r="K426"/>
      <c r="L426"/>
      <c r="M426"/>
    </row>
    <row r="427" spans="2:13" x14ac:dyDescent="0.25">
      <c r="B427"/>
      <c r="C427"/>
      <c r="D427"/>
      <c r="E427"/>
      <c r="F427"/>
      <c r="G427"/>
      <c r="H427"/>
      <c r="I427"/>
      <c r="J427"/>
      <c r="K427"/>
      <c r="L427"/>
      <c r="M427"/>
    </row>
    <row r="428" spans="2:13" x14ac:dyDescent="0.25">
      <c r="B428"/>
      <c r="C428"/>
      <c r="D428"/>
      <c r="E428"/>
      <c r="F428"/>
      <c r="G428"/>
      <c r="H428"/>
      <c r="I428"/>
      <c r="J428"/>
      <c r="K428"/>
      <c r="L428"/>
      <c r="M428"/>
    </row>
    <row r="429" spans="2:13" x14ac:dyDescent="0.25">
      <c r="B429"/>
      <c r="C429"/>
      <c r="D429"/>
      <c r="E429"/>
      <c r="F429"/>
      <c r="G429"/>
      <c r="H429"/>
      <c r="I429"/>
      <c r="J429"/>
      <c r="K429"/>
      <c r="L429"/>
      <c r="M429"/>
    </row>
    <row r="430" spans="2:13" x14ac:dyDescent="0.25">
      <c r="B430"/>
      <c r="C430"/>
      <c r="D430"/>
      <c r="E430"/>
      <c r="F430"/>
      <c r="G430"/>
      <c r="H430"/>
      <c r="I430"/>
      <c r="J430"/>
      <c r="K430"/>
      <c r="L430"/>
      <c r="M430"/>
    </row>
    <row r="431" spans="2:13" x14ac:dyDescent="0.25">
      <c r="B431"/>
      <c r="C431"/>
      <c r="D431"/>
      <c r="E431"/>
      <c r="F431"/>
      <c r="G431"/>
      <c r="H431"/>
      <c r="I431"/>
      <c r="J431"/>
      <c r="K431"/>
      <c r="L431"/>
      <c r="M431"/>
    </row>
    <row r="432" spans="2:13" x14ac:dyDescent="0.25">
      <c r="B432"/>
      <c r="C432"/>
      <c r="D432"/>
      <c r="E432"/>
      <c r="F432"/>
      <c r="G432"/>
      <c r="H432"/>
      <c r="I432"/>
      <c r="J432"/>
      <c r="K432"/>
      <c r="L432"/>
      <c r="M432"/>
    </row>
    <row r="433" spans="2:13" x14ac:dyDescent="0.25">
      <c r="B433"/>
      <c r="C433"/>
      <c r="D433"/>
      <c r="E433"/>
      <c r="F433"/>
      <c r="G433"/>
      <c r="H433"/>
      <c r="I433"/>
      <c r="J433"/>
      <c r="K433"/>
      <c r="L433"/>
      <c r="M433"/>
    </row>
    <row r="434" spans="2:13" x14ac:dyDescent="0.25">
      <c r="B434"/>
      <c r="C434"/>
      <c r="D434"/>
      <c r="E434"/>
      <c r="F434"/>
      <c r="G434"/>
      <c r="H434"/>
      <c r="I434"/>
      <c r="J434"/>
      <c r="K434"/>
      <c r="L434"/>
      <c r="M434"/>
    </row>
    <row r="435" spans="2:13" x14ac:dyDescent="0.25">
      <c r="B435"/>
      <c r="C435"/>
      <c r="D435"/>
      <c r="E435"/>
      <c r="F435"/>
      <c r="G435"/>
      <c r="H435"/>
      <c r="I435"/>
      <c r="J435"/>
      <c r="K435"/>
      <c r="L435"/>
      <c r="M435"/>
    </row>
    <row r="436" spans="2:13" x14ac:dyDescent="0.25">
      <c r="B436"/>
      <c r="C436"/>
      <c r="D436"/>
      <c r="E436"/>
      <c r="F436"/>
      <c r="G436"/>
      <c r="H436"/>
      <c r="I436"/>
      <c r="J436"/>
      <c r="K436"/>
      <c r="L436"/>
      <c r="M436"/>
    </row>
    <row r="437" spans="2:13" x14ac:dyDescent="0.25">
      <c r="B437"/>
      <c r="C437"/>
      <c r="D437"/>
      <c r="E437"/>
      <c r="F437"/>
      <c r="G437"/>
      <c r="H437"/>
      <c r="I437"/>
      <c r="J437"/>
      <c r="K437"/>
      <c r="L437"/>
      <c r="M437"/>
    </row>
    <row r="438" spans="2:13" x14ac:dyDescent="0.25">
      <c r="B438"/>
      <c r="C438"/>
      <c r="D438"/>
      <c r="E438"/>
      <c r="F438"/>
      <c r="G438"/>
      <c r="H438"/>
      <c r="I438"/>
      <c r="J438"/>
      <c r="K438"/>
      <c r="L438"/>
      <c r="M438"/>
    </row>
    <row r="439" spans="2:13" x14ac:dyDescent="0.25">
      <c r="B439"/>
      <c r="C439"/>
      <c r="D439"/>
      <c r="E439"/>
      <c r="F439"/>
      <c r="G439"/>
      <c r="H439"/>
      <c r="I439"/>
      <c r="J439"/>
      <c r="K439"/>
      <c r="L439"/>
      <c r="M439"/>
    </row>
    <row r="440" spans="2:13" x14ac:dyDescent="0.25">
      <c r="B440"/>
      <c r="C440"/>
      <c r="D440"/>
      <c r="E440"/>
      <c r="F440"/>
      <c r="G440"/>
      <c r="H440"/>
      <c r="I440"/>
      <c r="J440"/>
      <c r="K440"/>
      <c r="L440"/>
      <c r="M440"/>
    </row>
    <row r="441" spans="2:13" x14ac:dyDescent="0.25">
      <c r="B441"/>
      <c r="C441"/>
      <c r="D441"/>
      <c r="E441"/>
      <c r="F441"/>
      <c r="G441"/>
      <c r="H441"/>
      <c r="I441"/>
      <c r="J441"/>
      <c r="K441"/>
      <c r="L441"/>
      <c r="M441"/>
    </row>
    <row r="442" spans="2:13" x14ac:dyDescent="0.25">
      <c r="B442"/>
      <c r="C442"/>
      <c r="D442"/>
      <c r="E442"/>
      <c r="F442"/>
      <c r="G442"/>
      <c r="H442"/>
      <c r="I442"/>
      <c r="J442"/>
      <c r="K442"/>
      <c r="L442"/>
      <c r="M442"/>
    </row>
    <row r="443" spans="2:13" x14ac:dyDescent="0.25">
      <c r="B443"/>
      <c r="C443"/>
      <c r="D443"/>
      <c r="E443"/>
      <c r="F443"/>
      <c r="G443"/>
      <c r="H443"/>
      <c r="I443"/>
      <c r="J443"/>
      <c r="K443"/>
      <c r="L443"/>
      <c r="M443"/>
    </row>
    <row r="444" spans="2:13" x14ac:dyDescent="0.25">
      <c r="B444"/>
      <c r="C444"/>
      <c r="D444"/>
      <c r="E444"/>
      <c r="F444"/>
      <c r="G444"/>
      <c r="H444"/>
      <c r="I444"/>
      <c r="J444"/>
      <c r="K444"/>
      <c r="L444"/>
      <c r="M444"/>
    </row>
    <row r="445" spans="2:13" x14ac:dyDescent="0.25">
      <c r="B445"/>
      <c r="C445"/>
      <c r="D445"/>
      <c r="E445"/>
      <c r="F445"/>
      <c r="G445"/>
      <c r="H445"/>
      <c r="I445"/>
      <c r="J445"/>
      <c r="K445"/>
      <c r="L445"/>
      <c r="M445"/>
    </row>
    <row r="446" spans="2:13" x14ac:dyDescent="0.25">
      <c r="B446"/>
      <c r="C446"/>
      <c r="D446"/>
      <c r="E446"/>
      <c r="F446"/>
      <c r="G446"/>
      <c r="H446"/>
      <c r="I446"/>
      <c r="J446"/>
      <c r="K446"/>
      <c r="L446"/>
      <c r="M446"/>
    </row>
    <row r="447" spans="2:13" x14ac:dyDescent="0.25">
      <c r="B447"/>
      <c r="C447"/>
      <c r="D447"/>
      <c r="E447"/>
      <c r="F447"/>
      <c r="G447"/>
      <c r="H447"/>
      <c r="I447"/>
      <c r="J447"/>
      <c r="K447"/>
      <c r="L447"/>
      <c r="M447"/>
    </row>
    <row r="448" spans="2:13" x14ac:dyDescent="0.25">
      <c r="B448"/>
      <c r="C448"/>
      <c r="D448"/>
      <c r="E448"/>
      <c r="F448"/>
      <c r="G448"/>
      <c r="H448"/>
      <c r="I448"/>
      <c r="J448"/>
      <c r="K448"/>
      <c r="L448"/>
      <c r="M448"/>
    </row>
    <row r="449" spans="2:13" x14ac:dyDescent="0.25">
      <c r="B449"/>
      <c r="C449"/>
      <c r="D449"/>
      <c r="E449"/>
      <c r="F449"/>
      <c r="G449"/>
      <c r="H449"/>
      <c r="I449"/>
      <c r="J449"/>
      <c r="K449"/>
      <c r="L449"/>
      <c r="M449"/>
    </row>
    <row r="450" spans="2:13" x14ac:dyDescent="0.25">
      <c r="B450"/>
      <c r="C450"/>
      <c r="D450"/>
      <c r="E450"/>
      <c r="F450"/>
      <c r="G450"/>
      <c r="H450"/>
      <c r="I450"/>
      <c r="J450"/>
      <c r="K450"/>
      <c r="L450"/>
      <c r="M450"/>
    </row>
    <row r="451" spans="2:13" x14ac:dyDescent="0.25">
      <c r="B451"/>
      <c r="C451"/>
      <c r="D451"/>
      <c r="E451"/>
      <c r="F451"/>
      <c r="G451"/>
      <c r="H451"/>
      <c r="I451"/>
      <c r="J451"/>
      <c r="K451"/>
      <c r="L451"/>
      <c r="M451"/>
    </row>
    <row r="452" spans="2:13" x14ac:dyDescent="0.25">
      <c r="B452"/>
      <c r="C452"/>
      <c r="D452"/>
      <c r="E452"/>
      <c r="F452"/>
      <c r="G452"/>
      <c r="H452"/>
      <c r="I452"/>
      <c r="J452"/>
      <c r="K452"/>
      <c r="L452"/>
      <c r="M452"/>
    </row>
    <row r="453" spans="2:13" x14ac:dyDescent="0.25">
      <c r="B453"/>
      <c r="C453"/>
      <c r="D453"/>
      <c r="E453"/>
      <c r="F453"/>
      <c r="G453"/>
      <c r="H453"/>
      <c r="I453"/>
      <c r="J453"/>
      <c r="K453"/>
      <c r="L453"/>
      <c r="M453"/>
    </row>
    <row r="454" spans="2:13" x14ac:dyDescent="0.25">
      <c r="B454"/>
      <c r="C454"/>
      <c r="D454"/>
      <c r="E454"/>
      <c r="F454"/>
      <c r="G454"/>
      <c r="H454"/>
      <c r="I454"/>
      <c r="J454"/>
      <c r="K454"/>
      <c r="L454"/>
      <c r="M454"/>
    </row>
    <row r="455" spans="2:13" x14ac:dyDescent="0.25">
      <c r="B455"/>
      <c r="C455"/>
      <c r="D455"/>
      <c r="E455"/>
      <c r="F455"/>
      <c r="G455"/>
      <c r="H455"/>
      <c r="I455"/>
      <c r="J455"/>
      <c r="K455"/>
      <c r="L455"/>
      <c r="M455"/>
    </row>
    <row r="456" spans="2:13" x14ac:dyDescent="0.25">
      <c r="B456"/>
      <c r="C456"/>
      <c r="D456"/>
      <c r="E456"/>
      <c r="F456"/>
      <c r="G456"/>
      <c r="H456"/>
      <c r="I456"/>
      <c r="J456"/>
      <c r="K456"/>
      <c r="L456"/>
      <c r="M456"/>
    </row>
    <row r="457" spans="2:13" x14ac:dyDescent="0.25">
      <c r="B457"/>
      <c r="C457"/>
      <c r="D457"/>
      <c r="E457"/>
      <c r="F457"/>
      <c r="G457"/>
      <c r="H457"/>
      <c r="I457"/>
      <c r="J457"/>
      <c r="K457"/>
      <c r="L457"/>
      <c r="M457"/>
    </row>
    <row r="458" spans="2:13" x14ac:dyDescent="0.25">
      <c r="B458"/>
      <c r="C458"/>
      <c r="D458"/>
      <c r="E458"/>
      <c r="F458"/>
      <c r="G458"/>
      <c r="H458"/>
      <c r="I458"/>
      <c r="J458"/>
      <c r="K458"/>
      <c r="L458"/>
      <c r="M458"/>
    </row>
    <row r="459" spans="2:13" x14ac:dyDescent="0.25">
      <c r="B459"/>
      <c r="C459"/>
      <c r="D459"/>
      <c r="E459"/>
      <c r="F459"/>
      <c r="G459"/>
      <c r="H459"/>
      <c r="I459"/>
      <c r="J459"/>
      <c r="K459"/>
      <c r="L459"/>
      <c r="M459"/>
    </row>
    <row r="460" spans="2:13" x14ac:dyDescent="0.25">
      <c r="B460"/>
      <c r="C460"/>
      <c r="D460"/>
      <c r="E460"/>
      <c r="F460"/>
      <c r="G460"/>
      <c r="H460"/>
      <c r="I460"/>
      <c r="J460"/>
      <c r="K460"/>
      <c r="L460"/>
      <c r="M460"/>
    </row>
    <row r="461" spans="2:13" x14ac:dyDescent="0.25">
      <c r="B461"/>
      <c r="C461"/>
      <c r="D461"/>
      <c r="E461"/>
      <c r="F461"/>
      <c r="G461"/>
      <c r="H461"/>
      <c r="I461"/>
      <c r="J461"/>
      <c r="K461"/>
      <c r="L461"/>
      <c r="M461"/>
    </row>
    <row r="462" spans="2:13" x14ac:dyDescent="0.25">
      <c r="B462"/>
      <c r="C462"/>
      <c r="D462"/>
      <c r="E462"/>
      <c r="F462"/>
      <c r="G462"/>
      <c r="J462"/>
      <c r="K462"/>
      <c r="L462"/>
      <c r="M462"/>
    </row>
    <row r="463" spans="2:13" x14ac:dyDescent="0.25">
      <c r="B463"/>
      <c r="C463"/>
      <c r="D463"/>
      <c r="E463"/>
      <c r="F463"/>
      <c r="G463"/>
      <c r="J463"/>
      <c r="K463"/>
      <c r="L463"/>
      <c r="M463"/>
    </row>
    <row r="464" spans="2:13" x14ac:dyDescent="0.25">
      <c r="B464"/>
      <c r="C464"/>
      <c r="D464"/>
      <c r="E464"/>
      <c r="F464"/>
      <c r="G464"/>
      <c r="J464"/>
      <c r="K464"/>
      <c r="L464"/>
      <c r="M464"/>
    </row>
    <row r="465" spans="2:13" x14ac:dyDescent="0.25">
      <c r="B465"/>
      <c r="C465"/>
      <c r="D465"/>
      <c r="E465"/>
      <c r="F465"/>
      <c r="G465"/>
      <c r="J465"/>
      <c r="K465"/>
      <c r="L465"/>
      <c r="M465"/>
    </row>
    <row r="466" spans="2:13" x14ac:dyDescent="0.25">
      <c r="B466"/>
      <c r="C466"/>
      <c r="D466"/>
      <c r="E466"/>
      <c r="F466"/>
      <c r="G466"/>
      <c r="J466"/>
      <c r="K466"/>
      <c r="L466"/>
      <c r="M466"/>
    </row>
    <row r="467" spans="2:13" x14ac:dyDescent="0.25">
      <c r="B467"/>
      <c r="C467"/>
      <c r="D467"/>
      <c r="E467"/>
      <c r="F467"/>
      <c r="G467"/>
      <c r="J467"/>
      <c r="K467"/>
      <c r="L467"/>
      <c r="M467"/>
    </row>
    <row r="468" spans="2:13" x14ac:dyDescent="0.25">
      <c r="B468"/>
      <c r="C468"/>
      <c r="D468"/>
      <c r="E468"/>
      <c r="F468"/>
      <c r="G468"/>
      <c r="J468"/>
      <c r="K468"/>
      <c r="L468"/>
      <c r="M468"/>
    </row>
    <row r="469" spans="2:13" x14ac:dyDescent="0.25">
      <c r="B469"/>
      <c r="C469"/>
      <c r="D469"/>
      <c r="E469"/>
      <c r="F469"/>
      <c r="G469"/>
      <c r="J469"/>
      <c r="K469"/>
      <c r="L469"/>
      <c r="M469"/>
    </row>
    <row r="470" spans="2:13" x14ac:dyDescent="0.25">
      <c r="B470"/>
      <c r="C470"/>
      <c r="D470"/>
      <c r="E470"/>
      <c r="F470"/>
      <c r="G470"/>
      <c r="J470"/>
      <c r="K470"/>
      <c r="L470"/>
      <c r="M470"/>
    </row>
    <row r="471" spans="2:13" x14ac:dyDescent="0.25">
      <c r="B471"/>
      <c r="C471"/>
      <c r="D471"/>
      <c r="E471"/>
      <c r="F471"/>
      <c r="G471"/>
      <c r="J471"/>
      <c r="K471"/>
      <c r="L471"/>
      <c r="M471"/>
    </row>
    <row r="472" spans="2:13" x14ac:dyDescent="0.25">
      <c r="B472"/>
      <c r="C472"/>
      <c r="D472"/>
      <c r="E472"/>
      <c r="F472"/>
      <c r="G472"/>
      <c r="L472"/>
      <c r="M472"/>
    </row>
    <row r="473" spans="2:13" x14ac:dyDescent="0.25">
      <c r="B473"/>
      <c r="C473"/>
      <c r="D473"/>
      <c r="E473"/>
      <c r="F473"/>
      <c r="G473"/>
      <c r="L473"/>
      <c r="M473"/>
    </row>
    <row r="474" spans="2:13" x14ac:dyDescent="0.25">
      <c r="B474"/>
      <c r="C474"/>
      <c r="D474"/>
      <c r="E474"/>
      <c r="F474"/>
      <c r="G474"/>
      <c r="L474"/>
      <c r="M474"/>
    </row>
    <row r="475" spans="2:13" x14ac:dyDescent="0.25">
      <c r="B475"/>
      <c r="C475"/>
      <c r="D475"/>
      <c r="E475"/>
      <c r="F475"/>
      <c r="G475"/>
      <c r="L475"/>
      <c r="M475"/>
    </row>
    <row r="476" spans="2:13" x14ac:dyDescent="0.25">
      <c r="B476"/>
      <c r="C476"/>
      <c r="D476"/>
      <c r="E476"/>
      <c r="F476"/>
      <c r="G476"/>
      <c r="L476"/>
      <c r="M476"/>
    </row>
    <row r="477" spans="2:13" x14ac:dyDescent="0.25">
      <c r="B477"/>
      <c r="C477"/>
      <c r="D477"/>
      <c r="E477"/>
      <c r="F477"/>
      <c r="G477"/>
      <c r="L477"/>
      <c r="M477"/>
    </row>
    <row r="478" spans="2:13" x14ac:dyDescent="0.25">
      <c r="B478"/>
      <c r="C478"/>
      <c r="D478"/>
      <c r="E478"/>
      <c r="F478"/>
      <c r="G478"/>
      <c r="L478"/>
      <c r="M478"/>
    </row>
    <row r="479" spans="2:13" x14ac:dyDescent="0.25">
      <c r="B479"/>
      <c r="C479"/>
      <c r="D479"/>
      <c r="E479"/>
      <c r="F479"/>
      <c r="G479"/>
      <c r="L479"/>
      <c r="M479"/>
    </row>
    <row r="480" spans="2:13" x14ac:dyDescent="0.25">
      <c r="B480"/>
      <c r="C480"/>
      <c r="D480"/>
      <c r="E480"/>
      <c r="F480"/>
      <c r="G480"/>
      <c r="L480"/>
      <c r="M480"/>
    </row>
    <row r="481" spans="2:13" x14ac:dyDescent="0.25">
      <c r="B481"/>
      <c r="C481"/>
      <c r="D481"/>
      <c r="E481"/>
      <c r="L481"/>
      <c r="M481"/>
    </row>
    <row r="482" spans="2:13" x14ac:dyDescent="0.25">
      <c r="B482"/>
      <c r="C482"/>
      <c r="D482"/>
      <c r="E482"/>
      <c r="L482"/>
      <c r="M482"/>
    </row>
    <row r="483" spans="2:13" x14ac:dyDescent="0.25">
      <c r="B483"/>
      <c r="C483"/>
      <c r="D483"/>
      <c r="E483"/>
      <c r="L483"/>
      <c r="M483"/>
    </row>
    <row r="484" spans="2:13" x14ac:dyDescent="0.25">
      <c r="B484"/>
      <c r="C484"/>
      <c r="D484"/>
      <c r="E484"/>
      <c r="L484"/>
      <c r="M484"/>
    </row>
    <row r="485" spans="2:13" x14ac:dyDescent="0.25">
      <c r="C485"/>
      <c r="D485"/>
      <c r="E485"/>
      <c r="L485"/>
      <c r="M485"/>
    </row>
    <row r="486" spans="2:13" x14ac:dyDescent="0.25">
      <c r="C486"/>
      <c r="D486"/>
      <c r="E486"/>
      <c r="L486"/>
      <c r="M486"/>
    </row>
    <row r="487" spans="2:13" x14ac:dyDescent="0.25">
      <c r="C487"/>
      <c r="D487"/>
      <c r="E487"/>
      <c r="L487"/>
      <c r="M487"/>
    </row>
    <row r="488" spans="2:13" x14ac:dyDescent="0.25">
      <c r="C488"/>
      <c r="D488"/>
      <c r="L488"/>
      <c r="M488"/>
    </row>
    <row r="489" spans="2:13" x14ac:dyDescent="0.25">
      <c r="C489"/>
      <c r="L489"/>
      <c r="M489"/>
    </row>
    <row r="490" spans="2:13" x14ac:dyDescent="0.25">
      <c r="L490"/>
      <c r="M490"/>
    </row>
    <row r="491" spans="2:13" x14ac:dyDescent="0.25">
      <c r="L491"/>
      <c r="M491"/>
    </row>
    <row r="492" spans="2:13" x14ac:dyDescent="0.25">
      <c r="L492"/>
      <c r="M492"/>
    </row>
    <row r="493" spans="2:13" x14ac:dyDescent="0.25">
      <c r="L493"/>
      <c r="M493"/>
    </row>
    <row r="494" spans="2:13" x14ac:dyDescent="0.25">
      <c r="L494"/>
      <c r="M494"/>
    </row>
    <row r="495" spans="2:13" x14ac:dyDescent="0.25">
      <c r="L495"/>
      <c r="M495"/>
    </row>
    <row r="496" spans="2:13" x14ac:dyDescent="0.25">
      <c r="L496"/>
      <c r="M496"/>
    </row>
    <row r="497" spans="12:13" x14ac:dyDescent="0.25">
      <c r="L497"/>
      <c r="M497"/>
    </row>
    <row r="498" spans="12:13" x14ac:dyDescent="0.25">
      <c r="L498"/>
      <c r="M498"/>
    </row>
    <row r="499" spans="12:13" x14ac:dyDescent="0.25">
      <c r="L499"/>
      <c r="M499"/>
    </row>
    <row r="500" spans="12:13" x14ac:dyDescent="0.25">
      <c r="L500"/>
      <c r="M500"/>
    </row>
    <row r="501" spans="12:13" x14ac:dyDescent="0.25">
      <c r="L501"/>
      <c r="M501"/>
    </row>
    <row r="502" spans="12:13" x14ac:dyDescent="0.25">
      <c r="L502"/>
      <c r="M502"/>
    </row>
    <row r="503" spans="12:13" x14ac:dyDescent="0.25">
      <c r="L503"/>
      <c r="M503"/>
    </row>
    <row r="504" spans="12:13" x14ac:dyDescent="0.25">
      <c r="L504"/>
      <c r="M504"/>
    </row>
    <row r="505" spans="12:13" x14ac:dyDescent="0.25">
      <c r="L505"/>
      <c r="M505"/>
    </row>
  </sheetData>
  <mergeCells count="70">
    <mergeCell ref="D11:E11"/>
    <mergeCell ref="F10:G10"/>
    <mergeCell ref="D41:G41"/>
    <mergeCell ref="F11:G11"/>
    <mergeCell ref="D42:G42"/>
    <mergeCell ref="F2:G2"/>
    <mergeCell ref="D2:E2"/>
    <mergeCell ref="F3:G3"/>
    <mergeCell ref="F4:G4"/>
    <mergeCell ref="D10:E10"/>
    <mergeCell ref="D7:E7"/>
    <mergeCell ref="F7:G7"/>
    <mergeCell ref="F8:G8"/>
    <mergeCell ref="N1:R1"/>
    <mergeCell ref="L1:M4"/>
    <mergeCell ref="L5:L9"/>
    <mergeCell ref="L10:L14"/>
    <mergeCell ref="H2:I2"/>
    <mergeCell ref="J2:K2"/>
    <mergeCell ref="D9:K9"/>
    <mergeCell ref="D1:K1"/>
    <mergeCell ref="D12:K12"/>
    <mergeCell ref="D3:E3"/>
    <mergeCell ref="D4:E4"/>
    <mergeCell ref="D5:E5"/>
    <mergeCell ref="D6:E6"/>
    <mergeCell ref="F5:G5"/>
    <mergeCell ref="F6:G6"/>
    <mergeCell ref="D8:E8"/>
    <mergeCell ref="L25:L29"/>
    <mergeCell ref="A12:B12"/>
    <mergeCell ref="D14:E14"/>
    <mergeCell ref="F14:G14"/>
    <mergeCell ref="J25:K25"/>
    <mergeCell ref="A15:B15"/>
    <mergeCell ref="D24:K24"/>
    <mergeCell ref="D25:E25"/>
    <mergeCell ref="F25:G25"/>
    <mergeCell ref="H25:I25"/>
    <mergeCell ref="L20:L24"/>
    <mergeCell ref="L15:L19"/>
    <mergeCell ref="J14:K14"/>
    <mergeCell ref="J7:K7"/>
    <mergeCell ref="J8:K8"/>
    <mergeCell ref="H3:I3"/>
    <mergeCell ref="H4:I4"/>
    <mergeCell ref="H5:I5"/>
    <mergeCell ref="H6:I6"/>
    <mergeCell ref="H8:I8"/>
    <mergeCell ref="J3:K3"/>
    <mergeCell ref="J4:K4"/>
    <mergeCell ref="J5:K5"/>
    <mergeCell ref="J6:K6"/>
    <mergeCell ref="H7:I7"/>
    <mergeCell ref="H42:K42"/>
    <mergeCell ref="H41:K41"/>
    <mergeCell ref="S3:X3"/>
    <mergeCell ref="D15:E15"/>
    <mergeCell ref="H10:I10"/>
    <mergeCell ref="H11:I11"/>
    <mergeCell ref="J10:K10"/>
    <mergeCell ref="F15:G15"/>
    <mergeCell ref="H15:I15"/>
    <mergeCell ref="J11:K11"/>
    <mergeCell ref="D13:E13"/>
    <mergeCell ref="F13:G13"/>
    <mergeCell ref="H13:I13"/>
    <mergeCell ref="J13:K13"/>
    <mergeCell ref="J15:K15"/>
    <mergeCell ref="H14:I14"/>
  </mergeCells>
  <pageMargins left="0.7" right="0.7" top="0.75" bottom="0.75" header="0.3" footer="0.3"/>
  <pageSetup orientation="portrait" horizontalDpi="1200" verticalDpi="12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W587"/>
  <sheetViews>
    <sheetView workbookViewId="0">
      <pane ySplit="2" topLeftCell="A361" activePane="bottomLeft" state="frozen"/>
      <selection pane="bottomLeft" activeCell="E369" sqref="E369"/>
    </sheetView>
  </sheetViews>
  <sheetFormatPr baseColWidth="10" defaultColWidth="11.42578125" defaultRowHeight="14.25" customHeight="1" x14ac:dyDescent="0.25"/>
  <cols>
    <col min="1" max="1" width="11.42578125" style="131"/>
    <col min="2" max="2" width="30.28515625" style="93" customWidth="1"/>
    <col min="3" max="3" width="17" style="96" customWidth="1"/>
    <col min="4" max="4" width="11.42578125" style="94"/>
    <col min="5" max="5" width="15.7109375" style="95" customWidth="1"/>
    <col min="6" max="6" width="15.42578125" style="95" customWidth="1"/>
    <col min="7" max="7" width="11.42578125" style="96"/>
    <col min="8" max="8" width="26.28515625" style="95" customWidth="1"/>
    <col min="9" max="9" width="11.85546875" style="95" bestFit="1" customWidth="1"/>
    <col min="10" max="11" width="11.42578125" style="96"/>
    <col min="12" max="12" width="17.7109375" style="95" customWidth="1"/>
    <col min="13" max="13" width="11.42578125" style="95"/>
    <col min="14" max="15" width="11.42578125" style="96"/>
    <col min="16" max="16" width="17.7109375" style="95" customWidth="1"/>
    <col min="17" max="17" width="11.42578125" style="95"/>
    <col min="18" max="19" width="11.42578125" style="96"/>
    <col min="20" max="20" width="17.7109375" style="95" customWidth="1"/>
    <col min="21" max="21" width="11.42578125" style="95"/>
    <col min="22" max="22" width="11.42578125" style="96"/>
    <col min="23" max="16384" width="11.42578125" style="93"/>
  </cols>
  <sheetData>
    <row r="1" spans="1:22" s="108" customFormat="1" ht="14.25" customHeight="1" x14ac:dyDescent="0.25">
      <c r="A1" s="120" t="s">
        <v>205</v>
      </c>
      <c r="B1" s="77" t="s">
        <v>203</v>
      </c>
      <c r="C1" s="102" t="s">
        <v>922</v>
      </c>
      <c r="D1" s="77" t="s">
        <v>921</v>
      </c>
      <c r="E1" s="78" t="s">
        <v>1018</v>
      </c>
      <c r="F1" s="78" t="s">
        <v>1017</v>
      </c>
      <c r="G1" s="329" t="s">
        <v>925</v>
      </c>
      <c r="H1" s="330"/>
      <c r="I1" s="330"/>
      <c r="J1" s="330"/>
      <c r="K1" s="328" t="s">
        <v>927</v>
      </c>
      <c r="L1" s="328"/>
      <c r="M1" s="328"/>
      <c r="N1" s="328"/>
      <c r="O1" s="331" t="s">
        <v>928</v>
      </c>
      <c r="P1" s="331"/>
      <c r="Q1" s="331"/>
      <c r="R1" s="331"/>
      <c r="S1" s="328" t="s">
        <v>929</v>
      </c>
      <c r="T1" s="328"/>
      <c r="U1" s="328"/>
      <c r="V1" s="328"/>
    </row>
    <row r="2" spans="1:22" s="108" customFormat="1" ht="14.25" customHeight="1" x14ac:dyDescent="0.25">
      <c r="A2" s="121"/>
      <c r="B2" s="76"/>
      <c r="C2" s="97"/>
      <c r="D2" s="76"/>
      <c r="E2" s="81"/>
      <c r="F2" s="81"/>
      <c r="G2" s="104" t="s">
        <v>205</v>
      </c>
      <c r="H2" s="103" t="s">
        <v>203</v>
      </c>
      <c r="I2" s="104" t="s">
        <v>202</v>
      </c>
      <c r="J2" s="103" t="s">
        <v>149</v>
      </c>
      <c r="K2" s="104" t="s">
        <v>205</v>
      </c>
      <c r="L2" s="103" t="s">
        <v>203</v>
      </c>
      <c r="M2" s="104" t="s">
        <v>202</v>
      </c>
      <c r="N2" s="103" t="s">
        <v>149</v>
      </c>
      <c r="O2" s="104" t="s">
        <v>205</v>
      </c>
      <c r="P2" s="103" t="s">
        <v>203</v>
      </c>
      <c r="Q2" s="104" t="s">
        <v>202</v>
      </c>
      <c r="R2" s="103" t="s">
        <v>149</v>
      </c>
      <c r="S2" s="104" t="s">
        <v>205</v>
      </c>
      <c r="T2" s="103" t="s">
        <v>203</v>
      </c>
      <c r="U2" s="104" t="s">
        <v>202</v>
      </c>
      <c r="V2" s="103" t="s">
        <v>149</v>
      </c>
    </row>
    <row r="3" spans="1:22" s="74" customFormat="1" ht="14.25" hidden="1" customHeight="1" x14ac:dyDescent="0.25">
      <c r="A3" s="122" t="s">
        <v>926</v>
      </c>
      <c r="B3" s="79" t="s">
        <v>926</v>
      </c>
      <c r="C3" s="98" t="s">
        <v>926</v>
      </c>
      <c r="D3" s="80" t="s">
        <v>926</v>
      </c>
      <c r="E3" s="78">
        <v>0</v>
      </c>
      <c r="F3" s="78"/>
      <c r="G3" s="83"/>
      <c r="H3" s="75"/>
      <c r="I3" s="75"/>
      <c r="J3" s="83"/>
      <c r="K3" s="84"/>
      <c r="L3" s="59"/>
      <c r="M3" s="59"/>
      <c r="N3" s="84"/>
      <c r="O3" s="84"/>
      <c r="P3" s="59"/>
      <c r="Q3" s="59"/>
      <c r="R3" s="84"/>
      <c r="S3" s="84"/>
      <c r="T3" s="59"/>
      <c r="U3" s="59"/>
      <c r="V3" s="84"/>
    </row>
    <row r="4" spans="1:22" s="108" customFormat="1" ht="14.25" customHeight="1" x14ac:dyDescent="0.25">
      <c r="A4" s="119">
        <v>1</v>
      </c>
      <c r="B4" s="68" t="s">
        <v>216</v>
      </c>
      <c r="C4" s="99">
        <v>1</v>
      </c>
      <c r="D4" s="67"/>
      <c r="E4" s="61">
        <f t="shared" ref="E4:E10" si="0">(((I4*J4)+(M4*N4)+(Q4*R4)+(U4*V4))/C4)*1.2</f>
        <v>3.5999999999999996</v>
      </c>
      <c r="F4" s="188">
        <f>ROUNDUP(E4/6,2)</f>
        <v>0.6</v>
      </c>
      <c r="G4" s="118">
        <v>4</v>
      </c>
      <c r="H4" s="59" t="str">
        <f t="shared" ref="H4:H10" si="1">VLOOKUP(G4,LISTAITEMS,2,FALSE)</f>
        <v>Cobblestone</v>
      </c>
      <c r="I4" s="59">
        <f t="shared" ref="I4:I10" si="2">VLOOKUP(G4,LISTAITEMS,5,FALSE)</f>
        <v>3</v>
      </c>
      <c r="J4" s="84">
        <v>1</v>
      </c>
      <c r="K4" s="132" t="s">
        <v>926</v>
      </c>
      <c r="L4" s="107" t="str">
        <f t="shared" ref="L4:L10" si="3">VLOOKUP(K4,LISTAITEMS,2,FALSE)</f>
        <v>ninguno</v>
      </c>
      <c r="M4" s="107">
        <f t="shared" ref="M4:M10" si="4">VLOOKUP(K4,LISTAITEMS,5,FALSE)</f>
        <v>0</v>
      </c>
      <c r="N4" s="84"/>
      <c r="O4" s="132" t="s">
        <v>926</v>
      </c>
      <c r="P4" s="59" t="str">
        <f t="shared" ref="P4:P10" si="5">VLOOKUP(O4,LISTAITEMS,2,FALSE)</f>
        <v>ninguno</v>
      </c>
      <c r="Q4" s="59">
        <f t="shared" ref="Q4:Q10" si="6">VLOOKUP(O4,LISTAITEMS,5,FALSE)</f>
        <v>0</v>
      </c>
      <c r="R4" s="84"/>
      <c r="S4" s="132" t="s">
        <v>926</v>
      </c>
      <c r="T4" s="107" t="str">
        <f t="shared" ref="T4:T10" si="7">VLOOKUP(S4,LISTAITEMS,2,FALSE)</f>
        <v>ninguno</v>
      </c>
      <c r="U4" s="107">
        <f t="shared" ref="U4:U10" si="8">VLOOKUP(S4,LISTAITEMS,5,FALSE)</f>
        <v>0</v>
      </c>
      <c r="V4" s="84"/>
    </row>
    <row r="5" spans="1:22" s="108" customFormat="1" ht="14.25" customHeight="1" x14ac:dyDescent="0.25">
      <c r="A5" s="123" t="s">
        <v>218</v>
      </c>
      <c r="B5" s="71" t="s">
        <v>217</v>
      </c>
      <c r="C5" s="99">
        <v>2</v>
      </c>
      <c r="D5" s="67"/>
      <c r="E5" s="61">
        <f t="shared" si="0"/>
        <v>27.959999999999997</v>
      </c>
      <c r="F5" s="188">
        <f t="shared" ref="F5:F69" si="9">ROUNDUP(E5/6,2)</f>
        <v>4.66</v>
      </c>
      <c r="G5" s="118">
        <v>406</v>
      </c>
      <c r="H5" s="59" t="str">
        <f t="shared" si="1"/>
        <v>Nether Quartz</v>
      </c>
      <c r="I5" s="59">
        <f t="shared" si="2"/>
        <v>19</v>
      </c>
      <c r="J5" s="84">
        <v>1</v>
      </c>
      <c r="K5" s="132" t="s">
        <v>222</v>
      </c>
      <c r="L5" s="107" t="str">
        <f t="shared" si="3"/>
        <v>Diorite</v>
      </c>
      <c r="M5" s="107">
        <f t="shared" si="4"/>
        <v>27.599999999999998</v>
      </c>
      <c r="N5" s="84">
        <v>1</v>
      </c>
      <c r="O5" s="132" t="s">
        <v>926</v>
      </c>
      <c r="P5" s="59" t="str">
        <f t="shared" si="5"/>
        <v>ninguno</v>
      </c>
      <c r="Q5" s="59">
        <f t="shared" si="6"/>
        <v>0</v>
      </c>
      <c r="R5" s="84"/>
      <c r="S5" s="132" t="s">
        <v>926</v>
      </c>
      <c r="T5" s="107" t="str">
        <f t="shared" si="7"/>
        <v>ninguno</v>
      </c>
      <c r="U5" s="107">
        <f t="shared" si="8"/>
        <v>0</v>
      </c>
      <c r="V5" s="84"/>
    </row>
    <row r="6" spans="1:22" s="108" customFormat="1" ht="14.25" customHeight="1" x14ac:dyDescent="0.25">
      <c r="A6" s="123" t="s">
        <v>220</v>
      </c>
      <c r="B6" s="71" t="s">
        <v>219</v>
      </c>
      <c r="C6" s="99">
        <v>4</v>
      </c>
      <c r="D6" s="67"/>
      <c r="E6" s="61">
        <f t="shared" si="0"/>
        <v>33.551999999999992</v>
      </c>
      <c r="F6" s="188">
        <f t="shared" si="9"/>
        <v>5.6</v>
      </c>
      <c r="G6" s="118" t="s">
        <v>218</v>
      </c>
      <c r="H6" s="59" t="str">
        <f t="shared" si="1"/>
        <v>Granite</v>
      </c>
      <c r="I6" s="59">
        <f t="shared" si="2"/>
        <v>27.959999999999997</v>
      </c>
      <c r="J6" s="84">
        <v>4</v>
      </c>
      <c r="K6" s="132" t="s">
        <v>926</v>
      </c>
      <c r="L6" s="107" t="str">
        <f t="shared" si="3"/>
        <v>ninguno</v>
      </c>
      <c r="M6" s="107">
        <f t="shared" si="4"/>
        <v>0</v>
      </c>
      <c r="N6" s="84"/>
      <c r="O6" s="132" t="s">
        <v>926</v>
      </c>
      <c r="P6" s="59" t="str">
        <f>VLOOKUP(O6,LISTAITEMS,2,FALSE)</f>
        <v>ninguno</v>
      </c>
      <c r="Q6" s="59">
        <f t="shared" si="6"/>
        <v>0</v>
      </c>
      <c r="R6" s="84"/>
      <c r="S6" s="132" t="s">
        <v>926</v>
      </c>
      <c r="T6" s="107" t="str">
        <f t="shared" si="7"/>
        <v>ninguno</v>
      </c>
      <c r="U6" s="107">
        <f t="shared" si="8"/>
        <v>0</v>
      </c>
      <c r="V6" s="84"/>
    </row>
    <row r="7" spans="1:22" s="108" customFormat="1" ht="14.25" customHeight="1" x14ac:dyDescent="0.25">
      <c r="A7" s="123" t="s">
        <v>222</v>
      </c>
      <c r="B7" s="71" t="s">
        <v>221</v>
      </c>
      <c r="C7" s="99">
        <v>2</v>
      </c>
      <c r="D7" s="67"/>
      <c r="E7" s="61">
        <f t="shared" si="0"/>
        <v>27.599999999999998</v>
      </c>
      <c r="F7" s="188">
        <f t="shared" si="9"/>
        <v>4.5999999999999996</v>
      </c>
      <c r="G7" s="118">
        <v>4</v>
      </c>
      <c r="H7" s="59" t="str">
        <f t="shared" si="1"/>
        <v>Cobblestone</v>
      </c>
      <c r="I7" s="59">
        <v>2</v>
      </c>
      <c r="J7" s="84">
        <v>4</v>
      </c>
      <c r="K7" s="132">
        <v>406</v>
      </c>
      <c r="L7" s="107" t="str">
        <f t="shared" si="3"/>
        <v>Nether Quartz</v>
      </c>
      <c r="M7" s="107">
        <f t="shared" si="4"/>
        <v>19</v>
      </c>
      <c r="N7" s="84">
        <v>2</v>
      </c>
      <c r="O7" s="132" t="s">
        <v>926</v>
      </c>
      <c r="P7" s="59" t="str">
        <f t="shared" si="5"/>
        <v>ninguno</v>
      </c>
      <c r="Q7" s="59">
        <f t="shared" si="6"/>
        <v>0</v>
      </c>
      <c r="R7" s="84"/>
      <c r="S7" s="132" t="s">
        <v>926</v>
      </c>
      <c r="T7" s="107" t="str">
        <f t="shared" si="7"/>
        <v>ninguno</v>
      </c>
      <c r="U7" s="107">
        <f t="shared" si="8"/>
        <v>0</v>
      </c>
      <c r="V7" s="84"/>
    </row>
    <row r="8" spans="1:22" s="108" customFormat="1" ht="14.25" customHeight="1" x14ac:dyDescent="0.25">
      <c r="A8" s="123" t="s">
        <v>224</v>
      </c>
      <c r="B8" s="71" t="s">
        <v>223</v>
      </c>
      <c r="C8" s="99">
        <v>4</v>
      </c>
      <c r="D8" s="67"/>
      <c r="E8" s="61">
        <f t="shared" si="0"/>
        <v>33.119999999999997</v>
      </c>
      <c r="F8" s="188">
        <f t="shared" si="9"/>
        <v>5.52</v>
      </c>
      <c r="G8" s="118" t="s">
        <v>222</v>
      </c>
      <c r="H8" s="59" t="str">
        <f t="shared" si="1"/>
        <v>Diorite</v>
      </c>
      <c r="I8" s="59">
        <f t="shared" si="2"/>
        <v>27.599999999999998</v>
      </c>
      <c r="J8" s="84">
        <v>4</v>
      </c>
      <c r="K8" s="132" t="s">
        <v>926</v>
      </c>
      <c r="L8" s="107" t="str">
        <f t="shared" si="3"/>
        <v>ninguno</v>
      </c>
      <c r="M8" s="107">
        <f>VLOOKUP(K8,LISTAITEMS,5,FALSE)</f>
        <v>0</v>
      </c>
      <c r="N8" s="84"/>
      <c r="O8" s="132" t="s">
        <v>926</v>
      </c>
      <c r="P8" s="59" t="str">
        <f t="shared" si="5"/>
        <v>ninguno</v>
      </c>
      <c r="Q8" s="59">
        <f t="shared" si="6"/>
        <v>0</v>
      </c>
      <c r="R8" s="84"/>
      <c r="S8" s="132" t="s">
        <v>926</v>
      </c>
      <c r="T8" s="107" t="str">
        <f t="shared" si="7"/>
        <v>ninguno</v>
      </c>
      <c r="U8" s="107">
        <f t="shared" si="8"/>
        <v>0</v>
      </c>
      <c r="V8" s="84"/>
    </row>
    <row r="9" spans="1:22" s="108" customFormat="1" ht="14.25" customHeight="1" x14ac:dyDescent="0.25">
      <c r="A9" s="123" t="s">
        <v>226</v>
      </c>
      <c r="B9" s="71" t="s">
        <v>225</v>
      </c>
      <c r="C9" s="99">
        <v>2</v>
      </c>
      <c r="D9" s="67"/>
      <c r="E9" s="61">
        <f t="shared" si="0"/>
        <v>18.36</v>
      </c>
      <c r="F9" s="188">
        <f t="shared" si="9"/>
        <v>3.06</v>
      </c>
      <c r="G9" s="118">
        <v>4</v>
      </c>
      <c r="H9" s="59" t="str">
        <f t="shared" si="1"/>
        <v>Cobblestone</v>
      </c>
      <c r="I9" s="59">
        <f t="shared" si="2"/>
        <v>3</v>
      </c>
      <c r="J9" s="84">
        <v>1</v>
      </c>
      <c r="K9" s="132" t="s">
        <v>222</v>
      </c>
      <c r="L9" s="107" t="str">
        <f t="shared" si="3"/>
        <v>Diorite</v>
      </c>
      <c r="M9" s="107">
        <f t="shared" si="4"/>
        <v>27.599999999999998</v>
      </c>
      <c r="N9" s="84">
        <v>1</v>
      </c>
      <c r="O9" s="132" t="s">
        <v>926</v>
      </c>
      <c r="P9" s="59" t="str">
        <f t="shared" si="5"/>
        <v>ninguno</v>
      </c>
      <c r="Q9" s="59">
        <f t="shared" si="6"/>
        <v>0</v>
      </c>
      <c r="R9" s="84"/>
      <c r="S9" s="132" t="s">
        <v>926</v>
      </c>
      <c r="T9" s="107" t="str">
        <f t="shared" si="7"/>
        <v>ninguno</v>
      </c>
      <c r="U9" s="107">
        <f t="shared" si="8"/>
        <v>0</v>
      </c>
      <c r="V9" s="84"/>
    </row>
    <row r="10" spans="1:22" s="108" customFormat="1" ht="14.25" customHeight="1" x14ac:dyDescent="0.25">
      <c r="A10" s="123" t="s">
        <v>228</v>
      </c>
      <c r="B10" s="71" t="s">
        <v>227</v>
      </c>
      <c r="C10" s="99">
        <v>4</v>
      </c>
      <c r="D10" s="67"/>
      <c r="E10" s="61">
        <f t="shared" si="0"/>
        <v>22.032</v>
      </c>
      <c r="F10" s="188">
        <f t="shared" si="9"/>
        <v>3.6799999999999997</v>
      </c>
      <c r="G10" s="118" t="s">
        <v>226</v>
      </c>
      <c r="H10" s="59" t="str">
        <f t="shared" si="1"/>
        <v>Andesite</v>
      </c>
      <c r="I10" s="59">
        <f t="shared" si="2"/>
        <v>18.36</v>
      </c>
      <c r="J10" s="84">
        <v>4</v>
      </c>
      <c r="K10" s="132" t="s">
        <v>926</v>
      </c>
      <c r="L10" s="107" t="str">
        <f t="shared" si="3"/>
        <v>ninguno</v>
      </c>
      <c r="M10" s="107">
        <f t="shared" si="4"/>
        <v>0</v>
      </c>
      <c r="N10" s="84"/>
      <c r="O10" s="132" t="s">
        <v>926</v>
      </c>
      <c r="P10" s="59" t="str">
        <f t="shared" si="5"/>
        <v>ninguno</v>
      </c>
      <c r="Q10" s="59">
        <f t="shared" si="6"/>
        <v>0</v>
      </c>
      <c r="R10" s="84"/>
      <c r="S10" s="132" t="s">
        <v>926</v>
      </c>
      <c r="T10" s="107" t="str">
        <f t="shared" si="7"/>
        <v>ninguno</v>
      </c>
      <c r="U10" s="107">
        <f t="shared" si="8"/>
        <v>0</v>
      </c>
      <c r="V10" s="84"/>
    </row>
    <row r="11" spans="1:22" s="88" customFormat="1" ht="14.25" customHeight="1" x14ac:dyDescent="0.25">
      <c r="A11" s="115">
        <v>4</v>
      </c>
      <c r="B11" s="89" t="s">
        <v>229</v>
      </c>
      <c r="C11" s="100">
        <v>1</v>
      </c>
      <c r="D11" s="85"/>
      <c r="E11" s="85">
        <f>'ECONOMIA &amp; PROFESIONES'!E27</f>
        <v>3</v>
      </c>
      <c r="F11" s="188">
        <f t="shared" si="9"/>
        <v>0.5</v>
      </c>
      <c r="G11" s="86"/>
      <c r="H11" s="85"/>
      <c r="I11" s="85"/>
      <c r="J11" s="87"/>
      <c r="K11" s="87"/>
      <c r="L11" s="85"/>
      <c r="M11" s="85"/>
      <c r="N11" s="87"/>
      <c r="O11" s="87"/>
      <c r="P11" s="85"/>
      <c r="Q11" s="85"/>
      <c r="R11" s="87"/>
      <c r="S11" s="87"/>
      <c r="T11" s="85"/>
      <c r="U11" s="85"/>
      <c r="V11" s="87"/>
    </row>
    <row r="12" spans="1:22" s="108" customFormat="1" ht="14.25" customHeight="1" x14ac:dyDescent="0.25">
      <c r="A12" s="119">
        <v>5</v>
      </c>
      <c r="B12" s="68" t="s">
        <v>230</v>
      </c>
      <c r="C12" s="99">
        <v>4</v>
      </c>
      <c r="D12" s="67"/>
      <c r="E12" s="61">
        <f t="shared" ref="E12:E17" si="10">(((I12*J12)+(M12*N12)+(Q12*R12)+(U12*V12))/C12)*1.2</f>
        <v>1.2</v>
      </c>
      <c r="F12" s="188">
        <f t="shared" si="9"/>
        <v>0.2</v>
      </c>
      <c r="G12" s="118">
        <v>17</v>
      </c>
      <c r="H12" s="59" t="str">
        <f t="shared" ref="H12:H17" si="11">VLOOKUP(G12,LISTAITEMS,2,FALSE)</f>
        <v>Oak Log</v>
      </c>
      <c r="I12" s="59">
        <f t="shared" ref="I12:I17" si="12">VLOOKUP(G12,LISTAITEMS,5,FALSE)</f>
        <v>4</v>
      </c>
      <c r="J12" s="84">
        <v>1</v>
      </c>
      <c r="K12" s="132" t="s">
        <v>926</v>
      </c>
      <c r="L12" s="107" t="str">
        <f t="shared" ref="L12:L17" si="13">VLOOKUP(K12,LISTAITEMS,2,FALSE)</f>
        <v>ninguno</v>
      </c>
      <c r="M12" s="107">
        <f t="shared" ref="M12:M17" si="14">VLOOKUP(K12,LISTAITEMS,5,FALSE)</f>
        <v>0</v>
      </c>
      <c r="N12" s="84"/>
      <c r="O12" s="132" t="s">
        <v>926</v>
      </c>
      <c r="P12" s="59" t="str">
        <f t="shared" ref="P12:P17" si="15">VLOOKUP(O12,LISTAITEMS,2,FALSE)</f>
        <v>ninguno</v>
      </c>
      <c r="Q12" s="59">
        <f t="shared" ref="Q12:Q17" si="16">VLOOKUP(O12,LISTAITEMS,5,FALSE)</f>
        <v>0</v>
      </c>
      <c r="R12" s="84"/>
      <c r="S12" s="132" t="s">
        <v>926</v>
      </c>
      <c r="T12" s="107" t="str">
        <f t="shared" ref="T12:T17" si="17">VLOOKUP(S12,LISTAITEMS,2,FALSE)</f>
        <v>ninguno</v>
      </c>
      <c r="U12" s="107">
        <f t="shared" ref="U12:U17" si="18">VLOOKUP(S12,LISTAITEMS,5,FALSE)</f>
        <v>0</v>
      </c>
      <c r="V12" s="84"/>
    </row>
    <row r="13" spans="1:22" s="108" customFormat="1" ht="14.25" customHeight="1" x14ac:dyDescent="0.25">
      <c r="A13" s="119" t="s">
        <v>232</v>
      </c>
      <c r="B13" s="68" t="s">
        <v>231</v>
      </c>
      <c r="C13" s="99">
        <v>4</v>
      </c>
      <c r="D13" s="67"/>
      <c r="E13" s="61">
        <f t="shared" si="10"/>
        <v>3.3</v>
      </c>
      <c r="F13" s="188">
        <f t="shared" si="9"/>
        <v>0.55000000000000004</v>
      </c>
      <c r="G13" s="118" t="s">
        <v>244</v>
      </c>
      <c r="H13" s="59" t="str">
        <f t="shared" si="11"/>
        <v>Spruce Log</v>
      </c>
      <c r="I13" s="59">
        <f t="shared" si="12"/>
        <v>11</v>
      </c>
      <c r="J13" s="84">
        <v>1</v>
      </c>
      <c r="K13" s="132" t="s">
        <v>926</v>
      </c>
      <c r="L13" s="107" t="str">
        <f t="shared" si="13"/>
        <v>ninguno</v>
      </c>
      <c r="M13" s="107">
        <f t="shared" si="14"/>
        <v>0</v>
      </c>
      <c r="N13" s="84"/>
      <c r="O13" s="132" t="s">
        <v>926</v>
      </c>
      <c r="P13" s="59" t="str">
        <f t="shared" si="15"/>
        <v>ninguno</v>
      </c>
      <c r="Q13" s="59">
        <f t="shared" si="16"/>
        <v>0</v>
      </c>
      <c r="R13" s="84"/>
      <c r="S13" s="132" t="s">
        <v>926</v>
      </c>
      <c r="T13" s="107" t="str">
        <f t="shared" si="17"/>
        <v>ninguno</v>
      </c>
      <c r="U13" s="107">
        <f t="shared" si="18"/>
        <v>0</v>
      </c>
      <c r="V13" s="84"/>
    </row>
    <row r="14" spans="1:22" s="108" customFormat="1" ht="14.25" customHeight="1" x14ac:dyDescent="0.25">
      <c r="A14" s="119" t="s">
        <v>234</v>
      </c>
      <c r="B14" s="68" t="s">
        <v>233</v>
      </c>
      <c r="C14" s="99">
        <v>4</v>
      </c>
      <c r="D14" s="67"/>
      <c r="E14" s="61">
        <f t="shared" si="10"/>
        <v>5.0999999999999996</v>
      </c>
      <c r="F14" s="188">
        <f t="shared" si="9"/>
        <v>0.85</v>
      </c>
      <c r="G14" s="118" t="s">
        <v>246</v>
      </c>
      <c r="H14" s="59" t="str">
        <f t="shared" si="11"/>
        <v>Birch Log</v>
      </c>
      <c r="I14" s="59">
        <f t="shared" si="12"/>
        <v>17</v>
      </c>
      <c r="J14" s="84">
        <v>1</v>
      </c>
      <c r="K14" s="132" t="s">
        <v>926</v>
      </c>
      <c r="L14" s="107" t="str">
        <f t="shared" si="13"/>
        <v>ninguno</v>
      </c>
      <c r="M14" s="107">
        <f t="shared" si="14"/>
        <v>0</v>
      </c>
      <c r="N14" s="84"/>
      <c r="O14" s="132" t="s">
        <v>926</v>
      </c>
      <c r="P14" s="59" t="str">
        <f t="shared" si="15"/>
        <v>ninguno</v>
      </c>
      <c r="Q14" s="59">
        <f t="shared" si="16"/>
        <v>0</v>
      </c>
      <c r="R14" s="84"/>
      <c r="S14" s="132" t="s">
        <v>926</v>
      </c>
      <c r="T14" s="107" t="str">
        <f t="shared" si="17"/>
        <v>ninguno</v>
      </c>
      <c r="U14" s="107">
        <f t="shared" si="18"/>
        <v>0</v>
      </c>
      <c r="V14" s="84"/>
    </row>
    <row r="15" spans="1:22" s="108" customFormat="1" ht="14.25" customHeight="1" x14ac:dyDescent="0.25">
      <c r="A15" s="119" t="s">
        <v>236</v>
      </c>
      <c r="B15" s="68" t="s">
        <v>235</v>
      </c>
      <c r="C15" s="99">
        <v>4</v>
      </c>
      <c r="D15" s="67"/>
      <c r="E15" s="61">
        <f t="shared" si="10"/>
        <v>7.1999999999999993</v>
      </c>
      <c r="F15" s="188">
        <f t="shared" si="9"/>
        <v>1.2</v>
      </c>
      <c r="G15" s="118" t="s">
        <v>248</v>
      </c>
      <c r="H15" s="59" t="str">
        <f t="shared" si="11"/>
        <v>Jungle Log</v>
      </c>
      <c r="I15" s="59">
        <f t="shared" si="12"/>
        <v>24</v>
      </c>
      <c r="J15" s="84">
        <v>1</v>
      </c>
      <c r="K15" s="132" t="s">
        <v>926</v>
      </c>
      <c r="L15" s="107" t="str">
        <f t="shared" si="13"/>
        <v>ninguno</v>
      </c>
      <c r="M15" s="107">
        <f t="shared" si="14"/>
        <v>0</v>
      </c>
      <c r="N15" s="84"/>
      <c r="O15" s="132" t="s">
        <v>926</v>
      </c>
      <c r="P15" s="59" t="str">
        <f t="shared" si="15"/>
        <v>ninguno</v>
      </c>
      <c r="Q15" s="59">
        <f t="shared" si="16"/>
        <v>0</v>
      </c>
      <c r="R15" s="84"/>
      <c r="S15" s="132" t="s">
        <v>926</v>
      </c>
      <c r="T15" s="107" t="str">
        <f t="shared" si="17"/>
        <v>ninguno</v>
      </c>
      <c r="U15" s="107">
        <f t="shared" si="18"/>
        <v>0</v>
      </c>
      <c r="V15" s="84"/>
    </row>
    <row r="16" spans="1:22" s="108" customFormat="1" ht="14.25" customHeight="1" x14ac:dyDescent="0.25">
      <c r="A16" s="119" t="s">
        <v>238</v>
      </c>
      <c r="B16" s="68" t="s">
        <v>237</v>
      </c>
      <c r="C16" s="99">
        <v>4</v>
      </c>
      <c r="D16" s="67"/>
      <c r="E16" s="61">
        <f t="shared" si="10"/>
        <v>9.2999999999999989</v>
      </c>
      <c r="F16" s="188">
        <f t="shared" si="9"/>
        <v>1.55</v>
      </c>
      <c r="G16" s="118">
        <v>162</v>
      </c>
      <c r="H16" s="59" t="str">
        <f t="shared" si="11"/>
        <v>Acacia Log</v>
      </c>
      <c r="I16" s="59">
        <f t="shared" si="12"/>
        <v>31</v>
      </c>
      <c r="J16" s="84">
        <v>1</v>
      </c>
      <c r="K16" s="132" t="s">
        <v>926</v>
      </c>
      <c r="L16" s="107" t="str">
        <f t="shared" si="13"/>
        <v>ninguno</v>
      </c>
      <c r="M16" s="107">
        <f t="shared" si="14"/>
        <v>0</v>
      </c>
      <c r="N16" s="84"/>
      <c r="O16" s="132" t="s">
        <v>926</v>
      </c>
      <c r="P16" s="59" t="str">
        <f t="shared" si="15"/>
        <v>ninguno</v>
      </c>
      <c r="Q16" s="59">
        <f t="shared" si="16"/>
        <v>0</v>
      </c>
      <c r="R16" s="84"/>
      <c r="S16" s="132" t="s">
        <v>926</v>
      </c>
      <c r="T16" s="107" t="str">
        <f t="shared" si="17"/>
        <v>ninguno</v>
      </c>
      <c r="U16" s="107">
        <f t="shared" si="18"/>
        <v>0</v>
      </c>
      <c r="V16" s="84"/>
    </row>
    <row r="17" spans="1:22" s="108" customFormat="1" ht="14.25" customHeight="1" x14ac:dyDescent="0.25">
      <c r="A17" s="119" t="s">
        <v>240</v>
      </c>
      <c r="B17" s="68" t="s">
        <v>239</v>
      </c>
      <c r="C17" s="99">
        <v>4</v>
      </c>
      <c r="D17" s="67"/>
      <c r="E17" s="61">
        <f t="shared" si="10"/>
        <v>11.1</v>
      </c>
      <c r="F17" s="188">
        <f t="shared" si="9"/>
        <v>1.85</v>
      </c>
      <c r="G17" s="118" t="s">
        <v>495</v>
      </c>
      <c r="H17" s="59" t="str">
        <f t="shared" si="11"/>
        <v>Dark Oak Log</v>
      </c>
      <c r="I17" s="59">
        <f t="shared" si="12"/>
        <v>37</v>
      </c>
      <c r="J17" s="84">
        <v>1</v>
      </c>
      <c r="K17" s="132" t="s">
        <v>926</v>
      </c>
      <c r="L17" s="107" t="str">
        <f t="shared" si="13"/>
        <v>ninguno</v>
      </c>
      <c r="M17" s="107">
        <f t="shared" si="14"/>
        <v>0</v>
      </c>
      <c r="N17" s="84"/>
      <c r="O17" s="132" t="s">
        <v>926</v>
      </c>
      <c r="P17" s="59" t="str">
        <f t="shared" si="15"/>
        <v>ninguno</v>
      </c>
      <c r="Q17" s="59">
        <f t="shared" si="16"/>
        <v>0</v>
      </c>
      <c r="R17" s="84"/>
      <c r="S17" s="132" t="s">
        <v>926</v>
      </c>
      <c r="T17" s="107" t="str">
        <f t="shared" si="17"/>
        <v>ninguno</v>
      </c>
      <c r="U17" s="107">
        <f t="shared" si="18"/>
        <v>0</v>
      </c>
      <c r="V17" s="84"/>
    </row>
    <row r="18" spans="1:22" s="88" customFormat="1" ht="14.25" customHeight="1" x14ac:dyDescent="0.25">
      <c r="A18" s="115">
        <v>12</v>
      </c>
      <c r="B18" s="89" t="s">
        <v>206</v>
      </c>
      <c r="C18" s="100">
        <v>1</v>
      </c>
      <c r="D18" s="85"/>
      <c r="E18" s="85">
        <f>'ECONOMIA &amp; PROFESIONES'!$E$29</f>
        <v>11</v>
      </c>
      <c r="F18" s="188">
        <f t="shared" si="9"/>
        <v>1.84</v>
      </c>
      <c r="G18" s="86"/>
      <c r="H18" s="85"/>
      <c r="I18" s="85"/>
      <c r="J18" s="87"/>
      <c r="K18" s="87"/>
      <c r="L18" s="85"/>
      <c r="M18" s="85"/>
      <c r="N18" s="87"/>
      <c r="O18" s="87"/>
      <c r="P18" s="85"/>
      <c r="Q18" s="85"/>
      <c r="R18" s="87"/>
      <c r="S18" s="87"/>
      <c r="T18" s="85"/>
      <c r="U18" s="85"/>
      <c r="V18" s="87"/>
    </row>
    <row r="19" spans="1:22" s="88" customFormat="1" ht="14.25" customHeight="1" x14ac:dyDescent="0.25">
      <c r="A19" s="115" t="s">
        <v>242</v>
      </c>
      <c r="B19" s="89" t="s">
        <v>241</v>
      </c>
      <c r="C19" s="100">
        <v>1</v>
      </c>
      <c r="D19" s="85"/>
      <c r="E19" s="85">
        <f>'ECONOMIA &amp; PROFESIONES'!$E$32</f>
        <v>15</v>
      </c>
      <c r="F19" s="188">
        <f t="shared" si="9"/>
        <v>2.5</v>
      </c>
      <c r="G19" s="86"/>
      <c r="H19" s="85"/>
      <c r="I19" s="85"/>
      <c r="J19" s="87"/>
      <c r="K19" s="87"/>
      <c r="L19" s="85"/>
      <c r="M19" s="85"/>
      <c r="N19" s="87"/>
      <c r="O19" s="87"/>
      <c r="P19" s="85"/>
      <c r="Q19" s="85"/>
      <c r="R19" s="87"/>
      <c r="S19" s="87"/>
      <c r="T19" s="85"/>
      <c r="U19" s="85"/>
      <c r="V19" s="87"/>
    </row>
    <row r="20" spans="1:22" s="88" customFormat="1" ht="14.25" customHeight="1" x14ac:dyDescent="0.25">
      <c r="A20" s="115">
        <v>13</v>
      </c>
      <c r="B20" s="89" t="s">
        <v>1021</v>
      </c>
      <c r="C20" s="100"/>
      <c r="D20" s="85"/>
      <c r="E20" s="85">
        <f>E11</f>
        <v>3</v>
      </c>
      <c r="F20" s="188">
        <f t="shared" ref="F20" si="19">ROUNDUP(E20/6,2)</f>
        <v>0.5</v>
      </c>
      <c r="G20" s="86"/>
      <c r="H20" s="85"/>
      <c r="I20" s="85"/>
      <c r="J20" s="87"/>
      <c r="K20" s="87"/>
      <c r="L20" s="85"/>
      <c r="M20" s="85"/>
      <c r="N20" s="87"/>
      <c r="O20" s="87"/>
      <c r="P20" s="85"/>
      <c r="Q20" s="85"/>
      <c r="R20" s="87"/>
      <c r="S20" s="87"/>
      <c r="T20" s="85"/>
      <c r="U20" s="85"/>
      <c r="V20" s="87"/>
    </row>
    <row r="21" spans="1:22" s="88" customFormat="1" ht="14.25" customHeight="1" x14ac:dyDescent="0.25">
      <c r="A21" s="115">
        <v>17</v>
      </c>
      <c r="B21" s="89" t="s">
        <v>201</v>
      </c>
      <c r="C21" s="100">
        <v>1</v>
      </c>
      <c r="D21" s="85"/>
      <c r="E21" s="85">
        <f>'ECONOMIA &amp; PROFESIONES'!$G$27</f>
        <v>4</v>
      </c>
      <c r="F21" s="188">
        <f t="shared" si="9"/>
        <v>0.67</v>
      </c>
      <c r="G21" s="86"/>
      <c r="H21" s="85"/>
      <c r="I21" s="85"/>
      <c r="J21" s="87"/>
      <c r="K21" s="87"/>
      <c r="L21" s="85"/>
      <c r="M21" s="85"/>
      <c r="N21" s="87"/>
      <c r="O21" s="87"/>
      <c r="P21" s="85"/>
      <c r="Q21" s="85"/>
      <c r="R21" s="87"/>
      <c r="S21" s="87"/>
      <c r="T21" s="85"/>
      <c r="U21" s="85"/>
      <c r="V21" s="87"/>
    </row>
    <row r="22" spans="1:22" s="88" customFormat="1" ht="14.25" customHeight="1" x14ac:dyDescent="0.25">
      <c r="A22" s="115" t="s">
        <v>244</v>
      </c>
      <c r="B22" s="89" t="s">
        <v>243</v>
      </c>
      <c r="C22" s="100">
        <v>1</v>
      </c>
      <c r="D22" s="85"/>
      <c r="E22" s="85">
        <f>'ECONOMIA &amp; PROFESIONES'!$G$28</f>
        <v>11</v>
      </c>
      <c r="F22" s="188">
        <f t="shared" si="9"/>
        <v>1.84</v>
      </c>
      <c r="G22" s="86"/>
      <c r="H22" s="85"/>
      <c r="I22" s="85"/>
      <c r="J22" s="87"/>
      <c r="K22" s="87"/>
      <c r="L22" s="85"/>
      <c r="M22" s="85"/>
      <c r="N22" s="87"/>
      <c r="O22" s="87"/>
      <c r="P22" s="85"/>
      <c r="Q22" s="85"/>
      <c r="R22" s="87"/>
      <c r="S22" s="87"/>
      <c r="T22" s="85"/>
      <c r="U22" s="85"/>
      <c r="V22" s="87"/>
    </row>
    <row r="23" spans="1:22" s="88" customFormat="1" ht="14.25" customHeight="1" x14ac:dyDescent="0.25">
      <c r="A23" s="115" t="s">
        <v>246</v>
      </c>
      <c r="B23" s="89" t="s">
        <v>245</v>
      </c>
      <c r="C23" s="100">
        <v>1</v>
      </c>
      <c r="D23" s="85"/>
      <c r="E23" s="85">
        <f>'ECONOMIA &amp; PROFESIONES'!$G$29</f>
        <v>17</v>
      </c>
      <c r="F23" s="188">
        <f t="shared" si="9"/>
        <v>2.84</v>
      </c>
      <c r="G23" s="86"/>
      <c r="H23" s="85"/>
      <c r="I23" s="85"/>
      <c r="J23" s="87"/>
      <c r="K23" s="87"/>
      <c r="L23" s="85"/>
      <c r="M23" s="85"/>
      <c r="N23" s="87"/>
      <c r="O23" s="87"/>
      <c r="P23" s="85"/>
      <c r="Q23" s="85"/>
      <c r="R23" s="87"/>
      <c r="S23" s="87"/>
      <c r="T23" s="85"/>
      <c r="U23" s="85"/>
      <c r="V23" s="87"/>
    </row>
    <row r="24" spans="1:22" s="88" customFormat="1" ht="14.25" customHeight="1" x14ac:dyDescent="0.25">
      <c r="A24" s="115" t="s">
        <v>248</v>
      </c>
      <c r="B24" s="89" t="s">
        <v>247</v>
      </c>
      <c r="C24" s="100">
        <v>1</v>
      </c>
      <c r="D24" s="85"/>
      <c r="E24" s="85">
        <f>'ECONOMIA &amp; PROFESIONES'!$G$30</f>
        <v>24</v>
      </c>
      <c r="F24" s="188">
        <f t="shared" si="9"/>
        <v>4</v>
      </c>
      <c r="G24" s="86"/>
      <c r="H24" s="85"/>
      <c r="I24" s="85"/>
      <c r="J24" s="87"/>
      <c r="K24" s="87"/>
      <c r="L24" s="85"/>
      <c r="M24" s="85"/>
      <c r="N24" s="87"/>
      <c r="O24" s="87"/>
      <c r="P24" s="85"/>
      <c r="Q24" s="85"/>
      <c r="R24" s="87"/>
      <c r="S24" s="87"/>
      <c r="T24" s="85"/>
      <c r="U24" s="85"/>
      <c r="V24" s="87"/>
    </row>
    <row r="25" spans="1:22" s="108" customFormat="1" ht="14.25" customHeight="1" x14ac:dyDescent="0.25">
      <c r="A25" s="119">
        <v>20</v>
      </c>
      <c r="B25" s="68" t="s">
        <v>207</v>
      </c>
      <c r="C25" s="99">
        <v>1</v>
      </c>
      <c r="D25" s="67"/>
      <c r="E25" s="61">
        <f t="shared" ref="E25:E33" si="20">(((I25*J25)+(M25*N25)+(Q25*R25)+(U25*V25))/C25)*1.2</f>
        <v>13.2</v>
      </c>
      <c r="F25" s="188">
        <f t="shared" si="9"/>
        <v>2.2000000000000002</v>
      </c>
      <c r="G25" s="118">
        <v>12</v>
      </c>
      <c r="H25" s="59" t="str">
        <f t="shared" ref="H25:H51" si="21">VLOOKUP(G25,LISTAITEMS,2,FALSE)</f>
        <v>Sand</v>
      </c>
      <c r="I25" s="59">
        <f t="shared" ref="I25:I51" si="22">VLOOKUP(G25,LISTAITEMS,5,FALSE)</f>
        <v>11</v>
      </c>
      <c r="J25" s="84">
        <v>1</v>
      </c>
      <c r="K25" s="132" t="s">
        <v>926</v>
      </c>
      <c r="L25" s="107" t="str">
        <f t="shared" ref="L25:L51" si="23">VLOOKUP(K25,LISTAITEMS,2,FALSE)</f>
        <v>ninguno</v>
      </c>
      <c r="M25" s="107">
        <f t="shared" ref="M25:M51" si="24">VLOOKUP(K25,LISTAITEMS,5,FALSE)</f>
        <v>0</v>
      </c>
      <c r="N25" s="84"/>
      <c r="O25" s="132" t="s">
        <v>926</v>
      </c>
      <c r="P25" s="59" t="str">
        <f t="shared" ref="P25:P51" si="25">VLOOKUP(O25,LISTAITEMS,2,FALSE)</f>
        <v>ninguno</v>
      </c>
      <c r="Q25" s="59">
        <f t="shared" ref="Q25:Q51" si="26">VLOOKUP(O25,LISTAITEMS,5,FALSE)</f>
        <v>0</v>
      </c>
      <c r="R25" s="84"/>
      <c r="S25" s="132" t="s">
        <v>926</v>
      </c>
      <c r="T25" s="107" t="str">
        <f t="shared" ref="T25:T51" si="27">VLOOKUP(S25,LISTAITEMS,2,FALSE)</f>
        <v>ninguno</v>
      </c>
      <c r="U25" s="107">
        <f t="shared" ref="U25:U51" si="28">VLOOKUP(S25,LISTAITEMS,5,FALSE)</f>
        <v>0</v>
      </c>
      <c r="V25" s="84"/>
    </row>
    <row r="26" spans="1:22" s="108" customFormat="1" ht="14.25" customHeight="1" x14ac:dyDescent="0.25">
      <c r="A26" s="119">
        <v>22</v>
      </c>
      <c r="B26" s="68" t="s">
        <v>208</v>
      </c>
      <c r="C26" s="99">
        <v>1</v>
      </c>
      <c r="D26" s="67"/>
      <c r="E26" s="61">
        <f t="shared" si="20"/>
        <v>97.2</v>
      </c>
      <c r="F26" s="188">
        <f t="shared" si="9"/>
        <v>16.2</v>
      </c>
      <c r="G26" s="118" t="s">
        <v>656</v>
      </c>
      <c r="H26" s="59" t="str">
        <f t="shared" si="21"/>
        <v>Lapis Lazuli</v>
      </c>
      <c r="I26" s="59">
        <f t="shared" si="22"/>
        <v>9</v>
      </c>
      <c r="J26" s="84">
        <v>9</v>
      </c>
      <c r="K26" s="132" t="s">
        <v>926</v>
      </c>
      <c r="L26" s="107" t="str">
        <f t="shared" si="23"/>
        <v>ninguno</v>
      </c>
      <c r="M26" s="107">
        <f t="shared" si="24"/>
        <v>0</v>
      </c>
      <c r="N26" s="84"/>
      <c r="O26" s="132" t="s">
        <v>926</v>
      </c>
      <c r="P26" s="59" t="str">
        <f t="shared" si="25"/>
        <v>ninguno</v>
      </c>
      <c r="Q26" s="59">
        <f t="shared" si="26"/>
        <v>0</v>
      </c>
      <c r="R26" s="84"/>
      <c r="S26" s="132" t="s">
        <v>926</v>
      </c>
      <c r="T26" s="107" t="str">
        <f t="shared" si="27"/>
        <v>ninguno</v>
      </c>
      <c r="U26" s="107">
        <f t="shared" si="28"/>
        <v>0</v>
      </c>
      <c r="V26" s="84"/>
    </row>
    <row r="27" spans="1:22" s="108" customFormat="1" ht="14.25" customHeight="1" x14ac:dyDescent="0.25">
      <c r="A27" s="119">
        <v>23</v>
      </c>
      <c r="B27" s="68" t="s">
        <v>209</v>
      </c>
      <c r="C27" s="99">
        <v>1</v>
      </c>
      <c r="D27" s="67"/>
      <c r="E27" s="61">
        <f t="shared" si="20"/>
        <v>64.195199999999986</v>
      </c>
      <c r="F27" s="188">
        <f t="shared" si="9"/>
        <v>10.7</v>
      </c>
      <c r="G27" s="118">
        <v>4</v>
      </c>
      <c r="H27" s="59" t="str">
        <f t="shared" si="21"/>
        <v>Cobblestone</v>
      </c>
      <c r="I27" s="59">
        <f t="shared" si="22"/>
        <v>3</v>
      </c>
      <c r="J27" s="84">
        <v>7</v>
      </c>
      <c r="K27" s="132">
        <v>261</v>
      </c>
      <c r="L27" s="107" t="str">
        <f t="shared" si="23"/>
        <v>Bow</v>
      </c>
      <c r="M27" s="107">
        <f t="shared" si="24"/>
        <v>17.495999999999999</v>
      </c>
      <c r="N27" s="84">
        <v>1</v>
      </c>
      <c r="O27" s="132">
        <v>331</v>
      </c>
      <c r="P27" s="59" t="str">
        <f t="shared" si="25"/>
        <v>Redstone Dust</v>
      </c>
      <c r="Q27" s="59">
        <f t="shared" si="26"/>
        <v>15</v>
      </c>
      <c r="R27" s="84">
        <v>1</v>
      </c>
      <c r="S27" s="132" t="s">
        <v>926</v>
      </c>
      <c r="T27" s="107" t="str">
        <f t="shared" si="27"/>
        <v>ninguno</v>
      </c>
      <c r="U27" s="107">
        <f t="shared" si="28"/>
        <v>0</v>
      </c>
      <c r="V27" s="84"/>
    </row>
    <row r="28" spans="1:22" s="108" customFormat="1" ht="14.25" customHeight="1" x14ac:dyDescent="0.25">
      <c r="A28" s="119">
        <v>24</v>
      </c>
      <c r="B28" s="68" t="s">
        <v>249</v>
      </c>
      <c r="C28" s="99">
        <v>1</v>
      </c>
      <c r="D28" s="67"/>
      <c r="E28" s="61">
        <f t="shared" si="20"/>
        <v>52.8</v>
      </c>
      <c r="F28" s="188">
        <f t="shared" si="9"/>
        <v>8.8000000000000007</v>
      </c>
      <c r="G28" s="118">
        <v>12</v>
      </c>
      <c r="H28" s="59" t="str">
        <f t="shared" si="21"/>
        <v>Sand</v>
      </c>
      <c r="I28" s="59">
        <f t="shared" si="22"/>
        <v>11</v>
      </c>
      <c r="J28" s="84">
        <v>4</v>
      </c>
      <c r="K28" s="132" t="s">
        <v>926</v>
      </c>
      <c r="L28" s="107" t="str">
        <f t="shared" si="23"/>
        <v>ninguno</v>
      </c>
      <c r="M28" s="107">
        <f t="shared" si="24"/>
        <v>0</v>
      </c>
      <c r="N28" s="84"/>
      <c r="O28" s="132" t="s">
        <v>926</v>
      </c>
      <c r="P28" s="59" t="str">
        <f t="shared" si="25"/>
        <v>ninguno</v>
      </c>
      <c r="Q28" s="59">
        <f t="shared" si="26"/>
        <v>0</v>
      </c>
      <c r="R28" s="84"/>
      <c r="S28" s="132" t="s">
        <v>926</v>
      </c>
      <c r="T28" s="107" t="str">
        <f t="shared" si="27"/>
        <v>ninguno</v>
      </c>
      <c r="U28" s="107">
        <f t="shared" si="28"/>
        <v>0</v>
      </c>
      <c r="V28" s="84"/>
    </row>
    <row r="29" spans="1:22" s="108" customFormat="1" ht="14.25" customHeight="1" x14ac:dyDescent="0.25">
      <c r="A29" s="119" t="s">
        <v>251</v>
      </c>
      <c r="B29" s="68" t="s">
        <v>250</v>
      </c>
      <c r="C29" s="99">
        <v>1</v>
      </c>
      <c r="D29" s="67"/>
      <c r="E29" s="61">
        <f t="shared" si="20"/>
        <v>76.031999999999982</v>
      </c>
      <c r="F29" s="188">
        <f t="shared" si="9"/>
        <v>12.68</v>
      </c>
      <c r="G29" s="118" t="s">
        <v>308</v>
      </c>
      <c r="H29" s="59" t="str">
        <f t="shared" si="21"/>
        <v>Sandstone Slab</v>
      </c>
      <c r="I29" s="59">
        <f t="shared" si="22"/>
        <v>31.679999999999993</v>
      </c>
      <c r="J29" s="84">
        <v>2</v>
      </c>
      <c r="K29" s="132" t="s">
        <v>926</v>
      </c>
      <c r="L29" s="107" t="str">
        <f t="shared" si="23"/>
        <v>ninguno</v>
      </c>
      <c r="M29" s="107">
        <f t="shared" si="24"/>
        <v>0</v>
      </c>
      <c r="N29" s="84"/>
      <c r="O29" s="132" t="s">
        <v>926</v>
      </c>
      <c r="P29" s="59" t="str">
        <f t="shared" si="25"/>
        <v>ninguno</v>
      </c>
      <c r="Q29" s="59">
        <f t="shared" si="26"/>
        <v>0</v>
      </c>
      <c r="R29" s="84"/>
      <c r="S29" s="132" t="s">
        <v>926</v>
      </c>
      <c r="T29" s="107" t="str">
        <f t="shared" si="27"/>
        <v>ninguno</v>
      </c>
      <c r="U29" s="107">
        <f t="shared" si="28"/>
        <v>0</v>
      </c>
      <c r="V29" s="84"/>
    </row>
    <row r="30" spans="1:22" s="108" customFormat="1" ht="14.25" customHeight="1" x14ac:dyDescent="0.25">
      <c r="A30" s="119" t="s">
        <v>253</v>
      </c>
      <c r="B30" s="68" t="s">
        <v>252</v>
      </c>
      <c r="C30" s="99">
        <v>4</v>
      </c>
      <c r="D30" s="67"/>
      <c r="E30" s="61">
        <f t="shared" si="20"/>
        <v>63.359999999999992</v>
      </c>
      <c r="F30" s="188">
        <f t="shared" si="9"/>
        <v>10.56</v>
      </c>
      <c r="G30" s="118">
        <v>24</v>
      </c>
      <c r="H30" s="59" t="str">
        <f t="shared" si="21"/>
        <v>Sandstone</v>
      </c>
      <c r="I30" s="59">
        <f t="shared" si="22"/>
        <v>52.8</v>
      </c>
      <c r="J30" s="84">
        <v>4</v>
      </c>
      <c r="K30" s="132" t="s">
        <v>926</v>
      </c>
      <c r="L30" s="107" t="str">
        <f t="shared" si="23"/>
        <v>ninguno</v>
      </c>
      <c r="M30" s="107">
        <f t="shared" si="24"/>
        <v>0</v>
      </c>
      <c r="N30" s="84"/>
      <c r="O30" s="132" t="s">
        <v>926</v>
      </c>
      <c r="P30" s="59" t="str">
        <f t="shared" si="25"/>
        <v>ninguno</v>
      </c>
      <c r="Q30" s="59">
        <f t="shared" si="26"/>
        <v>0</v>
      </c>
      <c r="R30" s="84"/>
      <c r="S30" s="132" t="s">
        <v>926</v>
      </c>
      <c r="T30" s="107" t="str">
        <f t="shared" si="27"/>
        <v>ninguno</v>
      </c>
      <c r="U30" s="107">
        <f t="shared" si="28"/>
        <v>0</v>
      </c>
      <c r="V30" s="84"/>
    </row>
    <row r="31" spans="1:22" s="108" customFormat="1" ht="14.25" customHeight="1" x14ac:dyDescent="0.25">
      <c r="A31" s="119">
        <v>27</v>
      </c>
      <c r="B31" s="68" t="s">
        <v>254</v>
      </c>
      <c r="C31" s="99">
        <v>6</v>
      </c>
      <c r="D31" s="67"/>
      <c r="E31" s="61">
        <f t="shared" si="20"/>
        <v>1923.0720000000001</v>
      </c>
      <c r="F31" s="188">
        <f t="shared" si="9"/>
        <v>320.52</v>
      </c>
      <c r="G31" s="118">
        <v>266</v>
      </c>
      <c r="H31" s="59" t="str">
        <f t="shared" si="21"/>
        <v>Gold Ingot</v>
      </c>
      <c r="I31" s="59">
        <f t="shared" si="22"/>
        <v>1600</v>
      </c>
      <c r="J31" s="84">
        <v>6</v>
      </c>
      <c r="K31" s="132">
        <v>280</v>
      </c>
      <c r="L31" s="107" t="str">
        <f t="shared" si="23"/>
        <v>Stick</v>
      </c>
      <c r="M31" s="107">
        <f t="shared" si="24"/>
        <v>0.36</v>
      </c>
      <c r="N31" s="84">
        <v>1</v>
      </c>
      <c r="O31" s="132">
        <v>331</v>
      </c>
      <c r="P31" s="59" t="str">
        <f t="shared" si="25"/>
        <v>Redstone Dust</v>
      </c>
      <c r="Q31" s="59">
        <f t="shared" si="26"/>
        <v>15</v>
      </c>
      <c r="R31" s="84">
        <v>1</v>
      </c>
      <c r="S31" s="132" t="s">
        <v>926</v>
      </c>
      <c r="T31" s="107" t="str">
        <f t="shared" si="27"/>
        <v>ninguno</v>
      </c>
      <c r="U31" s="107">
        <f t="shared" si="28"/>
        <v>0</v>
      </c>
      <c r="V31" s="84"/>
    </row>
    <row r="32" spans="1:22" s="108" customFormat="1" ht="14.25" customHeight="1" x14ac:dyDescent="0.25">
      <c r="A32" s="119">
        <v>28</v>
      </c>
      <c r="B32" s="68" t="s">
        <v>255</v>
      </c>
      <c r="C32" s="99">
        <v>6</v>
      </c>
      <c r="D32" s="67"/>
      <c r="E32" s="61">
        <f t="shared" si="20"/>
        <v>964.72800000000007</v>
      </c>
      <c r="F32" s="188">
        <f t="shared" si="9"/>
        <v>160.79</v>
      </c>
      <c r="G32" s="118">
        <v>265</v>
      </c>
      <c r="H32" s="59" t="str">
        <f t="shared" si="21"/>
        <v>Iron Ingot</v>
      </c>
      <c r="I32" s="59">
        <f t="shared" si="22"/>
        <v>800</v>
      </c>
      <c r="J32" s="84">
        <v>6</v>
      </c>
      <c r="K32" s="132">
        <v>70</v>
      </c>
      <c r="L32" s="107" t="str">
        <f t="shared" si="23"/>
        <v>Stone Pressure Plate</v>
      </c>
      <c r="M32" s="107">
        <f t="shared" si="24"/>
        <v>8.6399999999999988</v>
      </c>
      <c r="N32" s="84">
        <v>1</v>
      </c>
      <c r="O32" s="132">
        <v>331</v>
      </c>
      <c r="P32" s="59" t="str">
        <f t="shared" si="25"/>
        <v>Redstone Dust</v>
      </c>
      <c r="Q32" s="59">
        <f t="shared" si="26"/>
        <v>15</v>
      </c>
      <c r="R32" s="84">
        <v>1</v>
      </c>
      <c r="S32" s="132" t="s">
        <v>926</v>
      </c>
      <c r="T32" s="107" t="str">
        <f t="shared" si="27"/>
        <v>ninguno</v>
      </c>
      <c r="U32" s="107">
        <f t="shared" si="28"/>
        <v>0</v>
      </c>
      <c r="V32" s="84"/>
    </row>
    <row r="33" spans="1:22" s="110" customFormat="1" ht="14.25" customHeight="1" x14ac:dyDescent="0.25">
      <c r="A33" s="119">
        <v>29</v>
      </c>
      <c r="B33" s="68" t="s">
        <v>256</v>
      </c>
      <c r="C33" s="101">
        <v>1</v>
      </c>
      <c r="D33" s="111"/>
      <c r="E33" s="61">
        <f t="shared" si="20"/>
        <v>1221.2639999999999</v>
      </c>
      <c r="F33" s="188">
        <f t="shared" si="9"/>
        <v>203.54999999999998</v>
      </c>
      <c r="G33" s="135">
        <v>33</v>
      </c>
      <c r="H33" s="59" t="str">
        <f t="shared" si="21"/>
        <v>Piston</v>
      </c>
      <c r="I33" s="59">
        <f t="shared" si="22"/>
        <v>996.72</v>
      </c>
      <c r="J33" s="112">
        <v>1</v>
      </c>
      <c r="K33" s="138">
        <v>341</v>
      </c>
      <c r="L33" s="107" t="str">
        <f t="shared" si="23"/>
        <v>Slime Ball</v>
      </c>
      <c r="M33" s="107">
        <f t="shared" si="24"/>
        <v>21</v>
      </c>
      <c r="N33" s="84">
        <v>1</v>
      </c>
      <c r="O33" s="132" t="s">
        <v>926</v>
      </c>
      <c r="P33" s="59" t="str">
        <f t="shared" si="25"/>
        <v>ninguno</v>
      </c>
      <c r="Q33" s="59">
        <f t="shared" si="26"/>
        <v>0</v>
      </c>
      <c r="R33" s="84"/>
      <c r="S33" s="132" t="s">
        <v>926</v>
      </c>
      <c r="T33" s="107" t="str">
        <f t="shared" si="27"/>
        <v>ninguno</v>
      </c>
      <c r="U33" s="107">
        <f t="shared" si="28"/>
        <v>0</v>
      </c>
      <c r="V33" s="84"/>
    </row>
    <row r="34" spans="1:22" s="114" customFormat="1" ht="14.25" customHeight="1" x14ac:dyDescent="0.25">
      <c r="A34" s="115">
        <v>30</v>
      </c>
      <c r="B34" s="89" t="s">
        <v>257</v>
      </c>
      <c r="C34" s="113"/>
      <c r="D34" s="85"/>
      <c r="E34" s="85">
        <v>10</v>
      </c>
      <c r="F34" s="188">
        <f t="shared" si="9"/>
        <v>1.67</v>
      </c>
      <c r="G34" s="136"/>
      <c r="H34" s="85"/>
      <c r="I34" s="85"/>
      <c r="J34" s="85"/>
      <c r="K34" s="133"/>
      <c r="L34" s="85"/>
      <c r="M34" s="85"/>
      <c r="N34" s="85"/>
      <c r="O34" s="133"/>
      <c r="P34" s="85"/>
      <c r="Q34" s="85"/>
      <c r="R34" s="85"/>
      <c r="S34" s="133"/>
      <c r="T34" s="85"/>
      <c r="U34" s="85"/>
      <c r="V34" s="85"/>
    </row>
    <row r="35" spans="1:22" s="108" customFormat="1" ht="14.25" customHeight="1" x14ac:dyDescent="0.25">
      <c r="A35" s="119">
        <v>33</v>
      </c>
      <c r="B35" s="68" t="s">
        <v>258</v>
      </c>
      <c r="C35" s="99">
        <v>1</v>
      </c>
      <c r="D35" s="67"/>
      <c r="E35" s="61">
        <f t="shared" ref="E35:E51" si="29">(((I35*J35)+(M35*N35)+(Q35*R35)+(U35*V35))/C35)*1.2</f>
        <v>996.72</v>
      </c>
      <c r="F35" s="188">
        <f t="shared" si="9"/>
        <v>166.12</v>
      </c>
      <c r="G35" s="118">
        <v>5</v>
      </c>
      <c r="H35" s="59" t="str">
        <f t="shared" si="21"/>
        <v>Oak Planks</v>
      </c>
      <c r="I35" s="59">
        <f t="shared" si="22"/>
        <v>1.2</v>
      </c>
      <c r="J35" s="84">
        <v>3</v>
      </c>
      <c r="K35" s="132">
        <v>4</v>
      </c>
      <c r="L35" s="107" t="str">
        <f t="shared" si="23"/>
        <v>Cobblestone</v>
      </c>
      <c r="M35" s="107">
        <f t="shared" si="24"/>
        <v>3</v>
      </c>
      <c r="N35" s="84">
        <v>4</v>
      </c>
      <c r="O35" s="132">
        <v>331</v>
      </c>
      <c r="P35" s="59" t="str">
        <f t="shared" si="25"/>
        <v>Redstone Dust</v>
      </c>
      <c r="Q35" s="59">
        <f t="shared" si="26"/>
        <v>15</v>
      </c>
      <c r="R35" s="84">
        <v>1</v>
      </c>
      <c r="S35" s="132">
        <v>265</v>
      </c>
      <c r="T35" s="107" t="str">
        <f t="shared" si="27"/>
        <v>Iron Ingot</v>
      </c>
      <c r="U35" s="107">
        <f t="shared" si="28"/>
        <v>800</v>
      </c>
      <c r="V35" s="84">
        <v>1</v>
      </c>
    </row>
    <row r="36" spans="1:22" s="108" customFormat="1" ht="14.25" customHeight="1" x14ac:dyDescent="0.25">
      <c r="A36" s="119">
        <v>35</v>
      </c>
      <c r="B36" s="68" t="s">
        <v>259</v>
      </c>
      <c r="C36" s="99">
        <v>1</v>
      </c>
      <c r="D36" s="67"/>
      <c r="E36" s="61">
        <f>(((I36*J36)+(M36*N36)+(Q36*R36)+(U36*V36))/C36)*1.2</f>
        <v>21.599999999999998</v>
      </c>
      <c r="F36" s="188">
        <f t="shared" si="9"/>
        <v>3.6</v>
      </c>
      <c r="G36" s="118">
        <v>287</v>
      </c>
      <c r="H36" s="59" t="str">
        <f t="shared" si="21"/>
        <v>String</v>
      </c>
      <c r="I36" s="59">
        <f t="shared" si="22"/>
        <v>4.5</v>
      </c>
      <c r="J36" s="84">
        <v>4</v>
      </c>
      <c r="K36" s="132" t="s">
        <v>926</v>
      </c>
      <c r="L36" s="107" t="str">
        <f t="shared" si="23"/>
        <v>ninguno</v>
      </c>
      <c r="M36" s="107">
        <f t="shared" si="24"/>
        <v>0</v>
      </c>
      <c r="N36" s="84"/>
      <c r="O36" s="132" t="s">
        <v>926</v>
      </c>
      <c r="P36" s="59" t="str">
        <f t="shared" si="25"/>
        <v>ninguno</v>
      </c>
      <c r="Q36" s="59">
        <f t="shared" si="26"/>
        <v>0</v>
      </c>
      <c r="R36" s="84"/>
      <c r="S36" s="132" t="s">
        <v>926</v>
      </c>
      <c r="T36" s="107" t="str">
        <f t="shared" si="27"/>
        <v>ninguno</v>
      </c>
      <c r="U36" s="107">
        <f t="shared" si="28"/>
        <v>0</v>
      </c>
      <c r="V36" s="84"/>
    </row>
    <row r="37" spans="1:22" s="108" customFormat="1" ht="14.25" customHeight="1" x14ac:dyDescent="0.25">
      <c r="A37" s="119" t="s">
        <v>260</v>
      </c>
      <c r="B37" s="68" t="s">
        <v>210</v>
      </c>
      <c r="C37" s="99">
        <v>1</v>
      </c>
      <c r="D37" s="67"/>
      <c r="E37" s="61">
        <f t="shared" si="29"/>
        <v>51.839999999999996</v>
      </c>
      <c r="F37" s="188">
        <f t="shared" si="9"/>
        <v>8.64</v>
      </c>
      <c r="G37" s="118">
        <v>35</v>
      </c>
      <c r="H37" s="59" t="str">
        <f t="shared" si="21"/>
        <v>Wool</v>
      </c>
      <c r="I37" s="59">
        <f t="shared" si="22"/>
        <v>21.599999999999998</v>
      </c>
      <c r="J37" s="84">
        <v>1</v>
      </c>
      <c r="K37" s="132" t="s">
        <v>676</v>
      </c>
      <c r="L37" s="107" t="str">
        <f t="shared" si="23"/>
        <v>Orange Dye</v>
      </c>
      <c r="M37" s="107">
        <f t="shared" si="24"/>
        <v>21.599999999999998</v>
      </c>
      <c r="N37" s="84">
        <v>1</v>
      </c>
      <c r="O37" s="132" t="s">
        <v>926</v>
      </c>
      <c r="P37" s="59" t="str">
        <f t="shared" si="25"/>
        <v>ninguno</v>
      </c>
      <c r="Q37" s="59">
        <f t="shared" si="26"/>
        <v>0</v>
      </c>
      <c r="R37" s="84"/>
      <c r="S37" s="132" t="s">
        <v>926</v>
      </c>
      <c r="T37" s="107" t="str">
        <f t="shared" si="27"/>
        <v>ninguno</v>
      </c>
      <c r="U37" s="107">
        <f t="shared" si="28"/>
        <v>0</v>
      </c>
      <c r="V37" s="84"/>
    </row>
    <row r="38" spans="1:22" s="108" customFormat="1" ht="14.25" customHeight="1" x14ac:dyDescent="0.25">
      <c r="A38" s="119" t="s">
        <v>262</v>
      </c>
      <c r="B38" s="68" t="s">
        <v>261</v>
      </c>
      <c r="C38" s="99">
        <v>1</v>
      </c>
      <c r="D38" s="67"/>
      <c r="E38" s="61">
        <f t="shared" si="29"/>
        <v>88.128</v>
      </c>
      <c r="F38" s="188">
        <f t="shared" si="9"/>
        <v>14.69</v>
      </c>
      <c r="G38" s="118">
        <v>35</v>
      </c>
      <c r="H38" s="59" t="str">
        <f t="shared" si="21"/>
        <v>Wool</v>
      </c>
      <c r="I38" s="59">
        <f t="shared" si="22"/>
        <v>21.599999999999998</v>
      </c>
      <c r="J38" s="84">
        <v>1</v>
      </c>
      <c r="K38" s="132" t="s">
        <v>674</v>
      </c>
      <c r="L38" s="107" t="str">
        <f t="shared" si="23"/>
        <v>Magenta Dye</v>
      </c>
      <c r="M38" s="107">
        <f t="shared" si="24"/>
        <v>51.839999999999996</v>
      </c>
      <c r="N38" s="84">
        <v>1</v>
      </c>
      <c r="O38" s="132" t="s">
        <v>926</v>
      </c>
      <c r="P38" s="59" t="str">
        <f t="shared" si="25"/>
        <v>ninguno</v>
      </c>
      <c r="Q38" s="59">
        <f t="shared" si="26"/>
        <v>0</v>
      </c>
      <c r="R38" s="84"/>
      <c r="S38" s="132" t="s">
        <v>926</v>
      </c>
      <c r="T38" s="107" t="str">
        <f t="shared" si="27"/>
        <v>ninguno</v>
      </c>
      <c r="U38" s="107">
        <f t="shared" si="28"/>
        <v>0</v>
      </c>
      <c r="V38" s="84"/>
    </row>
    <row r="39" spans="1:22" s="108" customFormat="1" ht="14.25" customHeight="1" x14ac:dyDescent="0.25">
      <c r="A39" s="119" t="s">
        <v>264</v>
      </c>
      <c r="B39" s="68" t="s">
        <v>263</v>
      </c>
      <c r="C39" s="99">
        <v>1</v>
      </c>
      <c r="D39" s="67"/>
      <c r="E39" s="61">
        <f t="shared" si="29"/>
        <v>51.839999999999996</v>
      </c>
      <c r="F39" s="188">
        <f t="shared" si="9"/>
        <v>8.64</v>
      </c>
      <c r="G39" s="118">
        <v>35</v>
      </c>
      <c r="H39" s="59" t="str">
        <f t="shared" si="21"/>
        <v>Wool</v>
      </c>
      <c r="I39" s="59">
        <f t="shared" si="22"/>
        <v>21.599999999999998</v>
      </c>
      <c r="J39" s="84">
        <v>1</v>
      </c>
      <c r="K39" s="132" t="s">
        <v>672</v>
      </c>
      <c r="L39" s="107" t="str">
        <f t="shared" si="23"/>
        <v>Light Blue Dye</v>
      </c>
      <c r="M39" s="107">
        <f t="shared" si="24"/>
        <v>21.599999999999998</v>
      </c>
      <c r="N39" s="84">
        <v>1</v>
      </c>
      <c r="O39" s="132" t="s">
        <v>926</v>
      </c>
      <c r="P39" s="59" t="str">
        <f t="shared" si="25"/>
        <v>ninguno</v>
      </c>
      <c r="Q39" s="59">
        <f t="shared" si="26"/>
        <v>0</v>
      </c>
      <c r="R39" s="84"/>
      <c r="S39" s="132" t="s">
        <v>926</v>
      </c>
      <c r="T39" s="107" t="str">
        <f t="shared" si="27"/>
        <v>ninguno</v>
      </c>
      <c r="U39" s="107">
        <f t="shared" si="28"/>
        <v>0</v>
      </c>
      <c r="V39" s="84"/>
    </row>
    <row r="40" spans="1:22" s="108" customFormat="1" ht="14.25" customHeight="1" x14ac:dyDescent="0.25">
      <c r="A40" s="119" t="s">
        <v>265</v>
      </c>
      <c r="B40" s="68" t="s">
        <v>211</v>
      </c>
      <c r="C40" s="99">
        <v>1</v>
      </c>
      <c r="D40" s="67"/>
      <c r="E40" s="61">
        <f t="shared" si="29"/>
        <v>36.72</v>
      </c>
      <c r="F40" s="188">
        <f t="shared" si="9"/>
        <v>6.12</v>
      </c>
      <c r="G40" s="118">
        <v>35</v>
      </c>
      <c r="H40" s="59" t="str">
        <f t="shared" si="21"/>
        <v>Wool</v>
      </c>
      <c r="I40" s="59">
        <f t="shared" si="22"/>
        <v>21.599999999999998</v>
      </c>
      <c r="J40" s="84">
        <v>1</v>
      </c>
      <c r="K40" s="132" t="s">
        <v>670</v>
      </c>
      <c r="L40" s="107" t="str">
        <f t="shared" si="23"/>
        <v>Yellow Dye</v>
      </c>
      <c r="M40" s="107">
        <f t="shared" si="24"/>
        <v>9</v>
      </c>
      <c r="N40" s="84">
        <v>1</v>
      </c>
      <c r="O40" s="132" t="s">
        <v>926</v>
      </c>
      <c r="P40" s="59" t="str">
        <f t="shared" si="25"/>
        <v>ninguno</v>
      </c>
      <c r="Q40" s="59">
        <f t="shared" si="26"/>
        <v>0</v>
      </c>
      <c r="R40" s="84"/>
      <c r="S40" s="132" t="s">
        <v>926</v>
      </c>
      <c r="T40" s="107" t="str">
        <f t="shared" si="27"/>
        <v>ninguno</v>
      </c>
      <c r="U40" s="107">
        <f t="shared" si="28"/>
        <v>0</v>
      </c>
      <c r="V40" s="84"/>
    </row>
    <row r="41" spans="1:22" s="108" customFormat="1" ht="14.25" customHeight="1" x14ac:dyDescent="0.25">
      <c r="A41" s="119" t="s">
        <v>267</v>
      </c>
      <c r="B41" s="68" t="s">
        <v>266</v>
      </c>
      <c r="C41" s="99">
        <v>1</v>
      </c>
      <c r="D41" s="67"/>
      <c r="E41" s="61">
        <f t="shared" si="29"/>
        <v>64.8</v>
      </c>
      <c r="F41" s="188">
        <f t="shared" si="9"/>
        <v>10.8</v>
      </c>
      <c r="G41" s="118">
        <v>35</v>
      </c>
      <c r="H41" s="59" t="str">
        <f t="shared" si="21"/>
        <v>Wool</v>
      </c>
      <c r="I41" s="59">
        <f t="shared" si="22"/>
        <v>21.599999999999998</v>
      </c>
      <c r="J41" s="84">
        <v>1</v>
      </c>
      <c r="K41" s="132" t="s">
        <v>668</v>
      </c>
      <c r="L41" s="107" t="str">
        <f t="shared" si="23"/>
        <v>Lime Dye</v>
      </c>
      <c r="M41" s="107">
        <f t="shared" si="24"/>
        <v>32.4</v>
      </c>
      <c r="N41" s="84">
        <v>1</v>
      </c>
      <c r="O41" s="132" t="s">
        <v>926</v>
      </c>
      <c r="P41" s="59" t="str">
        <f t="shared" si="25"/>
        <v>ninguno</v>
      </c>
      <c r="Q41" s="59">
        <f t="shared" si="26"/>
        <v>0</v>
      </c>
      <c r="R41" s="84"/>
      <c r="S41" s="132" t="s">
        <v>926</v>
      </c>
      <c r="T41" s="107" t="str">
        <f t="shared" si="27"/>
        <v>ninguno</v>
      </c>
      <c r="U41" s="107">
        <f t="shared" si="28"/>
        <v>0</v>
      </c>
      <c r="V41" s="84"/>
    </row>
    <row r="42" spans="1:22" s="108" customFormat="1" ht="14.25" customHeight="1" x14ac:dyDescent="0.25">
      <c r="A42" s="119" t="s">
        <v>268</v>
      </c>
      <c r="B42" s="68" t="s">
        <v>212</v>
      </c>
      <c r="C42" s="99">
        <v>1</v>
      </c>
      <c r="D42" s="67"/>
      <c r="E42" s="61">
        <f t="shared" si="29"/>
        <v>51.839999999999996</v>
      </c>
      <c r="F42" s="188">
        <f t="shared" si="9"/>
        <v>8.64</v>
      </c>
      <c r="G42" s="118">
        <v>35</v>
      </c>
      <c r="H42" s="59" t="str">
        <f t="shared" si="21"/>
        <v>Wool</v>
      </c>
      <c r="I42" s="59">
        <f t="shared" si="22"/>
        <v>21.599999999999998</v>
      </c>
      <c r="J42" s="84">
        <v>1</v>
      </c>
      <c r="K42" s="132" t="s">
        <v>666</v>
      </c>
      <c r="L42" s="107" t="str">
        <f t="shared" si="23"/>
        <v>Pink Dye</v>
      </c>
      <c r="M42" s="107">
        <f t="shared" si="24"/>
        <v>21.599999999999998</v>
      </c>
      <c r="N42" s="84">
        <v>1</v>
      </c>
      <c r="O42" s="132" t="s">
        <v>926</v>
      </c>
      <c r="P42" s="59" t="str">
        <f t="shared" si="25"/>
        <v>ninguno</v>
      </c>
      <c r="Q42" s="59">
        <f t="shared" si="26"/>
        <v>0</v>
      </c>
      <c r="R42" s="84"/>
      <c r="S42" s="132" t="s">
        <v>926</v>
      </c>
      <c r="T42" s="107" t="str">
        <f t="shared" si="27"/>
        <v>ninguno</v>
      </c>
      <c r="U42" s="107">
        <f t="shared" si="28"/>
        <v>0</v>
      </c>
      <c r="V42" s="84"/>
    </row>
    <row r="43" spans="1:22" s="108" customFormat="1" ht="14.25" customHeight="1" x14ac:dyDescent="0.25">
      <c r="A43" s="119" t="s">
        <v>269</v>
      </c>
      <c r="B43" s="68" t="s">
        <v>213</v>
      </c>
      <c r="C43" s="99">
        <v>1</v>
      </c>
      <c r="D43" s="67"/>
      <c r="E43" s="61">
        <f t="shared" si="29"/>
        <v>51.839999999999996</v>
      </c>
      <c r="F43" s="188">
        <f t="shared" si="9"/>
        <v>8.64</v>
      </c>
      <c r="G43" s="118">
        <v>35</v>
      </c>
      <c r="H43" s="59" t="str">
        <f t="shared" si="21"/>
        <v>Wool</v>
      </c>
      <c r="I43" s="59">
        <f t="shared" si="22"/>
        <v>21.599999999999998</v>
      </c>
      <c r="J43" s="84">
        <v>1</v>
      </c>
      <c r="K43" s="132" t="s">
        <v>664</v>
      </c>
      <c r="L43" s="107" t="str">
        <f t="shared" si="23"/>
        <v>Gray Dye</v>
      </c>
      <c r="M43" s="107">
        <f t="shared" si="24"/>
        <v>21.599999999999998</v>
      </c>
      <c r="N43" s="84">
        <v>1</v>
      </c>
      <c r="O43" s="132" t="s">
        <v>926</v>
      </c>
      <c r="P43" s="59" t="str">
        <f t="shared" si="25"/>
        <v>ninguno</v>
      </c>
      <c r="Q43" s="59">
        <f t="shared" si="26"/>
        <v>0</v>
      </c>
      <c r="R43" s="84"/>
      <c r="S43" s="132" t="s">
        <v>926</v>
      </c>
      <c r="T43" s="107" t="str">
        <f t="shared" si="27"/>
        <v>ninguno</v>
      </c>
      <c r="U43" s="107">
        <f t="shared" si="28"/>
        <v>0</v>
      </c>
      <c r="V43" s="84"/>
    </row>
    <row r="44" spans="1:22" s="108" customFormat="1" ht="14.25" customHeight="1" x14ac:dyDescent="0.25">
      <c r="A44" s="119" t="s">
        <v>270</v>
      </c>
      <c r="B44" s="68" t="s">
        <v>214</v>
      </c>
      <c r="C44" s="99">
        <v>1</v>
      </c>
      <c r="D44" s="67"/>
      <c r="E44" s="61">
        <f>(((I44*J44)+(M44*N44)+(Q44*R44)+(U44*V44))/C44)*1.2</f>
        <v>69.983999999999995</v>
      </c>
      <c r="F44" s="188">
        <f t="shared" si="9"/>
        <v>11.67</v>
      </c>
      <c r="G44" s="118">
        <v>35</v>
      </c>
      <c r="H44" s="59" t="str">
        <f t="shared" si="21"/>
        <v>Wool</v>
      </c>
      <c r="I44" s="59">
        <f t="shared" si="22"/>
        <v>21.599999999999998</v>
      </c>
      <c r="J44" s="84">
        <v>1</v>
      </c>
      <c r="K44" s="132" t="s">
        <v>662</v>
      </c>
      <c r="L44" s="107" t="str">
        <f t="shared" si="23"/>
        <v>Light Gray Dye</v>
      </c>
      <c r="M44" s="107">
        <f t="shared" si="24"/>
        <v>36.72</v>
      </c>
      <c r="N44" s="84">
        <v>1</v>
      </c>
      <c r="O44" s="132" t="s">
        <v>926</v>
      </c>
      <c r="P44" s="59" t="str">
        <f t="shared" si="25"/>
        <v>ninguno</v>
      </c>
      <c r="Q44" s="59">
        <f t="shared" si="26"/>
        <v>0</v>
      </c>
      <c r="R44" s="84"/>
      <c r="S44" s="132" t="s">
        <v>926</v>
      </c>
      <c r="T44" s="107" t="str">
        <f t="shared" si="27"/>
        <v>ninguno</v>
      </c>
      <c r="U44" s="107">
        <f t="shared" si="28"/>
        <v>0</v>
      </c>
      <c r="V44" s="84"/>
    </row>
    <row r="45" spans="1:22" s="108" customFormat="1" ht="14.25" customHeight="1" x14ac:dyDescent="0.25">
      <c r="A45" s="119" t="s">
        <v>271</v>
      </c>
      <c r="B45" s="68" t="s">
        <v>215</v>
      </c>
      <c r="C45" s="99">
        <v>1</v>
      </c>
      <c r="D45" s="67"/>
      <c r="E45" s="61">
        <f t="shared" si="29"/>
        <v>51.839999999999996</v>
      </c>
      <c r="F45" s="188">
        <f t="shared" si="9"/>
        <v>8.64</v>
      </c>
      <c r="G45" s="118">
        <v>35</v>
      </c>
      <c r="H45" s="59" t="str">
        <f t="shared" si="21"/>
        <v>Wool</v>
      </c>
      <c r="I45" s="59">
        <f t="shared" si="22"/>
        <v>21.599999999999998</v>
      </c>
      <c r="J45" s="84">
        <v>1</v>
      </c>
      <c r="K45" s="132" t="s">
        <v>660</v>
      </c>
      <c r="L45" s="107" t="str">
        <f t="shared" si="23"/>
        <v>Cyan Dye</v>
      </c>
      <c r="M45" s="107">
        <f t="shared" si="24"/>
        <v>21.599999999999998</v>
      </c>
      <c r="N45" s="84">
        <v>1</v>
      </c>
      <c r="O45" s="132" t="s">
        <v>926</v>
      </c>
      <c r="P45" s="59" t="str">
        <f t="shared" si="25"/>
        <v>ninguno</v>
      </c>
      <c r="Q45" s="59">
        <f t="shared" si="26"/>
        <v>0</v>
      </c>
      <c r="R45" s="84"/>
      <c r="S45" s="132" t="s">
        <v>926</v>
      </c>
      <c r="T45" s="107" t="str">
        <f t="shared" si="27"/>
        <v>ninguno</v>
      </c>
      <c r="U45" s="107">
        <f t="shared" si="28"/>
        <v>0</v>
      </c>
      <c r="V45" s="84"/>
    </row>
    <row r="46" spans="1:22" s="108" customFormat="1" ht="14.25" customHeight="1" x14ac:dyDescent="0.25">
      <c r="A46" s="119" t="s">
        <v>273</v>
      </c>
      <c r="B46" s="68" t="s">
        <v>272</v>
      </c>
      <c r="C46" s="99">
        <v>1</v>
      </c>
      <c r="D46" s="67"/>
      <c r="E46" s="61">
        <f t="shared" si="29"/>
        <v>51.839999999999996</v>
      </c>
      <c r="F46" s="188">
        <f t="shared" si="9"/>
        <v>8.64</v>
      </c>
      <c r="G46" s="118">
        <v>35</v>
      </c>
      <c r="H46" s="59" t="str">
        <f t="shared" si="21"/>
        <v>Wool</v>
      </c>
      <c r="I46" s="59">
        <f t="shared" si="22"/>
        <v>21.599999999999998</v>
      </c>
      <c r="J46" s="84">
        <v>1</v>
      </c>
      <c r="K46" s="132" t="s">
        <v>658</v>
      </c>
      <c r="L46" s="107" t="str">
        <f t="shared" si="23"/>
        <v>Purple Dye</v>
      </c>
      <c r="M46" s="107">
        <f t="shared" si="24"/>
        <v>21.599999999999998</v>
      </c>
      <c r="N46" s="84">
        <v>1</v>
      </c>
      <c r="O46" s="132" t="s">
        <v>926</v>
      </c>
      <c r="P46" s="59" t="str">
        <f t="shared" si="25"/>
        <v>ninguno</v>
      </c>
      <c r="Q46" s="59">
        <f t="shared" si="26"/>
        <v>0</v>
      </c>
      <c r="R46" s="84"/>
      <c r="S46" s="132" t="s">
        <v>926</v>
      </c>
      <c r="T46" s="107" t="str">
        <f t="shared" si="27"/>
        <v>ninguno</v>
      </c>
      <c r="U46" s="107">
        <f t="shared" si="28"/>
        <v>0</v>
      </c>
      <c r="V46" s="84"/>
    </row>
    <row r="47" spans="1:22" s="108" customFormat="1" ht="14.25" customHeight="1" x14ac:dyDescent="0.25">
      <c r="A47" s="119" t="s">
        <v>275</v>
      </c>
      <c r="B47" s="68" t="s">
        <v>274</v>
      </c>
      <c r="C47" s="99">
        <v>1</v>
      </c>
      <c r="D47" s="67"/>
      <c r="E47" s="61">
        <f t="shared" si="29"/>
        <v>36.72</v>
      </c>
      <c r="F47" s="188">
        <f t="shared" si="9"/>
        <v>6.12</v>
      </c>
      <c r="G47" s="118">
        <v>35</v>
      </c>
      <c r="H47" s="59" t="str">
        <f t="shared" si="21"/>
        <v>Wool</v>
      </c>
      <c r="I47" s="59">
        <f t="shared" si="22"/>
        <v>21.599999999999998</v>
      </c>
      <c r="J47" s="84">
        <v>1</v>
      </c>
      <c r="K47" s="132" t="s">
        <v>656</v>
      </c>
      <c r="L47" s="107" t="str">
        <f t="shared" si="23"/>
        <v>Lapis Lazuli</v>
      </c>
      <c r="M47" s="107">
        <f t="shared" si="24"/>
        <v>9</v>
      </c>
      <c r="N47" s="84">
        <v>1</v>
      </c>
      <c r="O47" s="132" t="s">
        <v>926</v>
      </c>
      <c r="P47" s="59" t="str">
        <f t="shared" si="25"/>
        <v>ninguno</v>
      </c>
      <c r="Q47" s="59">
        <f t="shared" si="26"/>
        <v>0</v>
      </c>
      <c r="R47" s="84"/>
      <c r="S47" s="132" t="s">
        <v>926</v>
      </c>
      <c r="T47" s="107" t="str">
        <f t="shared" si="27"/>
        <v>ninguno</v>
      </c>
      <c r="U47" s="107">
        <f t="shared" si="28"/>
        <v>0</v>
      </c>
      <c r="V47" s="84"/>
    </row>
    <row r="48" spans="1:22" s="108" customFormat="1" ht="14.25" customHeight="1" x14ac:dyDescent="0.25">
      <c r="A48" s="119" t="s">
        <v>277</v>
      </c>
      <c r="B48" s="68" t="s">
        <v>276</v>
      </c>
      <c r="C48" s="99">
        <v>1</v>
      </c>
      <c r="D48" s="67"/>
      <c r="E48" s="61">
        <f t="shared" si="29"/>
        <v>36.72</v>
      </c>
      <c r="F48" s="188">
        <f t="shared" si="9"/>
        <v>6.12</v>
      </c>
      <c r="G48" s="118">
        <v>35</v>
      </c>
      <c r="H48" s="59" t="str">
        <f t="shared" si="21"/>
        <v>Wool</v>
      </c>
      <c r="I48" s="59">
        <f t="shared" si="22"/>
        <v>21.599999999999998</v>
      </c>
      <c r="J48" s="84">
        <v>1</v>
      </c>
      <c r="K48" s="132" t="s">
        <v>654</v>
      </c>
      <c r="L48" s="107" t="str">
        <f t="shared" si="23"/>
        <v>Cocoa Bean</v>
      </c>
      <c r="M48" s="107">
        <f t="shared" si="24"/>
        <v>9</v>
      </c>
      <c r="N48" s="84">
        <v>1</v>
      </c>
      <c r="O48" s="132" t="s">
        <v>926</v>
      </c>
      <c r="P48" s="59" t="str">
        <f t="shared" si="25"/>
        <v>ninguno</v>
      </c>
      <c r="Q48" s="59">
        <f t="shared" si="26"/>
        <v>0</v>
      </c>
      <c r="R48" s="84"/>
      <c r="S48" s="132" t="s">
        <v>926</v>
      </c>
      <c r="T48" s="107" t="str">
        <f t="shared" si="27"/>
        <v>ninguno</v>
      </c>
      <c r="U48" s="107">
        <f t="shared" si="28"/>
        <v>0</v>
      </c>
      <c r="V48" s="84"/>
    </row>
    <row r="49" spans="1:22" s="108" customFormat="1" ht="14.25" customHeight="1" x14ac:dyDescent="0.25">
      <c r="A49" s="119" t="s">
        <v>279</v>
      </c>
      <c r="B49" s="68" t="s">
        <v>278</v>
      </c>
      <c r="C49" s="99">
        <v>1</v>
      </c>
      <c r="D49" s="67"/>
      <c r="E49" s="61">
        <f t="shared" si="29"/>
        <v>36.72</v>
      </c>
      <c r="F49" s="188">
        <f t="shared" si="9"/>
        <v>6.12</v>
      </c>
      <c r="G49" s="118">
        <v>35</v>
      </c>
      <c r="H49" s="59" t="str">
        <f t="shared" si="21"/>
        <v>Wool</v>
      </c>
      <c r="I49" s="59">
        <f t="shared" si="22"/>
        <v>21.599999999999998</v>
      </c>
      <c r="J49" s="84">
        <v>1</v>
      </c>
      <c r="K49" s="132" t="s">
        <v>652</v>
      </c>
      <c r="L49" s="107" t="str">
        <f t="shared" si="23"/>
        <v>Cactus Green Dye</v>
      </c>
      <c r="M49" s="107">
        <f t="shared" si="24"/>
        <v>9</v>
      </c>
      <c r="N49" s="84">
        <v>1</v>
      </c>
      <c r="O49" s="132" t="s">
        <v>926</v>
      </c>
      <c r="P49" s="59" t="str">
        <f t="shared" si="25"/>
        <v>ninguno</v>
      </c>
      <c r="Q49" s="59">
        <f t="shared" si="26"/>
        <v>0</v>
      </c>
      <c r="R49" s="84"/>
      <c r="S49" s="132" t="s">
        <v>926</v>
      </c>
      <c r="T49" s="107" t="str">
        <f t="shared" si="27"/>
        <v>ninguno</v>
      </c>
      <c r="U49" s="107">
        <f t="shared" si="28"/>
        <v>0</v>
      </c>
      <c r="V49" s="84"/>
    </row>
    <row r="50" spans="1:22" s="108" customFormat="1" ht="14.25" customHeight="1" x14ac:dyDescent="0.25">
      <c r="A50" s="119" t="s">
        <v>281</v>
      </c>
      <c r="B50" s="68" t="s">
        <v>280</v>
      </c>
      <c r="C50" s="99">
        <v>1</v>
      </c>
      <c r="D50" s="67"/>
      <c r="E50" s="61">
        <f t="shared" si="29"/>
        <v>36.72</v>
      </c>
      <c r="F50" s="188">
        <f t="shared" si="9"/>
        <v>6.12</v>
      </c>
      <c r="G50" s="118">
        <v>35</v>
      </c>
      <c r="H50" s="59" t="str">
        <f t="shared" si="21"/>
        <v>Wool</v>
      </c>
      <c r="I50" s="59">
        <f t="shared" si="22"/>
        <v>21.599999999999998</v>
      </c>
      <c r="J50" s="84">
        <v>1</v>
      </c>
      <c r="K50" s="132" t="s">
        <v>650</v>
      </c>
      <c r="L50" s="107" t="str">
        <f t="shared" si="23"/>
        <v>Rose Red Dye</v>
      </c>
      <c r="M50" s="107">
        <f t="shared" si="24"/>
        <v>9</v>
      </c>
      <c r="N50" s="84">
        <v>1</v>
      </c>
      <c r="O50" s="132" t="s">
        <v>926</v>
      </c>
      <c r="P50" s="59" t="str">
        <f t="shared" si="25"/>
        <v>ninguno</v>
      </c>
      <c r="Q50" s="59">
        <f t="shared" si="26"/>
        <v>0</v>
      </c>
      <c r="R50" s="84"/>
      <c r="S50" s="132" t="s">
        <v>926</v>
      </c>
      <c r="T50" s="107" t="str">
        <f t="shared" si="27"/>
        <v>ninguno</v>
      </c>
      <c r="U50" s="107">
        <f t="shared" si="28"/>
        <v>0</v>
      </c>
      <c r="V50" s="84"/>
    </row>
    <row r="51" spans="1:22" s="108" customFormat="1" ht="14.25" customHeight="1" x14ac:dyDescent="0.25">
      <c r="A51" s="119" t="s">
        <v>283</v>
      </c>
      <c r="B51" s="68" t="s">
        <v>282</v>
      </c>
      <c r="C51" s="99">
        <v>1</v>
      </c>
      <c r="D51" s="67"/>
      <c r="E51" s="61">
        <f t="shared" si="29"/>
        <v>36.72</v>
      </c>
      <c r="F51" s="188">
        <f t="shared" si="9"/>
        <v>6.12</v>
      </c>
      <c r="G51" s="118">
        <v>35</v>
      </c>
      <c r="H51" s="59" t="str">
        <f t="shared" si="21"/>
        <v>Wool</v>
      </c>
      <c r="I51" s="59">
        <f t="shared" si="22"/>
        <v>21.599999999999998</v>
      </c>
      <c r="J51" s="84">
        <v>1</v>
      </c>
      <c r="K51" s="132">
        <v>351</v>
      </c>
      <c r="L51" s="107" t="str">
        <f t="shared" si="23"/>
        <v>Ink Sack</v>
      </c>
      <c r="M51" s="107">
        <f t="shared" si="24"/>
        <v>9</v>
      </c>
      <c r="N51" s="84">
        <v>1</v>
      </c>
      <c r="O51" s="132" t="s">
        <v>926</v>
      </c>
      <c r="P51" s="59" t="str">
        <f t="shared" si="25"/>
        <v>ninguno</v>
      </c>
      <c r="Q51" s="59">
        <f t="shared" si="26"/>
        <v>0</v>
      </c>
      <c r="R51" s="84"/>
      <c r="S51" s="132" t="s">
        <v>926</v>
      </c>
      <c r="T51" s="107" t="str">
        <f t="shared" si="27"/>
        <v>ninguno</v>
      </c>
      <c r="U51" s="107">
        <f t="shared" si="28"/>
        <v>0</v>
      </c>
      <c r="V51" s="84"/>
    </row>
    <row r="52" spans="1:22" s="90" customFormat="1" ht="14.25" customHeight="1" x14ac:dyDescent="0.25">
      <c r="A52" s="115">
        <v>37</v>
      </c>
      <c r="B52" s="89" t="s">
        <v>284</v>
      </c>
      <c r="C52" s="100">
        <v>1</v>
      </c>
      <c r="D52" s="85"/>
      <c r="E52" s="85">
        <f>'ECONOMIA &amp; PROFESIONES'!$E$75</f>
        <v>7.5</v>
      </c>
      <c r="F52" s="188">
        <f t="shared" si="9"/>
        <v>1.25</v>
      </c>
      <c r="G52" s="137"/>
      <c r="H52" s="85"/>
      <c r="I52" s="85"/>
      <c r="J52" s="87"/>
      <c r="K52" s="134"/>
      <c r="L52" s="85"/>
      <c r="M52" s="85"/>
      <c r="N52" s="87"/>
      <c r="O52" s="134"/>
      <c r="P52" s="85"/>
      <c r="Q52" s="85"/>
      <c r="R52" s="87"/>
      <c r="S52" s="134"/>
      <c r="T52" s="85"/>
      <c r="U52" s="85"/>
      <c r="V52" s="87"/>
    </row>
    <row r="53" spans="1:22" s="90" customFormat="1" ht="14.25" customHeight="1" x14ac:dyDescent="0.25">
      <c r="A53" s="115">
        <v>38</v>
      </c>
      <c r="B53" s="89" t="s">
        <v>285</v>
      </c>
      <c r="C53" s="100">
        <v>1</v>
      </c>
      <c r="D53" s="85"/>
      <c r="E53" s="85">
        <f>'ECONOMIA &amp; PROFESIONES'!$E$75</f>
        <v>7.5</v>
      </c>
      <c r="F53" s="188">
        <f t="shared" si="9"/>
        <v>1.25</v>
      </c>
      <c r="G53" s="137"/>
      <c r="H53" s="85"/>
      <c r="I53" s="85"/>
      <c r="J53" s="87"/>
      <c r="K53" s="134"/>
      <c r="L53" s="85"/>
      <c r="M53" s="85"/>
      <c r="N53" s="87"/>
      <c r="O53" s="134"/>
      <c r="P53" s="85"/>
      <c r="Q53" s="85"/>
      <c r="R53" s="87"/>
      <c r="S53" s="134"/>
      <c r="T53" s="85"/>
      <c r="U53" s="85"/>
      <c r="V53" s="87"/>
    </row>
    <row r="54" spans="1:22" s="90" customFormat="1" ht="14.25" customHeight="1" x14ac:dyDescent="0.25">
      <c r="A54" s="115" t="s">
        <v>287</v>
      </c>
      <c r="B54" s="89" t="s">
        <v>286</v>
      </c>
      <c r="C54" s="100">
        <v>1</v>
      </c>
      <c r="D54" s="85"/>
      <c r="E54" s="85">
        <f>'ECONOMIA &amp; PROFESIONES'!$E$75</f>
        <v>7.5</v>
      </c>
      <c r="F54" s="188">
        <f t="shared" si="9"/>
        <v>1.25</v>
      </c>
      <c r="G54" s="137"/>
      <c r="H54" s="85"/>
      <c r="I54" s="85"/>
      <c r="J54" s="87"/>
      <c r="K54" s="134"/>
      <c r="L54" s="85"/>
      <c r="M54" s="85"/>
      <c r="N54" s="87"/>
      <c r="O54" s="134"/>
      <c r="P54" s="85"/>
      <c r="Q54" s="85"/>
      <c r="R54" s="87"/>
      <c r="S54" s="134"/>
      <c r="T54" s="85"/>
      <c r="U54" s="85"/>
      <c r="V54" s="87"/>
    </row>
    <row r="55" spans="1:22" s="90" customFormat="1" ht="14.25" customHeight="1" x14ac:dyDescent="0.25">
      <c r="A55" s="115" t="s">
        <v>289</v>
      </c>
      <c r="B55" s="89" t="s">
        <v>288</v>
      </c>
      <c r="C55" s="100">
        <v>1</v>
      </c>
      <c r="D55" s="85"/>
      <c r="E55" s="85">
        <f>'ECONOMIA &amp; PROFESIONES'!$E$75</f>
        <v>7.5</v>
      </c>
      <c r="F55" s="188">
        <f t="shared" si="9"/>
        <v>1.25</v>
      </c>
      <c r="G55" s="137"/>
      <c r="H55" s="85"/>
      <c r="I55" s="85"/>
      <c r="J55" s="87"/>
      <c r="K55" s="134"/>
      <c r="L55" s="85"/>
      <c r="M55" s="85"/>
      <c r="N55" s="87"/>
      <c r="O55" s="134"/>
      <c r="P55" s="85"/>
      <c r="Q55" s="85"/>
      <c r="R55" s="87"/>
      <c r="S55" s="134"/>
      <c r="T55" s="85"/>
      <c r="U55" s="85"/>
      <c r="V55" s="87"/>
    </row>
    <row r="56" spans="1:22" s="90" customFormat="1" ht="14.25" customHeight="1" x14ac:dyDescent="0.25">
      <c r="A56" s="115" t="s">
        <v>291</v>
      </c>
      <c r="B56" s="89" t="s">
        <v>290</v>
      </c>
      <c r="C56" s="100">
        <v>1</v>
      </c>
      <c r="D56" s="85"/>
      <c r="E56" s="85">
        <f>'ECONOMIA &amp; PROFESIONES'!$E$75</f>
        <v>7.5</v>
      </c>
      <c r="F56" s="188">
        <f t="shared" si="9"/>
        <v>1.25</v>
      </c>
      <c r="G56" s="137"/>
      <c r="H56" s="85"/>
      <c r="I56" s="85"/>
      <c r="J56" s="87"/>
      <c r="K56" s="134"/>
      <c r="L56" s="85"/>
      <c r="M56" s="85"/>
      <c r="N56" s="87"/>
      <c r="O56" s="134"/>
      <c r="P56" s="85"/>
      <c r="Q56" s="85"/>
      <c r="R56" s="87"/>
      <c r="S56" s="134"/>
      <c r="T56" s="85"/>
      <c r="U56" s="85"/>
      <c r="V56" s="87"/>
    </row>
    <row r="57" spans="1:22" s="90" customFormat="1" ht="14.25" customHeight="1" x14ac:dyDescent="0.25">
      <c r="A57" s="115" t="s">
        <v>293</v>
      </c>
      <c r="B57" s="89" t="s">
        <v>292</v>
      </c>
      <c r="C57" s="100">
        <v>1</v>
      </c>
      <c r="D57" s="85"/>
      <c r="E57" s="85">
        <f>'ECONOMIA &amp; PROFESIONES'!$E$75</f>
        <v>7.5</v>
      </c>
      <c r="F57" s="188">
        <f t="shared" si="9"/>
        <v>1.25</v>
      </c>
      <c r="G57" s="137"/>
      <c r="H57" s="85"/>
      <c r="I57" s="85"/>
      <c r="J57" s="87"/>
      <c r="K57" s="134"/>
      <c r="L57" s="85"/>
      <c r="M57" s="85"/>
      <c r="N57" s="87"/>
      <c r="O57" s="134"/>
      <c r="P57" s="85"/>
      <c r="Q57" s="85"/>
      <c r="R57" s="87"/>
      <c r="S57" s="134"/>
      <c r="T57" s="85"/>
      <c r="U57" s="85"/>
      <c r="V57" s="87"/>
    </row>
    <row r="58" spans="1:22" s="90" customFormat="1" ht="14.25" customHeight="1" x14ac:dyDescent="0.25">
      <c r="A58" s="115" t="s">
        <v>295</v>
      </c>
      <c r="B58" s="89" t="s">
        <v>294</v>
      </c>
      <c r="C58" s="100">
        <v>1</v>
      </c>
      <c r="D58" s="85"/>
      <c r="E58" s="85">
        <f>'ECONOMIA &amp; PROFESIONES'!$E$75</f>
        <v>7.5</v>
      </c>
      <c r="F58" s="188">
        <f t="shared" si="9"/>
        <v>1.25</v>
      </c>
      <c r="G58" s="137"/>
      <c r="H58" s="85"/>
      <c r="I58" s="85"/>
      <c r="J58" s="87"/>
      <c r="K58" s="134"/>
      <c r="L58" s="85"/>
      <c r="M58" s="85"/>
      <c r="N58" s="87"/>
      <c r="O58" s="134"/>
      <c r="P58" s="85"/>
      <c r="Q58" s="85"/>
      <c r="R58" s="87"/>
      <c r="S58" s="134"/>
      <c r="T58" s="85"/>
      <c r="U58" s="85"/>
      <c r="V58" s="87"/>
    </row>
    <row r="59" spans="1:22" s="90" customFormat="1" ht="14.25" customHeight="1" x14ac:dyDescent="0.25">
      <c r="A59" s="115" t="s">
        <v>297</v>
      </c>
      <c r="B59" s="89" t="s">
        <v>296</v>
      </c>
      <c r="C59" s="100">
        <v>1</v>
      </c>
      <c r="D59" s="85"/>
      <c r="E59" s="85">
        <f>'ECONOMIA &amp; PROFESIONES'!$E$75</f>
        <v>7.5</v>
      </c>
      <c r="F59" s="188">
        <f t="shared" si="9"/>
        <v>1.25</v>
      </c>
      <c r="G59" s="137"/>
      <c r="H59" s="85"/>
      <c r="I59" s="85"/>
      <c r="J59" s="87"/>
      <c r="K59" s="134"/>
      <c r="L59" s="85"/>
      <c r="M59" s="85"/>
      <c r="N59" s="87"/>
      <c r="O59" s="134"/>
      <c r="P59" s="85"/>
      <c r="Q59" s="85"/>
      <c r="R59" s="87"/>
      <c r="S59" s="134"/>
      <c r="T59" s="85"/>
      <c r="U59" s="85"/>
      <c r="V59" s="87"/>
    </row>
    <row r="60" spans="1:22" s="90" customFormat="1" ht="14.25" customHeight="1" x14ac:dyDescent="0.25">
      <c r="A60" s="115" t="s">
        <v>299</v>
      </c>
      <c r="B60" s="89" t="s">
        <v>298</v>
      </c>
      <c r="C60" s="100">
        <v>1</v>
      </c>
      <c r="D60" s="85"/>
      <c r="E60" s="85">
        <f>'ECONOMIA &amp; PROFESIONES'!$E$75</f>
        <v>7.5</v>
      </c>
      <c r="F60" s="188">
        <f t="shared" si="9"/>
        <v>1.25</v>
      </c>
      <c r="G60" s="137"/>
      <c r="H60" s="85"/>
      <c r="I60" s="85"/>
      <c r="J60" s="87"/>
      <c r="K60" s="134"/>
      <c r="L60" s="85"/>
      <c r="M60" s="85"/>
      <c r="N60" s="87"/>
      <c r="O60" s="134"/>
      <c r="P60" s="85"/>
      <c r="Q60" s="85"/>
      <c r="R60" s="87"/>
      <c r="S60" s="134"/>
      <c r="T60" s="85"/>
      <c r="U60" s="85"/>
      <c r="V60" s="87"/>
    </row>
    <row r="61" spans="1:22" s="90" customFormat="1" ht="14.25" customHeight="1" x14ac:dyDescent="0.25">
      <c r="A61" s="115" t="s">
        <v>301</v>
      </c>
      <c r="B61" s="89" t="s">
        <v>300</v>
      </c>
      <c r="C61" s="100">
        <v>1</v>
      </c>
      <c r="D61" s="85"/>
      <c r="E61" s="85">
        <f>'ECONOMIA &amp; PROFESIONES'!$E$75</f>
        <v>7.5</v>
      </c>
      <c r="F61" s="188">
        <f t="shared" si="9"/>
        <v>1.25</v>
      </c>
      <c r="G61" s="137"/>
      <c r="H61" s="85"/>
      <c r="I61" s="85"/>
      <c r="J61" s="87"/>
      <c r="K61" s="134"/>
      <c r="L61" s="85"/>
      <c r="M61" s="85"/>
      <c r="N61" s="87"/>
      <c r="O61" s="134"/>
      <c r="P61" s="85"/>
      <c r="Q61" s="85"/>
      <c r="R61" s="87"/>
      <c r="S61" s="134"/>
      <c r="T61" s="85"/>
      <c r="U61" s="85"/>
      <c r="V61" s="87"/>
    </row>
    <row r="62" spans="1:22" s="88" customFormat="1" ht="14.25" customHeight="1" x14ac:dyDescent="0.25">
      <c r="A62" s="115">
        <v>39</v>
      </c>
      <c r="B62" s="89" t="s">
        <v>302</v>
      </c>
      <c r="C62" s="100">
        <v>1</v>
      </c>
      <c r="D62" s="85"/>
      <c r="E62" s="85">
        <f>'ECONOMIA &amp; PROFESIONES'!$I$34</f>
        <v>942</v>
      </c>
      <c r="F62" s="188">
        <f t="shared" si="9"/>
        <v>157</v>
      </c>
      <c r="G62" s="86"/>
      <c r="H62" s="85"/>
      <c r="I62" s="85"/>
      <c r="J62" s="87"/>
      <c r="K62" s="87"/>
      <c r="L62" s="85"/>
      <c r="M62" s="85"/>
      <c r="N62" s="87"/>
      <c r="O62" s="87"/>
      <c r="P62" s="85"/>
      <c r="Q62" s="85"/>
      <c r="R62" s="87"/>
      <c r="S62" s="87"/>
      <c r="T62" s="85"/>
      <c r="U62" s="85"/>
      <c r="V62" s="87"/>
    </row>
    <row r="63" spans="1:22" s="88" customFormat="1" ht="14.25" customHeight="1" x14ac:dyDescent="0.25">
      <c r="A63" s="115">
        <v>40</v>
      </c>
      <c r="B63" s="89" t="s">
        <v>303</v>
      </c>
      <c r="C63" s="100">
        <v>1</v>
      </c>
      <c r="D63" s="85"/>
      <c r="E63" s="85">
        <f>'ECONOMIA &amp; PROFESIONES'!$I$34</f>
        <v>942</v>
      </c>
      <c r="F63" s="188">
        <f t="shared" si="9"/>
        <v>157</v>
      </c>
      <c r="G63" s="86"/>
      <c r="H63" s="85"/>
      <c r="I63" s="85"/>
      <c r="J63" s="87"/>
      <c r="K63" s="87"/>
      <c r="L63" s="85"/>
      <c r="M63" s="85"/>
      <c r="N63" s="87"/>
      <c r="O63" s="87"/>
      <c r="P63" s="85"/>
      <c r="Q63" s="85"/>
      <c r="R63" s="87"/>
      <c r="S63" s="87"/>
      <c r="T63" s="85"/>
      <c r="U63" s="85"/>
      <c r="V63" s="87"/>
    </row>
    <row r="64" spans="1:22" s="108" customFormat="1" ht="14.25" customHeight="1" x14ac:dyDescent="0.25">
      <c r="A64" s="119">
        <v>41</v>
      </c>
      <c r="B64" s="68" t="s">
        <v>304</v>
      </c>
      <c r="C64" s="99">
        <v>1</v>
      </c>
      <c r="D64" s="67"/>
      <c r="E64" s="61">
        <f t="shared" ref="E64:E76" si="30">(((I64*J64)+(M64*N64)+(Q64*R64)+(U64*V64))/C64)*1.2</f>
        <v>17280</v>
      </c>
      <c r="F64" s="188">
        <f t="shared" si="9"/>
        <v>2880</v>
      </c>
      <c r="G64" s="118">
        <v>266</v>
      </c>
      <c r="H64" s="59" t="str">
        <f t="shared" ref="H64:H76" si="31">VLOOKUP(G64,LISTAITEMS,2,FALSE)</f>
        <v>Gold Ingot</v>
      </c>
      <c r="I64" s="59">
        <f t="shared" ref="I64:I76" si="32">VLOOKUP(G64,LISTAITEMS,5,FALSE)</f>
        <v>1600</v>
      </c>
      <c r="J64" s="84">
        <v>9</v>
      </c>
      <c r="K64" s="132" t="s">
        <v>926</v>
      </c>
      <c r="L64" s="107" t="str">
        <f t="shared" ref="L64:L76" si="33">VLOOKUP(K64,LISTAITEMS,2,FALSE)</f>
        <v>ninguno</v>
      </c>
      <c r="M64" s="107">
        <f t="shared" ref="M64:M76" si="34">VLOOKUP(K64,LISTAITEMS,5,FALSE)</f>
        <v>0</v>
      </c>
      <c r="N64" s="84"/>
      <c r="O64" s="132" t="s">
        <v>926</v>
      </c>
      <c r="P64" s="59" t="str">
        <f t="shared" ref="P64:P76" si="35">VLOOKUP(O64,LISTAITEMS,2,FALSE)</f>
        <v>ninguno</v>
      </c>
      <c r="Q64" s="59">
        <f t="shared" ref="Q64:Q76" si="36">VLOOKUP(O64,LISTAITEMS,5,FALSE)</f>
        <v>0</v>
      </c>
      <c r="R64" s="84"/>
      <c r="S64" s="132" t="s">
        <v>926</v>
      </c>
      <c r="T64" s="107" t="str">
        <f t="shared" ref="T64:T76" si="37">VLOOKUP(S64,LISTAITEMS,2,FALSE)</f>
        <v>ninguno</v>
      </c>
      <c r="U64" s="107">
        <f t="shared" ref="U64:U76" si="38">VLOOKUP(S64,LISTAITEMS,5,FALSE)</f>
        <v>0</v>
      </c>
      <c r="V64" s="84"/>
    </row>
    <row r="65" spans="1:22" s="108" customFormat="1" ht="14.25" customHeight="1" x14ac:dyDescent="0.25">
      <c r="A65" s="119">
        <v>42</v>
      </c>
      <c r="B65" s="68" t="s">
        <v>305</v>
      </c>
      <c r="C65" s="99">
        <v>1</v>
      </c>
      <c r="D65" s="67"/>
      <c r="E65" s="61">
        <f t="shared" si="30"/>
        <v>8640</v>
      </c>
      <c r="F65" s="188">
        <f t="shared" si="9"/>
        <v>1440</v>
      </c>
      <c r="G65" s="118">
        <v>265</v>
      </c>
      <c r="H65" s="59" t="str">
        <f t="shared" si="31"/>
        <v>Iron Ingot</v>
      </c>
      <c r="I65" s="59">
        <f t="shared" si="32"/>
        <v>800</v>
      </c>
      <c r="J65" s="84">
        <v>9</v>
      </c>
      <c r="K65" s="132" t="s">
        <v>926</v>
      </c>
      <c r="L65" s="107" t="str">
        <f t="shared" si="33"/>
        <v>ninguno</v>
      </c>
      <c r="M65" s="107">
        <f t="shared" si="34"/>
        <v>0</v>
      </c>
      <c r="N65" s="84"/>
      <c r="O65" s="132" t="s">
        <v>926</v>
      </c>
      <c r="P65" s="59" t="str">
        <f t="shared" si="35"/>
        <v>ninguno</v>
      </c>
      <c r="Q65" s="59">
        <f t="shared" si="36"/>
        <v>0</v>
      </c>
      <c r="R65" s="84"/>
      <c r="S65" s="132" t="s">
        <v>926</v>
      </c>
      <c r="T65" s="107" t="str">
        <f t="shared" si="37"/>
        <v>ninguno</v>
      </c>
      <c r="U65" s="107">
        <f t="shared" si="38"/>
        <v>0</v>
      </c>
      <c r="V65" s="84"/>
    </row>
    <row r="66" spans="1:22" s="108" customFormat="1" ht="14.25" customHeight="1" x14ac:dyDescent="0.25">
      <c r="A66" s="119">
        <v>44</v>
      </c>
      <c r="B66" s="68" t="s">
        <v>306</v>
      </c>
      <c r="C66" s="99">
        <v>6</v>
      </c>
      <c r="D66" s="67"/>
      <c r="E66" s="61">
        <f t="shared" si="30"/>
        <v>2.1599999999999997</v>
      </c>
      <c r="F66" s="188">
        <f t="shared" si="9"/>
        <v>0.36</v>
      </c>
      <c r="G66" s="118">
        <v>1</v>
      </c>
      <c r="H66" s="59" t="str">
        <f t="shared" si="31"/>
        <v>Stone</v>
      </c>
      <c r="I66" s="59">
        <f t="shared" si="32"/>
        <v>3.5999999999999996</v>
      </c>
      <c r="J66" s="84">
        <v>3</v>
      </c>
      <c r="K66" s="132" t="s">
        <v>926</v>
      </c>
      <c r="L66" s="107" t="str">
        <f t="shared" si="33"/>
        <v>ninguno</v>
      </c>
      <c r="M66" s="107">
        <f t="shared" si="34"/>
        <v>0</v>
      </c>
      <c r="N66" s="84"/>
      <c r="O66" s="132" t="s">
        <v>926</v>
      </c>
      <c r="P66" s="59" t="str">
        <f t="shared" si="35"/>
        <v>ninguno</v>
      </c>
      <c r="Q66" s="59">
        <f t="shared" si="36"/>
        <v>0</v>
      </c>
      <c r="R66" s="84"/>
      <c r="S66" s="132" t="s">
        <v>926</v>
      </c>
      <c r="T66" s="107" t="str">
        <f t="shared" si="37"/>
        <v>ninguno</v>
      </c>
      <c r="U66" s="107">
        <f t="shared" si="38"/>
        <v>0</v>
      </c>
      <c r="V66" s="84"/>
    </row>
    <row r="67" spans="1:22" s="108" customFormat="1" ht="14.25" customHeight="1" x14ac:dyDescent="0.25">
      <c r="A67" s="119" t="s">
        <v>308</v>
      </c>
      <c r="B67" s="68" t="s">
        <v>307</v>
      </c>
      <c r="C67" s="99">
        <v>6</v>
      </c>
      <c r="D67" s="67"/>
      <c r="E67" s="61">
        <f t="shared" si="30"/>
        <v>31.679999999999993</v>
      </c>
      <c r="F67" s="188">
        <f t="shared" si="9"/>
        <v>5.28</v>
      </c>
      <c r="G67" s="118">
        <v>24</v>
      </c>
      <c r="H67" s="59" t="str">
        <f t="shared" si="31"/>
        <v>Sandstone</v>
      </c>
      <c r="I67" s="59">
        <f t="shared" si="32"/>
        <v>52.8</v>
      </c>
      <c r="J67" s="84">
        <v>3</v>
      </c>
      <c r="K67" s="132" t="s">
        <v>926</v>
      </c>
      <c r="L67" s="107" t="str">
        <f t="shared" si="33"/>
        <v>ninguno</v>
      </c>
      <c r="M67" s="107">
        <f t="shared" si="34"/>
        <v>0</v>
      </c>
      <c r="N67" s="84"/>
      <c r="O67" s="132" t="s">
        <v>926</v>
      </c>
      <c r="P67" s="59" t="str">
        <f t="shared" si="35"/>
        <v>ninguno</v>
      </c>
      <c r="Q67" s="59">
        <f t="shared" si="36"/>
        <v>0</v>
      </c>
      <c r="R67" s="84"/>
      <c r="S67" s="132" t="s">
        <v>926</v>
      </c>
      <c r="T67" s="107" t="str">
        <f t="shared" si="37"/>
        <v>ninguno</v>
      </c>
      <c r="U67" s="107">
        <f t="shared" si="38"/>
        <v>0</v>
      </c>
      <c r="V67" s="84"/>
    </row>
    <row r="68" spans="1:22" s="108" customFormat="1" ht="14.25" customHeight="1" x14ac:dyDescent="0.25">
      <c r="A68" s="124" t="s">
        <v>310</v>
      </c>
      <c r="B68" s="70" t="s">
        <v>309</v>
      </c>
      <c r="C68" s="99">
        <v>6</v>
      </c>
      <c r="D68" s="67"/>
      <c r="E68" s="61">
        <f t="shared" si="30"/>
        <v>2.5919999999999996</v>
      </c>
      <c r="F68" s="188">
        <f t="shared" si="9"/>
        <v>0.44</v>
      </c>
      <c r="G68" s="118">
        <v>98</v>
      </c>
      <c r="H68" s="59" t="str">
        <f t="shared" si="31"/>
        <v>Stone Bricks</v>
      </c>
      <c r="I68" s="59">
        <f t="shared" si="32"/>
        <v>4.3199999999999994</v>
      </c>
      <c r="J68" s="84">
        <v>3</v>
      </c>
      <c r="K68" s="132" t="s">
        <v>926</v>
      </c>
      <c r="L68" s="107" t="str">
        <f t="shared" si="33"/>
        <v>ninguno</v>
      </c>
      <c r="M68" s="107">
        <f t="shared" si="34"/>
        <v>0</v>
      </c>
      <c r="N68" s="84"/>
      <c r="O68" s="132" t="s">
        <v>926</v>
      </c>
      <c r="P68" s="59" t="str">
        <f t="shared" si="35"/>
        <v>ninguno</v>
      </c>
      <c r="Q68" s="59">
        <f t="shared" si="36"/>
        <v>0</v>
      </c>
      <c r="R68" s="84"/>
      <c r="S68" s="132" t="s">
        <v>926</v>
      </c>
      <c r="T68" s="107" t="str">
        <f t="shared" si="37"/>
        <v>ninguno</v>
      </c>
      <c r="U68" s="107">
        <f t="shared" si="38"/>
        <v>0</v>
      </c>
      <c r="V68" s="84"/>
    </row>
    <row r="69" spans="1:22" s="108" customFormat="1" ht="14.25" customHeight="1" x14ac:dyDescent="0.25">
      <c r="A69" s="119" t="s">
        <v>312</v>
      </c>
      <c r="B69" s="68" t="s">
        <v>311</v>
      </c>
      <c r="C69" s="99">
        <v>6</v>
      </c>
      <c r="D69" s="67"/>
      <c r="E69" s="61">
        <f t="shared" si="30"/>
        <v>1.7999999999999998</v>
      </c>
      <c r="F69" s="188">
        <f t="shared" si="9"/>
        <v>0.3</v>
      </c>
      <c r="G69" s="118">
        <v>4</v>
      </c>
      <c r="H69" s="59" t="str">
        <f t="shared" si="31"/>
        <v>Cobblestone</v>
      </c>
      <c r="I69" s="59">
        <f t="shared" si="32"/>
        <v>3</v>
      </c>
      <c r="J69" s="84">
        <v>3</v>
      </c>
      <c r="K69" s="132" t="s">
        <v>926</v>
      </c>
      <c r="L69" s="107" t="str">
        <f t="shared" si="33"/>
        <v>ninguno</v>
      </c>
      <c r="M69" s="107">
        <f t="shared" si="34"/>
        <v>0</v>
      </c>
      <c r="N69" s="84"/>
      <c r="O69" s="132" t="s">
        <v>926</v>
      </c>
      <c r="P69" s="59" t="str">
        <f t="shared" si="35"/>
        <v>ninguno</v>
      </c>
      <c r="Q69" s="59">
        <f t="shared" si="36"/>
        <v>0</v>
      </c>
      <c r="R69" s="84"/>
      <c r="S69" s="132" t="s">
        <v>926</v>
      </c>
      <c r="T69" s="107" t="str">
        <f t="shared" si="37"/>
        <v>ninguno</v>
      </c>
      <c r="U69" s="107">
        <f t="shared" si="38"/>
        <v>0</v>
      </c>
      <c r="V69" s="84"/>
    </row>
    <row r="70" spans="1:22" s="108" customFormat="1" ht="14.25" customHeight="1" x14ac:dyDescent="0.25">
      <c r="A70" s="119" t="s">
        <v>314</v>
      </c>
      <c r="B70" s="68" t="s">
        <v>313</v>
      </c>
      <c r="C70" s="99">
        <v>6</v>
      </c>
      <c r="D70" s="67"/>
      <c r="E70" s="61">
        <f t="shared" si="30"/>
        <v>51.839999999999996</v>
      </c>
      <c r="F70" s="188">
        <f t="shared" ref="F70:F134" si="39">ROUNDUP(E70/6,2)</f>
        <v>8.64</v>
      </c>
      <c r="G70" s="118">
        <v>45</v>
      </c>
      <c r="H70" s="59" t="str">
        <f t="shared" si="31"/>
        <v>Brick</v>
      </c>
      <c r="I70" s="59">
        <f t="shared" si="32"/>
        <v>86.399999999999991</v>
      </c>
      <c r="J70" s="84">
        <v>3</v>
      </c>
      <c r="K70" s="132" t="s">
        <v>926</v>
      </c>
      <c r="L70" s="107" t="str">
        <f t="shared" si="33"/>
        <v>ninguno</v>
      </c>
      <c r="M70" s="107">
        <f t="shared" si="34"/>
        <v>0</v>
      </c>
      <c r="N70" s="84"/>
      <c r="O70" s="132" t="s">
        <v>926</v>
      </c>
      <c r="P70" s="59" t="str">
        <f t="shared" si="35"/>
        <v>ninguno</v>
      </c>
      <c r="Q70" s="59">
        <f t="shared" si="36"/>
        <v>0</v>
      </c>
      <c r="R70" s="84"/>
      <c r="S70" s="132" t="s">
        <v>926</v>
      </c>
      <c r="T70" s="107" t="str">
        <f t="shared" si="37"/>
        <v>ninguno</v>
      </c>
      <c r="U70" s="107">
        <f t="shared" si="38"/>
        <v>0</v>
      </c>
      <c r="V70" s="84"/>
    </row>
    <row r="71" spans="1:22" s="108" customFormat="1" ht="14.25" customHeight="1" x14ac:dyDescent="0.25">
      <c r="A71" s="119" t="s">
        <v>316</v>
      </c>
      <c r="B71" s="68" t="s">
        <v>315</v>
      </c>
      <c r="C71" s="99">
        <v>6</v>
      </c>
      <c r="D71" s="67"/>
      <c r="E71" s="61">
        <f t="shared" si="30"/>
        <v>2.5919999999999996</v>
      </c>
      <c r="F71" s="188">
        <f t="shared" si="39"/>
        <v>0.44</v>
      </c>
      <c r="G71" s="118">
        <v>98</v>
      </c>
      <c r="H71" s="59" t="str">
        <f t="shared" si="31"/>
        <v>Stone Bricks</v>
      </c>
      <c r="I71" s="59">
        <f t="shared" si="32"/>
        <v>4.3199999999999994</v>
      </c>
      <c r="J71" s="84">
        <v>3</v>
      </c>
      <c r="K71" s="132" t="s">
        <v>926</v>
      </c>
      <c r="L71" s="107" t="str">
        <f t="shared" si="33"/>
        <v>ninguno</v>
      </c>
      <c r="M71" s="107">
        <f t="shared" si="34"/>
        <v>0</v>
      </c>
      <c r="N71" s="84"/>
      <c r="O71" s="132" t="s">
        <v>926</v>
      </c>
      <c r="P71" s="59" t="str">
        <f t="shared" si="35"/>
        <v>ninguno</v>
      </c>
      <c r="Q71" s="59">
        <f t="shared" si="36"/>
        <v>0</v>
      </c>
      <c r="R71" s="84"/>
      <c r="S71" s="132" t="s">
        <v>926</v>
      </c>
      <c r="T71" s="107" t="str">
        <f t="shared" si="37"/>
        <v>ninguno</v>
      </c>
      <c r="U71" s="107">
        <f t="shared" si="38"/>
        <v>0</v>
      </c>
      <c r="V71" s="84"/>
    </row>
    <row r="72" spans="1:22" s="108" customFormat="1" ht="14.25" customHeight="1" x14ac:dyDescent="0.25">
      <c r="A72" s="119" t="s">
        <v>318</v>
      </c>
      <c r="B72" s="68" t="s">
        <v>317</v>
      </c>
      <c r="C72" s="99">
        <v>6</v>
      </c>
      <c r="D72" s="67"/>
      <c r="E72" s="61">
        <f t="shared" si="30"/>
        <v>79.487999999999985</v>
      </c>
      <c r="F72" s="188">
        <f t="shared" si="39"/>
        <v>13.25</v>
      </c>
      <c r="G72" s="118">
        <v>112</v>
      </c>
      <c r="H72" s="59" t="str">
        <f t="shared" si="31"/>
        <v>Nether Brick</v>
      </c>
      <c r="I72" s="59">
        <f t="shared" si="32"/>
        <v>132.47999999999999</v>
      </c>
      <c r="J72" s="84">
        <v>3</v>
      </c>
      <c r="K72" s="132" t="s">
        <v>926</v>
      </c>
      <c r="L72" s="107" t="str">
        <f t="shared" si="33"/>
        <v>ninguno</v>
      </c>
      <c r="M72" s="107">
        <f t="shared" si="34"/>
        <v>0</v>
      </c>
      <c r="N72" s="84"/>
      <c r="O72" s="132" t="s">
        <v>926</v>
      </c>
      <c r="P72" s="59" t="str">
        <f t="shared" si="35"/>
        <v>ninguno</v>
      </c>
      <c r="Q72" s="59">
        <f t="shared" si="36"/>
        <v>0</v>
      </c>
      <c r="R72" s="84"/>
      <c r="S72" s="132" t="s">
        <v>926</v>
      </c>
      <c r="T72" s="107" t="str">
        <f t="shared" si="37"/>
        <v>ninguno</v>
      </c>
      <c r="U72" s="107">
        <f t="shared" si="38"/>
        <v>0</v>
      </c>
      <c r="V72" s="84"/>
    </row>
    <row r="73" spans="1:22" s="108" customFormat="1" ht="14.25" customHeight="1" x14ac:dyDescent="0.25">
      <c r="A73" s="119" t="s">
        <v>320</v>
      </c>
      <c r="B73" s="68" t="s">
        <v>319</v>
      </c>
      <c r="C73" s="99">
        <v>6</v>
      </c>
      <c r="D73" s="67"/>
      <c r="E73" s="61">
        <f t="shared" si="30"/>
        <v>54.72</v>
      </c>
      <c r="F73" s="188">
        <f t="shared" si="39"/>
        <v>9.1199999999999992</v>
      </c>
      <c r="G73" s="118">
        <v>155</v>
      </c>
      <c r="H73" s="59" t="str">
        <f t="shared" si="31"/>
        <v>Quartz Block</v>
      </c>
      <c r="I73" s="59">
        <f t="shared" si="32"/>
        <v>91.2</v>
      </c>
      <c r="J73" s="84">
        <v>3</v>
      </c>
      <c r="K73" s="132" t="s">
        <v>926</v>
      </c>
      <c r="L73" s="107" t="str">
        <f t="shared" si="33"/>
        <v>ninguno</v>
      </c>
      <c r="M73" s="107">
        <f t="shared" si="34"/>
        <v>0</v>
      </c>
      <c r="N73" s="84"/>
      <c r="O73" s="132" t="s">
        <v>926</v>
      </c>
      <c r="P73" s="59" t="str">
        <f t="shared" si="35"/>
        <v>ninguno</v>
      </c>
      <c r="Q73" s="59">
        <f t="shared" si="36"/>
        <v>0</v>
      </c>
      <c r="R73" s="84"/>
      <c r="S73" s="132" t="s">
        <v>926</v>
      </c>
      <c r="T73" s="107" t="str">
        <f t="shared" si="37"/>
        <v>ninguno</v>
      </c>
      <c r="U73" s="107">
        <f t="shared" si="38"/>
        <v>0</v>
      </c>
      <c r="V73" s="84"/>
    </row>
    <row r="74" spans="1:22" s="108" customFormat="1" ht="14.25" customHeight="1" x14ac:dyDescent="0.25">
      <c r="A74" s="119">
        <v>45</v>
      </c>
      <c r="B74" s="68" t="s">
        <v>321</v>
      </c>
      <c r="C74" s="99">
        <v>1</v>
      </c>
      <c r="D74" s="67"/>
      <c r="E74" s="61">
        <f t="shared" si="30"/>
        <v>86.399999999999991</v>
      </c>
      <c r="F74" s="188">
        <f t="shared" si="39"/>
        <v>14.4</v>
      </c>
      <c r="G74" s="118">
        <v>336</v>
      </c>
      <c r="H74" s="59" t="str">
        <f t="shared" si="31"/>
        <v>Clay Brick</v>
      </c>
      <c r="I74" s="59">
        <f t="shared" si="32"/>
        <v>18</v>
      </c>
      <c r="J74" s="84">
        <v>4</v>
      </c>
      <c r="K74" s="132" t="s">
        <v>926</v>
      </c>
      <c r="L74" s="107" t="str">
        <f t="shared" si="33"/>
        <v>ninguno</v>
      </c>
      <c r="M74" s="107">
        <f t="shared" si="34"/>
        <v>0</v>
      </c>
      <c r="N74" s="84"/>
      <c r="O74" s="132" t="s">
        <v>926</v>
      </c>
      <c r="P74" s="59" t="str">
        <f t="shared" si="35"/>
        <v>ninguno</v>
      </c>
      <c r="Q74" s="59">
        <f t="shared" si="36"/>
        <v>0</v>
      </c>
      <c r="R74" s="84"/>
      <c r="S74" s="132" t="s">
        <v>926</v>
      </c>
      <c r="T74" s="107" t="str">
        <f t="shared" si="37"/>
        <v>ninguno</v>
      </c>
      <c r="U74" s="107">
        <f t="shared" si="38"/>
        <v>0</v>
      </c>
      <c r="V74" s="84"/>
    </row>
    <row r="75" spans="1:22" s="108" customFormat="1" ht="14.25" customHeight="1" x14ac:dyDescent="0.25">
      <c r="A75" s="119">
        <v>46</v>
      </c>
      <c r="B75" s="68" t="s">
        <v>322</v>
      </c>
      <c r="C75" s="99">
        <v>1</v>
      </c>
      <c r="D75" s="67"/>
      <c r="E75" s="61">
        <f t="shared" si="30"/>
        <v>142.79999999999998</v>
      </c>
      <c r="F75" s="188">
        <f t="shared" si="39"/>
        <v>23.8</v>
      </c>
      <c r="G75" s="118">
        <v>289</v>
      </c>
      <c r="H75" s="59" t="str">
        <f t="shared" si="31"/>
        <v>Gunpowder</v>
      </c>
      <c r="I75" s="59">
        <f t="shared" si="32"/>
        <v>15</v>
      </c>
      <c r="J75" s="84">
        <v>5</v>
      </c>
      <c r="K75" s="132">
        <v>12</v>
      </c>
      <c r="L75" s="107" t="str">
        <f t="shared" si="33"/>
        <v>Sand</v>
      </c>
      <c r="M75" s="107">
        <f t="shared" si="34"/>
        <v>11</v>
      </c>
      <c r="N75" s="84">
        <v>4</v>
      </c>
      <c r="O75" s="132" t="s">
        <v>926</v>
      </c>
      <c r="P75" s="59" t="str">
        <f t="shared" si="35"/>
        <v>ninguno</v>
      </c>
      <c r="Q75" s="59">
        <f t="shared" si="36"/>
        <v>0</v>
      </c>
      <c r="R75" s="84">
        <v>0</v>
      </c>
      <c r="S75" s="132" t="s">
        <v>926</v>
      </c>
      <c r="T75" s="107" t="str">
        <f t="shared" si="37"/>
        <v>ninguno</v>
      </c>
      <c r="U75" s="107">
        <f t="shared" si="38"/>
        <v>0</v>
      </c>
      <c r="V75" s="84">
        <v>0</v>
      </c>
    </row>
    <row r="76" spans="1:22" s="108" customFormat="1" ht="14.25" customHeight="1" x14ac:dyDescent="0.25">
      <c r="A76" s="119">
        <v>47</v>
      </c>
      <c r="B76" s="68" t="s">
        <v>323</v>
      </c>
      <c r="C76" s="99">
        <v>1</v>
      </c>
      <c r="D76" s="67"/>
      <c r="E76" s="61">
        <f t="shared" si="30"/>
        <v>14658.624</v>
      </c>
      <c r="F76" s="188">
        <f t="shared" si="39"/>
        <v>2443.11</v>
      </c>
      <c r="G76" s="118">
        <v>5</v>
      </c>
      <c r="H76" s="59" t="str">
        <f t="shared" si="31"/>
        <v>Oak Planks</v>
      </c>
      <c r="I76" s="59">
        <f t="shared" si="32"/>
        <v>1.2</v>
      </c>
      <c r="J76" s="84">
        <v>6</v>
      </c>
      <c r="K76" s="132">
        <v>340</v>
      </c>
      <c r="L76" s="107" t="str">
        <f t="shared" si="33"/>
        <v>Book</v>
      </c>
      <c r="M76" s="107">
        <f t="shared" si="34"/>
        <v>4069.4399999999996</v>
      </c>
      <c r="N76" s="84">
        <v>3</v>
      </c>
      <c r="O76" s="132" t="s">
        <v>926</v>
      </c>
      <c r="P76" s="59" t="str">
        <f t="shared" si="35"/>
        <v>ninguno</v>
      </c>
      <c r="Q76" s="59">
        <f t="shared" si="36"/>
        <v>0</v>
      </c>
      <c r="R76" s="84"/>
      <c r="S76" s="132" t="s">
        <v>926</v>
      </c>
      <c r="T76" s="107" t="str">
        <f t="shared" si="37"/>
        <v>ninguno</v>
      </c>
      <c r="U76" s="107">
        <f t="shared" si="38"/>
        <v>0</v>
      </c>
      <c r="V76" s="84"/>
    </row>
    <row r="77" spans="1:22" s="114" customFormat="1" ht="14.25" customHeight="1" x14ac:dyDescent="0.25">
      <c r="A77" s="115">
        <v>48</v>
      </c>
      <c r="B77" s="89" t="s">
        <v>965</v>
      </c>
      <c r="C77" s="113"/>
      <c r="D77" s="85"/>
      <c r="E77" s="85">
        <v>0</v>
      </c>
      <c r="F77" s="188">
        <f t="shared" si="39"/>
        <v>0</v>
      </c>
      <c r="G77" s="136"/>
      <c r="H77" s="85"/>
      <c r="I77" s="85"/>
      <c r="J77" s="85"/>
      <c r="K77" s="133"/>
      <c r="L77" s="85"/>
      <c r="M77" s="85"/>
      <c r="N77" s="85"/>
      <c r="O77" s="133"/>
      <c r="P77" s="85"/>
      <c r="Q77" s="85"/>
      <c r="R77" s="85"/>
      <c r="S77" s="133"/>
      <c r="T77" s="85"/>
      <c r="U77" s="85"/>
      <c r="V77" s="85"/>
    </row>
    <row r="78" spans="1:22" s="88" customFormat="1" ht="14.25" customHeight="1" x14ac:dyDescent="0.25">
      <c r="A78" s="115">
        <v>49</v>
      </c>
      <c r="B78" s="89" t="s">
        <v>324</v>
      </c>
      <c r="C78" s="100">
        <v>1</v>
      </c>
      <c r="D78" s="85"/>
      <c r="E78" s="85">
        <f>'ECONOMIA &amp; PROFESIONES'!E38</f>
        <v>23</v>
      </c>
      <c r="F78" s="188">
        <f t="shared" si="39"/>
        <v>3.84</v>
      </c>
      <c r="G78" s="86"/>
      <c r="H78" s="85"/>
      <c r="I78" s="85"/>
      <c r="J78" s="87"/>
      <c r="K78" s="87"/>
      <c r="L78" s="85"/>
      <c r="M78" s="85"/>
      <c r="N78" s="87"/>
      <c r="O78" s="87"/>
      <c r="P78" s="85"/>
      <c r="Q78" s="85"/>
      <c r="R78" s="87"/>
      <c r="S78" s="87"/>
      <c r="T78" s="85"/>
      <c r="U78" s="85"/>
      <c r="V78" s="87"/>
    </row>
    <row r="79" spans="1:22" s="108" customFormat="1" ht="14.25" customHeight="1" x14ac:dyDescent="0.25">
      <c r="A79" s="119">
        <v>50</v>
      </c>
      <c r="B79" s="68" t="s">
        <v>325</v>
      </c>
      <c r="C79" s="99">
        <v>4</v>
      </c>
      <c r="D79" s="67"/>
      <c r="E79" s="61">
        <f t="shared" ref="E79:E92" si="40">(((I79*J79)+(M79*N79)+(Q79*R79)+(U79*V79))/C79)*1.2</f>
        <v>2.2080000000000002</v>
      </c>
      <c r="F79" s="188">
        <f t="shared" si="39"/>
        <v>0.37</v>
      </c>
      <c r="G79" s="118">
        <v>263</v>
      </c>
      <c r="H79" s="59" t="str">
        <f t="shared" ref="H79:H92" si="41">VLOOKUP(G79,LISTAITEMS,2,FALSE)</f>
        <v>Coal</v>
      </c>
      <c r="I79" s="59">
        <f t="shared" ref="I79:I92" si="42">VLOOKUP(G79,LISTAITEMS,5,FALSE)</f>
        <v>7</v>
      </c>
      <c r="J79" s="84">
        <v>1</v>
      </c>
      <c r="K79" s="132">
        <v>280</v>
      </c>
      <c r="L79" s="107" t="str">
        <f t="shared" ref="L79:L92" si="43">VLOOKUP(K79,LISTAITEMS,2,FALSE)</f>
        <v>Stick</v>
      </c>
      <c r="M79" s="107">
        <f t="shared" ref="M79:M92" si="44">VLOOKUP(K79,LISTAITEMS,5,FALSE)</f>
        <v>0.36</v>
      </c>
      <c r="N79" s="84">
        <v>1</v>
      </c>
      <c r="O79" s="132" t="s">
        <v>926</v>
      </c>
      <c r="P79" s="59" t="str">
        <f t="shared" ref="P79:P92" si="45">VLOOKUP(O79,LISTAITEMS,2,FALSE)</f>
        <v>ninguno</v>
      </c>
      <c r="Q79" s="59">
        <f t="shared" ref="Q79:Q92" si="46">VLOOKUP(O79,LISTAITEMS,5,FALSE)</f>
        <v>0</v>
      </c>
      <c r="R79" s="84"/>
      <c r="S79" s="132" t="s">
        <v>926</v>
      </c>
      <c r="T79" s="107" t="str">
        <f t="shared" ref="T79:T92" si="47">VLOOKUP(S79,LISTAITEMS,2,FALSE)</f>
        <v>ninguno</v>
      </c>
      <c r="U79" s="107">
        <f t="shared" ref="U79:U92" si="48">VLOOKUP(S79,LISTAITEMS,5,FALSE)</f>
        <v>0</v>
      </c>
      <c r="V79" s="84"/>
    </row>
    <row r="80" spans="1:22" s="108" customFormat="1" ht="14.25" customHeight="1" x14ac:dyDescent="0.25">
      <c r="A80" s="119">
        <v>53</v>
      </c>
      <c r="B80" s="68" t="s">
        <v>326</v>
      </c>
      <c r="C80" s="99">
        <v>4</v>
      </c>
      <c r="D80" s="67"/>
      <c r="E80" s="61">
        <f t="shared" si="40"/>
        <v>2.1599999999999997</v>
      </c>
      <c r="F80" s="188">
        <f t="shared" si="39"/>
        <v>0.36</v>
      </c>
      <c r="G80" s="118">
        <v>5</v>
      </c>
      <c r="H80" s="59" t="str">
        <f t="shared" si="41"/>
        <v>Oak Planks</v>
      </c>
      <c r="I80" s="59">
        <f t="shared" si="42"/>
        <v>1.2</v>
      </c>
      <c r="J80" s="84">
        <v>6</v>
      </c>
      <c r="K80" s="132" t="s">
        <v>926</v>
      </c>
      <c r="L80" s="107" t="str">
        <f t="shared" si="43"/>
        <v>ninguno</v>
      </c>
      <c r="M80" s="107">
        <f t="shared" si="44"/>
        <v>0</v>
      </c>
      <c r="N80" s="84"/>
      <c r="O80" s="132" t="s">
        <v>926</v>
      </c>
      <c r="P80" s="59" t="str">
        <f t="shared" si="45"/>
        <v>ninguno</v>
      </c>
      <c r="Q80" s="59">
        <f t="shared" si="46"/>
        <v>0</v>
      </c>
      <c r="R80" s="84"/>
      <c r="S80" s="132" t="s">
        <v>926</v>
      </c>
      <c r="T80" s="107" t="str">
        <f t="shared" si="47"/>
        <v>ninguno</v>
      </c>
      <c r="U80" s="107">
        <f t="shared" si="48"/>
        <v>0</v>
      </c>
      <c r="V80" s="84"/>
    </row>
    <row r="81" spans="1:22" s="108" customFormat="1" ht="14.25" customHeight="1" x14ac:dyDescent="0.25">
      <c r="A81" s="119">
        <v>54</v>
      </c>
      <c r="B81" s="68" t="s">
        <v>327</v>
      </c>
      <c r="C81" s="99">
        <v>1</v>
      </c>
      <c r="D81" s="67"/>
      <c r="E81" s="61">
        <f t="shared" si="40"/>
        <v>11.52</v>
      </c>
      <c r="F81" s="188">
        <f t="shared" si="39"/>
        <v>1.92</v>
      </c>
      <c r="G81" s="118">
        <v>5</v>
      </c>
      <c r="H81" s="59" t="str">
        <f t="shared" si="41"/>
        <v>Oak Planks</v>
      </c>
      <c r="I81" s="59">
        <f t="shared" si="42"/>
        <v>1.2</v>
      </c>
      <c r="J81" s="84">
        <v>8</v>
      </c>
      <c r="K81" s="132" t="s">
        <v>926</v>
      </c>
      <c r="L81" s="107" t="str">
        <f t="shared" si="43"/>
        <v>ninguno</v>
      </c>
      <c r="M81" s="107">
        <f t="shared" si="44"/>
        <v>0</v>
      </c>
      <c r="N81" s="84"/>
      <c r="O81" s="132" t="s">
        <v>926</v>
      </c>
      <c r="P81" s="59" t="str">
        <f t="shared" si="45"/>
        <v>ninguno</v>
      </c>
      <c r="Q81" s="59">
        <f t="shared" si="46"/>
        <v>0</v>
      </c>
      <c r="R81" s="84"/>
      <c r="S81" s="132" t="s">
        <v>926</v>
      </c>
      <c r="T81" s="107" t="str">
        <f t="shared" si="47"/>
        <v>ninguno</v>
      </c>
      <c r="U81" s="107">
        <f t="shared" si="48"/>
        <v>0</v>
      </c>
      <c r="V81" s="84"/>
    </row>
    <row r="82" spans="1:22" s="108" customFormat="1" ht="14.25" customHeight="1" x14ac:dyDescent="0.25">
      <c r="A82" s="119">
        <v>57</v>
      </c>
      <c r="B82" s="68" t="s">
        <v>328</v>
      </c>
      <c r="C82" s="99">
        <v>1</v>
      </c>
      <c r="D82" s="67"/>
      <c r="E82" s="61">
        <f t="shared" si="40"/>
        <v>34560</v>
      </c>
      <c r="F82" s="188">
        <f t="shared" si="39"/>
        <v>5760</v>
      </c>
      <c r="G82" s="118">
        <v>264</v>
      </c>
      <c r="H82" s="59" t="str">
        <f t="shared" si="41"/>
        <v>Diamond</v>
      </c>
      <c r="I82" s="59">
        <f t="shared" si="42"/>
        <v>3200</v>
      </c>
      <c r="J82" s="84">
        <v>9</v>
      </c>
      <c r="K82" s="132" t="s">
        <v>926</v>
      </c>
      <c r="L82" s="107" t="str">
        <f t="shared" si="43"/>
        <v>ninguno</v>
      </c>
      <c r="M82" s="107">
        <f t="shared" si="44"/>
        <v>0</v>
      </c>
      <c r="N82" s="84"/>
      <c r="O82" s="132" t="s">
        <v>926</v>
      </c>
      <c r="P82" s="59" t="str">
        <f t="shared" si="45"/>
        <v>ninguno</v>
      </c>
      <c r="Q82" s="59">
        <f t="shared" si="46"/>
        <v>0</v>
      </c>
      <c r="R82" s="84"/>
      <c r="S82" s="132" t="s">
        <v>926</v>
      </c>
      <c r="T82" s="107" t="str">
        <f t="shared" si="47"/>
        <v>ninguno</v>
      </c>
      <c r="U82" s="107">
        <f t="shared" si="48"/>
        <v>0</v>
      </c>
      <c r="V82" s="84"/>
    </row>
    <row r="83" spans="1:22" s="108" customFormat="1" ht="14.25" customHeight="1" x14ac:dyDescent="0.25">
      <c r="A83" s="119">
        <v>58</v>
      </c>
      <c r="B83" s="68" t="s">
        <v>329</v>
      </c>
      <c r="C83" s="99">
        <v>1</v>
      </c>
      <c r="D83" s="67"/>
      <c r="E83" s="61">
        <f t="shared" si="40"/>
        <v>5.76</v>
      </c>
      <c r="F83" s="188">
        <f t="shared" si="39"/>
        <v>0.96</v>
      </c>
      <c r="G83" s="118">
        <v>5</v>
      </c>
      <c r="H83" s="59" t="str">
        <f t="shared" si="41"/>
        <v>Oak Planks</v>
      </c>
      <c r="I83" s="59">
        <f t="shared" si="42"/>
        <v>1.2</v>
      </c>
      <c r="J83" s="84">
        <v>4</v>
      </c>
      <c r="K83" s="132" t="s">
        <v>926</v>
      </c>
      <c r="L83" s="107" t="str">
        <f t="shared" si="43"/>
        <v>ninguno</v>
      </c>
      <c r="M83" s="107">
        <f t="shared" si="44"/>
        <v>0</v>
      </c>
      <c r="N83" s="84"/>
      <c r="O83" s="132" t="s">
        <v>926</v>
      </c>
      <c r="P83" s="59" t="str">
        <f t="shared" si="45"/>
        <v>ninguno</v>
      </c>
      <c r="Q83" s="59">
        <f t="shared" si="46"/>
        <v>0</v>
      </c>
      <c r="R83" s="84"/>
      <c r="S83" s="132" t="s">
        <v>926</v>
      </c>
      <c r="T83" s="107" t="str">
        <f t="shared" si="47"/>
        <v>ninguno</v>
      </c>
      <c r="U83" s="107">
        <f t="shared" si="48"/>
        <v>0</v>
      </c>
      <c r="V83" s="84"/>
    </row>
    <row r="84" spans="1:22" s="108" customFormat="1" ht="14.25" customHeight="1" x14ac:dyDescent="0.25">
      <c r="A84" s="119">
        <v>61</v>
      </c>
      <c r="B84" s="68" t="s">
        <v>330</v>
      </c>
      <c r="C84" s="99">
        <v>1</v>
      </c>
      <c r="D84" s="67"/>
      <c r="E84" s="61">
        <f t="shared" si="40"/>
        <v>28.799999999999997</v>
      </c>
      <c r="F84" s="188">
        <f t="shared" si="39"/>
        <v>4.8</v>
      </c>
      <c r="G84" s="118">
        <v>4</v>
      </c>
      <c r="H84" s="59" t="str">
        <f t="shared" si="41"/>
        <v>Cobblestone</v>
      </c>
      <c r="I84" s="59">
        <f t="shared" si="42"/>
        <v>3</v>
      </c>
      <c r="J84" s="84">
        <v>8</v>
      </c>
      <c r="K84" s="132" t="s">
        <v>926</v>
      </c>
      <c r="L84" s="107" t="str">
        <f t="shared" si="43"/>
        <v>ninguno</v>
      </c>
      <c r="M84" s="107">
        <f t="shared" si="44"/>
        <v>0</v>
      </c>
      <c r="N84" s="84"/>
      <c r="O84" s="132" t="s">
        <v>926</v>
      </c>
      <c r="P84" s="59" t="str">
        <f t="shared" si="45"/>
        <v>ninguno</v>
      </c>
      <c r="Q84" s="59">
        <f t="shared" si="46"/>
        <v>0</v>
      </c>
      <c r="R84" s="84"/>
      <c r="S84" s="132" t="s">
        <v>926</v>
      </c>
      <c r="T84" s="107" t="str">
        <f t="shared" si="47"/>
        <v>ninguno</v>
      </c>
      <c r="U84" s="107">
        <f t="shared" si="48"/>
        <v>0</v>
      </c>
      <c r="V84" s="84"/>
    </row>
    <row r="85" spans="1:22" s="108" customFormat="1" ht="14.25" customHeight="1" x14ac:dyDescent="0.25">
      <c r="A85" s="119">
        <v>65</v>
      </c>
      <c r="B85" s="68" t="s">
        <v>331</v>
      </c>
      <c r="C85" s="99">
        <v>3</v>
      </c>
      <c r="D85" s="67"/>
      <c r="E85" s="61">
        <f t="shared" si="40"/>
        <v>1.008</v>
      </c>
      <c r="F85" s="188">
        <f t="shared" si="39"/>
        <v>0.17</v>
      </c>
      <c r="G85" s="118">
        <v>280</v>
      </c>
      <c r="H85" s="59" t="str">
        <f t="shared" si="41"/>
        <v>Stick</v>
      </c>
      <c r="I85" s="59">
        <f t="shared" si="42"/>
        <v>0.36</v>
      </c>
      <c r="J85" s="84">
        <v>7</v>
      </c>
      <c r="K85" s="132" t="s">
        <v>926</v>
      </c>
      <c r="L85" s="107" t="str">
        <f t="shared" si="43"/>
        <v>ninguno</v>
      </c>
      <c r="M85" s="107">
        <f t="shared" si="44"/>
        <v>0</v>
      </c>
      <c r="N85" s="84"/>
      <c r="O85" s="132" t="s">
        <v>926</v>
      </c>
      <c r="P85" s="59" t="str">
        <f t="shared" si="45"/>
        <v>ninguno</v>
      </c>
      <c r="Q85" s="59">
        <f t="shared" si="46"/>
        <v>0</v>
      </c>
      <c r="R85" s="84"/>
      <c r="S85" s="132" t="s">
        <v>926</v>
      </c>
      <c r="T85" s="107" t="str">
        <f t="shared" si="47"/>
        <v>ninguno</v>
      </c>
      <c r="U85" s="107">
        <f t="shared" si="48"/>
        <v>0</v>
      </c>
      <c r="V85" s="84"/>
    </row>
    <row r="86" spans="1:22" s="108" customFormat="1" ht="14.25" customHeight="1" x14ac:dyDescent="0.25">
      <c r="A86" s="119">
        <v>66</v>
      </c>
      <c r="B86" s="68" t="s">
        <v>332</v>
      </c>
      <c r="C86" s="99">
        <v>16</v>
      </c>
      <c r="D86" s="67"/>
      <c r="E86" s="61">
        <f t="shared" si="40"/>
        <v>360.02699999999999</v>
      </c>
      <c r="F86" s="188">
        <f t="shared" si="39"/>
        <v>60.01</v>
      </c>
      <c r="G86" s="118">
        <v>265</v>
      </c>
      <c r="H86" s="59" t="str">
        <f t="shared" si="41"/>
        <v>Iron Ingot</v>
      </c>
      <c r="I86" s="59">
        <f t="shared" si="42"/>
        <v>800</v>
      </c>
      <c r="J86" s="84">
        <v>6</v>
      </c>
      <c r="K86" s="132">
        <v>280</v>
      </c>
      <c r="L86" s="107" t="str">
        <f t="shared" si="43"/>
        <v>Stick</v>
      </c>
      <c r="M86" s="107">
        <f t="shared" si="44"/>
        <v>0.36</v>
      </c>
      <c r="N86" s="84">
        <v>1</v>
      </c>
      <c r="O86" s="132" t="s">
        <v>926</v>
      </c>
      <c r="P86" s="59" t="str">
        <f t="shared" si="45"/>
        <v>ninguno</v>
      </c>
      <c r="Q86" s="59">
        <f t="shared" si="46"/>
        <v>0</v>
      </c>
      <c r="R86" s="84"/>
      <c r="S86" s="132" t="s">
        <v>926</v>
      </c>
      <c r="T86" s="107" t="str">
        <f t="shared" si="47"/>
        <v>ninguno</v>
      </c>
      <c r="U86" s="107">
        <f t="shared" si="48"/>
        <v>0</v>
      </c>
      <c r="V86" s="84"/>
    </row>
    <row r="87" spans="1:22" s="108" customFormat="1" ht="14.25" customHeight="1" x14ac:dyDescent="0.25">
      <c r="A87" s="119">
        <v>67</v>
      </c>
      <c r="B87" s="68" t="s">
        <v>333</v>
      </c>
      <c r="C87" s="99">
        <v>4</v>
      </c>
      <c r="D87" s="67"/>
      <c r="E87" s="61">
        <f t="shared" si="40"/>
        <v>5.3999999999999995</v>
      </c>
      <c r="F87" s="188">
        <f t="shared" si="39"/>
        <v>0.9</v>
      </c>
      <c r="G87" s="118">
        <v>4</v>
      </c>
      <c r="H87" s="59" t="str">
        <f t="shared" si="41"/>
        <v>Cobblestone</v>
      </c>
      <c r="I87" s="59">
        <f t="shared" si="42"/>
        <v>3</v>
      </c>
      <c r="J87" s="84">
        <v>6</v>
      </c>
      <c r="K87" s="132" t="s">
        <v>926</v>
      </c>
      <c r="L87" s="107" t="str">
        <f t="shared" si="43"/>
        <v>ninguno</v>
      </c>
      <c r="M87" s="107">
        <f t="shared" si="44"/>
        <v>0</v>
      </c>
      <c r="N87" s="84"/>
      <c r="O87" s="132" t="s">
        <v>926</v>
      </c>
      <c r="P87" s="59" t="str">
        <f t="shared" si="45"/>
        <v>ninguno</v>
      </c>
      <c r="Q87" s="59">
        <f t="shared" si="46"/>
        <v>0</v>
      </c>
      <c r="R87" s="84"/>
      <c r="S87" s="132" t="s">
        <v>926</v>
      </c>
      <c r="T87" s="107" t="str">
        <f t="shared" si="47"/>
        <v>ninguno</v>
      </c>
      <c r="U87" s="107">
        <f t="shared" si="48"/>
        <v>0</v>
      </c>
      <c r="V87" s="84"/>
    </row>
    <row r="88" spans="1:22" s="108" customFormat="1" ht="14.25" customHeight="1" x14ac:dyDescent="0.25">
      <c r="A88" s="119">
        <v>69</v>
      </c>
      <c r="B88" s="68" t="s">
        <v>334</v>
      </c>
      <c r="C88" s="99">
        <v>1</v>
      </c>
      <c r="D88" s="67"/>
      <c r="E88" s="61">
        <f t="shared" si="40"/>
        <v>4.032</v>
      </c>
      <c r="F88" s="188">
        <f t="shared" si="39"/>
        <v>0.68</v>
      </c>
      <c r="G88" s="118">
        <v>280</v>
      </c>
      <c r="H88" s="59" t="str">
        <f t="shared" si="41"/>
        <v>Stick</v>
      </c>
      <c r="I88" s="59">
        <f t="shared" si="42"/>
        <v>0.36</v>
      </c>
      <c r="J88" s="84">
        <v>1</v>
      </c>
      <c r="K88" s="132">
        <v>4</v>
      </c>
      <c r="L88" s="107" t="str">
        <f t="shared" si="43"/>
        <v>Cobblestone</v>
      </c>
      <c r="M88" s="107">
        <f t="shared" si="44"/>
        <v>3</v>
      </c>
      <c r="N88" s="84">
        <v>1</v>
      </c>
      <c r="O88" s="132" t="s">
        <v>926</v>
      </c>
      <c r="P88" s="59" t="str">
        <f t="shared" si="45"/>
        <v>ninguno</v>
      </c>
      <c r="Q88" s="59">
        <f t="shared" si="46"/>
        <v>0</v>
      </c>
      <c r="R88" s="84"/>
      <c r="S88" s="132" t="s">
        <v>926</v>
      </c>
      <c r="T88" s="107" t="str">
        <f t="shared" si="47"/>
        <v>ninguno</v>
      </c>
      <c r="U88" s="107">
        <f t="shared" si="48"/>
        <v>0</v>
      </c>
      <c r="V88" s="84"/>
    </row>
    <row r="89" spans="1:22" s="108" customFormat="1" ht="14.25" customHeight="1" x14ac:dyDescent="0.25">
      <c r="A89" s="119">
        <v>70</v>
      </c>
      <c r="B89" s="68" t="s">
        <v>335</v>
      </c>
      <c r="C89" s="99">
        <v>1</v>
      </c>
      <c r="D89" s="67"/>
      <c r="E89" s="61">
        <f t="shared" si="40"/>
        <v>8.6399999999999988</v>
      </c>
      <c r="F89" s="188">
        <f t="shared" si="39"/>
        <v>1.44</v>
      </c>
      <c r="G89" s="118">
        <v>1</v>
      </c>
      <c r="H89" s="59" t="str">
        <f t="shared" si="41"/>
        <v>Stone</v>
      </c>
      <c r="I89" s="59">
        <f t="shared" si="42"/>
        <v>3.5999999999999996</v>
      </c>
      <c r="J89" s="84">
        <v>2</v>
      </c>
      <c r="K89" s="132" t="s">
        <v>926</v>
      </c>
      <c r="L89" s="107" t="str">
        <f t="shared" si="43"/>
        <v>ninguno</v>
      </c>
      <c r="M89" s="107">
        <f t="shared" si="44"/>
        <v>0</v>
      </c>
      <c r="N89" s="84"/>
      <c r="O89" s="132" t="s">
        <v>926</v>
      </c>
      <c r="P89" s="59" t="str">
        <f t="shared" si="45"/>
        <v>ninguno</v>
      </c>
      <c r="Q89" s="59">
        <f t="shared" si="46"/>
        <v>0</v>
      </c>
      <c r="R89" s="84"/>
      <c r="S89" s="132" t="s">
        <v>926</v>
      </c>
      <c r="T89" s="107" t="str">
        <f t="shared" si="47"/>
        <v>ninguno</v>
      </c>
      <c r="U89" s="107">
        <f t="shared" si="48"/>
        <v>0</v>
      </c>
      <c r="V89" s="84"/>
    </row>
    <row r="90" spans="1:22" s="108" customFormat="1" ht="14.25" customHeight="1" x14ac:dyDescent="0.25">
      <c r="A90" s="119">
        <v>72</v>
      </c>
      <c r="B90" s="68" t="s">
        <v>336</v>
      </c>
      <c r="C90" s="99">
        <v>1</v>
      </c>
      <c r="D90" s="67"/>
      <c r="E90" s="61">
        <f t="shared" si="40"/>
        <v>2.88</v>
      </c>
      <c r="F90" s="188">
        <f t="shared" si="39"/>
        <v>0.48</v>
      </c>
      <c r="G90" s="118">
        <v>5</v>
      </c>
      <c r="H90" s="59" t="str">
        <f t="shared" si="41"/>
        <v>Oak Planks</v>
      </c>
      <c r="I90" s="59">
        <f t="shared" si="42"/>
        <v>1.2</v>
      </c>
      <c r="J90" s="84">
        <v>2</v>
      </c>
      <c r="K90" s="132" t="s">
        <v>926</v>
      </c>
      <c r="L90" s="107" t="str">
        <f t="shared" si="43"/>
        <v>ninguno</v>
      </c>
      <c r="M90" s="107">
        <f t="shared" si="44"/>
        <v>0</v>
      </c>
      <c r="N90" s="84"/>
      <c r="O90" s="132" t="s">
        <v>926</v>
      </c>
      <c r="P90" s="59" t="str">
        <f t="shared" si="45"/>
        <v>ninguno</v>
      </c>
      <c r="Q90" s="59">
        <f t="shared" si="46"/>
        <v>0</v>
      </c>
      <c r="R90" s="84"/>
      <c r="S90" s="132" t="s">
        <v>926</v>
      </c>
      <c r="T90" s="107" t="str">
        <f t="shared" si="47"/>
        <v>ninguno</v>
      </c>
      <c r="U90" s="107">
        <f t="shared" si="48"/>
        <v>0</v>
      </c>
      <c r="V90" s="84"/>
    </row>
    <row r="91" spans="1:22" s="108" customFormat="1" ht="14.25" customHeight="1" x14ac:dyDescent="0.25">
      <c r="A91" s="123">
        <v>76</v>
      </c>
      <c r="B91" s="72" t="s">
        <v>932</v>
      </c>
      <c r="C91" s="99">
        <v>1</v>
      </c>
      <c r="D91" s="67"/>
      <c r="E91" s="61">
        <f t="shared" si="40"/>
        <v>18.431999999999999</v>
      </c>
      <c r="F91" s="188">
        <f t="shared" si="39"/>
        <v>3.0799999999999996</v>
      </c>
      <c r="G91" s="118">
        <v>331</v>
      </c>
      <c r="H91" s="59" t="str">
        <f t="shared" si="41"/>
        <v>Redstone Dust</v>
      </c>
      <c r="I91" s="59">
        <f t="shared" si="42"/>
        <v>15</v>
      </c>
      <c r="J91" s="84">
        <v>1</v>
      </c>
      <c r="K91" s="132">
        <v>280</v>
      </c>
      <c r="L91" s="107" t="str">
        <f t="shared" si="43"/>
        <v>Stick</v>
      </c>
      <c r="M91" s="107">
        <f t="shared" si="44"/>
        <v>0.36</v>
      </c>
      <c r="N91" s="84">
        <v>1</v>
      </c>
      <c r="O91" s="132" t="s">
        <v>926</v>
      </c>
      <c r="P91" s="59" t="str">
        <f t="shared" si="45"/>
        <v>ninguno</v>
      </c>
      <c r="Q91" s="59">
        <f t="shared" si="46"/>
        <v>0</v>
      </c>
      <c r="R91" s="84"/>
      <c r="S91" s="132" t="s">
        <v>926</v>
      </c>
      <c r="T91" s="107" t="str">
        <f t="shared" si="47"/>
        <v>ninguno</v>
      </c>
      <c r="U91" s="107">
        <f t="shared" si="48"/>
        <v>0</v>
      </c>
      <c r="V91" s="84"/>
    </row>
    <row r="92" spans="1:22" s="108" customFormat="1" ht="14.25" customHeight="1" x14ac:dyDescent="0.25">
      <c r="A92" s="119">
        <v>77</v>
      </c>
      <c r="B92" s="68" t="s">
        <v>337</v>
      </c>
      <c r="C92" s="99">
        <v>1</v>
      </c>
      <c r="D92" s="67"/>
      <c r="E92" s="61">
        <f t="shared" si="40"/>
        <v>4.3199999999999994</v>
      </c>
      <c r="F92" s="188">
        <f t="shared" si="39"/>
        <v>0.72</v>
      </c>
      <c r="G92" s="118">
        <v>1</v>
      </c>
      <c r="H92" s="59" t="str">
        <f t="shared" si="41"/>
        <v>Stone</v>
      </c>
      <c r="I92" s="59">
        <f t="shared" si="42"/>
        <v>3.5999999999999996</v>
      </c>
      <c r="J92" s="84">
        <v>1</v>
      </c>
      <c r="K92" s="132" t="s">
        <v>926</v>
      </c>
      <c r="L92" s="107" t="str">
        <f t="shared" si="43"/>
        <v>ninguno</v>
      </c>
      <c r="M92" s="107">
        <f t="shared" si="44"/>
        <v>0</v>
      </c>
      <c r="N92" s="84"/>
      <c r="O92" s="132" t="s">
        <v>926</v>
      </c>
      <c r="P92" s="59" t="str">
        <f t="shared" si="45"/>
        <v>ninguno</v>
      </c>
      <c r="Q92" s="59">
        <f t="shared" si="46"/>
        <v>0</v>
      </c>
      <c r="R92" s="84"/>
      <c r="S92" s="132" t="s">
        <v>926</v>
      </c>
      <c r="T92" s="107" t="str">
        <f t="shared" si="47"/>
        <v>ninguno</v>
      </c>
      <c r="U92" s="107">
        <f t="shared" si="48"/>
        <v>0</v>
      </c>
      <c r="V92" s="84"/>
    </row>
    <row r="93" spans="1:22" s="90" customFormat="1" ht="14.25" customHeight="1" x14ac:dyDescent="0.25">
      <c r="A93" s="115">
        <v>81</v>
      </c>
      <c r="B93" s="89" t="s">
        <v>338</v>
      </c>
      <c r="C93" s="100">
        <v>1</v>
      </c>
      <c r="D93" s="85"/>
      <c r="E93" s="85">
        <f>'ECONOMIA &amp; PROFESIONES'!E75</f>
        <v>7.5</v>
      </c>
      <c r="F93" s="188">
        <f t="shared" si="39"/>
        <v>1.25</v>
      </c>
      <c r="G93" s="118" t="s">
        <v>926</v>
      </c>
      <c r="H93" s="85"/>
      <c r="I93" s="85"/>
      <c r="J93" s="87"/>
      <c r="K93" s="134"/>
      <c r="L93" s="85"/>
      <c r="M93" s="85"/>
      <c r="N93" s="87"/>
      <c r="O93" s="134"/>
      <c r="P93" s="85"/>
      <c r="Q93" s="85"/>
      <c r="R93" s="87"/>
      <c r="S93" s="134"/>
      <c r="T93" s="85"/>
      <c r="U93" s="85"/>
      <c r="V93" s="87"/>
    </row>
    <row r="94" spans="1:22" s="108" customFormat="1" ht="14.25" customHeight="1" x14ac:dyDescent="0.25">
      <c r="A94" s="119">
        <v>82</v>
      </c>
      <c r="B94" s="68" t="s">
        <v>339</v>
      </c>
      <c r="C94" s="99">
        <v>1</v>
      </c>
      <c r="D94" s="67"/>
      <c r="E94" s="61">
        <f>(((I94*J94)+(M94*N94)+(Q94*R94)+(U94*V94))/C94)*1.2</f>
        <v>72</v>
      </c>
      <c r="F94" s="188">
        <f t="shared" si="39"/>
        <v>12</v>
      </c>
      <c r="G94" s="118">
        <v>337</v>
      </c>
      <c r="H94" s="59" t="str">
        <f t="shared" ref="H94:H121" si="49">VLOOKUP(G94,LISTAITEMS,2,FALSE)</f>
        <v>Clay</v>
      </c>
      <c r="I94" s="59">
        <f t="shared" ref="I94:I121" si="50">VLOOKUP(G94,LISTAITEMS,5,FALSE)</f>
        <v>15</v>
      </c>
      <c r="J94" s="84">
        <v>4</v>
      </c>
      <c r="K94" s="132" t="s">
        <v>926</v>
      </c>
      <c r="L94" s="107" t="str">
        <f t="shared" ref="L94:L121" si="51">VLOOKUP(K94,LISTAITEMS,2,FALSE)</f>
        <v>ninguno</v>
      </c>
      <c r="M94" s="107">
        <f t="shared" ref="M94:M121" si="52">VLOOKUP(K94,LISTAITEMS,5,FALSE)</f>
        <v>0</v>
      </c>
      <c r="N94" s="84"/>
      <c r="O94" s="132" t="s">
        <v>926</v>
      </c>
      <c r="P94" s="59" t="str">
        <f t="shared" ref="P94:P121" si="53">VLOOKUP(O94,LISTAITEMS,2,FALSE)</f>
        <v>ninguno</v>
      </c>
      <c r="Q94" s="59">
        <f t="shared" ref="Q94:Q121" si="54">VLOOKUP(O94,LISTAITEMS,5,FALSE)</f>
        <v>0</v>
      </c>
      <c r="R94" s="84"/>
      <c r="S94" s="132" t="s">
        <v>926</v>
      </c>
      <c r="T94" s="107" t="str">
        <f t="shared" ref="T94:T121" si="55">VLOOKUP(S94,LISTAITEMS,2,FALSE)</f>
        <v>ninguno</v>
      </c>
      <c r="U94" s="107">
        <f t="shared" ref="U94:U121" si="56">VLOOKUP(S94,LISTAITEMS,5,FALSE)</f>
        <v>0</v>
      </c>
      <c r="V94" s="84"/>
    </row>
    <row r="95" spans="1:22" s="108" customFormat="1" ht="14.25" customHeight="1" x14ac:dyDescent="0.25">
      <c r="A95" s="119">
        <v>85</v>
      </c>
      <c r="B95" s="68" t="s">
        <v>340</v>
      </c>
      <c r="C95" s="99">
        <v>3</v>
      </c>
      <c r="D95" s="67"/>
      <c r="E95" s="61">
        <f>(((I95*J95)+(M95*N95)+(Q95*R95)+(U95*V95))/C95)*1.2</f>
        <v>2.2079999999999997</v>
      </c>
      <c r="F95" s="188">
        <f t="shared" si="39"/>
        <v>0.37</v>
      </c>
      <c r="G95" s="118">
        <v>5</v>
      </c>
      <c r="H95" s="59" t="str">
        <f t="shared" si="49"/>
        <v>Oak Planks</v>
      </c>
      <c r="I95" s="59">
        <f t="shared" si="50"/>
        <v>1.2</v>
      </c>
      <c r="J95" s="84">
        <v>4</v>
      </c>
      <c r="K95" s="132">
        <v>280</v>
      </c>
      <c r="L95" s="107" t="str">
        <f t="shared" si="51"/>
        <v>Stick</v>
      </c>
      <c r="M95" s="107">
        <f t="shared" si="52"/>
        <v>0.36</v>
      </c>
      <c r="N95" s="84">
        <v>2</v>
      </c>
      <c r="O95" s="132" t="s">
        <v>926</v>
      </c>
      <c r="P95" s="59" t="str">
        <f t="shared" si="53"/>
        <v>ninguno</v>
      </c>
      <c r="Q95" s="59">
        <f t="shared" si="54"/>
        <v>0</v>
      </c>
      <c r="R95" s="84"/>
      <c r="S95" s="132" t="s">
        <v>926</v>
      </c>
      <c r="T95" s="107" t="str">
        <f t="shared" si="55"/>
        <v>ninguno</v>
      </c>
      <c r="U95" s="107">
        <f t="shared" si="56"/>
        <v>0</v>
      </c>
      <c r="V95" s="84"/>
    </row>
    <row r="96" spans="1:22" s="114" customFormat="1" ht="14.25" customHeight="1" x14ac:dyDescent="0.25">
      <c r="A96" s="115">
        <v>86</v>
      </c>
      <c r="B96" s="89" t="s">
        <v>341</v>
      </c>
      <c r="C96" s="113"/>
      <c r="D96" s="85"/>
      <c r="E96" s="85">
        <f>'ECONOMIA &amp; PROFESIONES'!$I$33</f>
        <v>942</v>
      </c>
      <c r="F96" s="188">
        <f t="shared" si="39"/>
        <v>157</v>
      </c>
      <c r="G96" s="118" t="s">
        <v>926</v>
      </c>
      <c r="H96" s="85"/>
      <c r="I96" s="85"/>
      <c r="J96" s="85"/>
      <c r="K96" s="133"/>
      <c r="L96" s="85"/>
      <c r="M96" s="85"/>
      <c r="N96" s="85"/>
      <c r="O96" s="133"/>
      <c r="P96" s="85"/>
      <c r="Q96" s="85"/>
      <c r="R96" s="85"/>
      <c r="S96" s="133"/>
      <c r="T96" s="85"/>
      <c r="U96" s="85"/>
      <c r="V96" s="85"/>
    </row>
    <row r="97" spans="1:22" s="114" customFormat="1" ht="14.25" customHeight="1" x14ac:dyDescent="0.25">
      <c r="A97" s="115">
        <v>87</v>
      </c>
      <c r="B97" s="89" t="s">
        <v>342</v>
      </c>
      <c r="C97" s="113"/>
      <c r="D97" s="85"/>
      <c r="E97" s="85">
        <f>'ECONOMIA &amp; PROFESIONES'!E37</f>
        <v>23</v>
      </c>
      <c r="F97" s="188">
        <f t="shared" si="39"/>
        <v>3.84</v>
      </c>
      <c r="G97" s="118" t="s">
        <v>926</v>
      </c>
      <c r="H97" s="85" t="str">
        <f t="shared" si="49"/>
        <v>ninguno</v>
      </c>
      <c r="I97" s="85">
        <f t="shared" si="50"/>
        <v>0</v>
      </c>
      <c r="J97" s="85"/>
      <c r="K97" s="133" t="s">
        <v>926</v>
      </c>
      <c r="L97" s="85" t="str">
        <f t="shared" si="51"/>
        <v>ninguno</v>
      </c>
      <c r="M97" s="85">
        <f t="shared" si="52"/>
        <v>0</v>
      </c>
      <c r="N97" s="85"/>
      <c r="O97" s="133" t="s">
        <v>926</v>
      </c>
      <c r="P97" s="85" t="str">
        <f t="shared" si="53"/>
        <v>ninguno</v>
      </c>
      <c r="Q97" s="85">
        <f t="shared" si="54"/>
        <v>0</v>
      </c>
      <c r="R97" s="85"/>
      <c r="S97" s="133" t="s">
        <v>926</v>
      </c>
      <c r="T97" s="85" t="str">
        <f t="shared" si="55"/>
        <v>ninguno</v>
      </c>
      <c r="U97" s="85">
        <f t="shared" si="56"/>
        <v>0</v>
      </c>
      <c r="V97" s="85"/>
    </row>
    <row r="98" spans="1:22" s="108" customFormat="1" ht="14.25" customHeight="1" x14ac:dyDescent="0.25">
      <c r="A98" s="119">
        <v>89</v>
      </c>
      <c r="B98" s="68" t="s">
        <v>343</v>
      </c>
      <c r="C98" s="99">
        <v>1</v>
      </c>
      <c r="D98" s="67"/>
      <c r="E98" s="61">
        <f t="shared" ref="E98:E121" si="57">(((I98*J98)+(M98*N98)+(Q98*R98)+(U98*V98))/C98)*1.2</f>
        <v>91.2</v>
      </c>
      <c r="F98" s="188">
        <f t="shared" si="39"/>
        <v>15.2</v>
      </c>
      <c r="G98" s="118">
        <v>348</v>
      </c>
      <c r="H98" s="59" t="str">
        <f t="shared" si="49"/>
        <v>Glowstone Dust</v>
      </c>
      <c r="I98" s="59">
        <f t="shared" si="50"/>
        <v>19</v>
      </c>
      <c r="J98" s="84">
        <v>4</v>
      </c>
      <c r="K98" s="132" t="s">
        <v>926</v>
      </c>
      <c r="L98" s="107" t="str">
        <f t="shared" si="51"/>
        <v>ninguno</v>
      </c>
      <c r="M98" s="107">
        <f t="shared" si="52"/>
        <v>0</v>
      </c>
      <c r="N98" s="84"/>
      <c r="O98" s="132" t="s">
        <v>926</v>
      </c>
      <c r="P98" s="59" t="str">
        <f t="shared" si="53"/>
        <v>ninguno</v>
      </c>
      <c r="Q98" s="59">
        <f t="shared" si="54"/>
        <v>0</v>
      </c>
      <c r="R98" s="84"/>
      <c r="S98" s="132" t="s">
        <v>926</v>
      </c>
      <c r="T98" s="107" t="str">
        <f t="shared" si="55"/>
        <v>ninguno</v>
      </c>
      <c r="U98" s="107">
        <f t="shared" si="56"/>
        <v>0</v>
      </c>
      <c r="V98" s="84"/>
    </row>
    <row r="99" spans="1:22" s="108" customFormat="1" ht="14.25" customHeight="1" x14ac:dyDescent="0.25">
      <c r="A99" s="119">
        <v>91</v>
      </c>
      <c r="B99" s="68" t="s">
        <v>344</v>
      </c>
      <c r="C99" s="99">
        <v>1</v>
      </c>
      <c r="D99" s="67"/>
      <c r="E99" s="61">
        <f t="shared" si="57"/>
        <v>1133.0495999999998</v>
      </c>
      <c r="F99" s="188">
        <f t="shared" si="39"/>
        <v>188.85</v>
      </c>
      <c r="G99" s="118">
        <v>86</v>
      </c>
      <c r="H99" s="59" t="str">
        <f t="shared" si="49"/>
        <v>Pumpkin</v>
      </c>
      <c r="I99" s="59">
        <f t="shared" si="50"/>
        <v>942</v>
      </c>
      <c r="J99" s="84">
        <v>1</v>
      </c>
      <c r="K99" s="132">
        <v>50</v>
      </c>
      <c r="L99" s="107" t="str">
        <f t="shared" si="51"/>
        <v>Torch</v>
      </c>
      <c r="M99" s="107">
        <f t="shared" si="52"/>
        <v>2.2080000000000002</v>
      </c>
      <c r="N99" s="84">
        <v>1</v>
      </c>
      <c r="O99" s="132" t="s">
        <v>926</v>
      </c>
      <c r="P99" s="59" t="str">
        <f t="shared" si="53"/>
        <v>ninguno</v>
      </c>
      <c r="Q99" s="59">
        <f t="shared" si="54"/>
        <v>0</v>
      </c>
      <c r="R99" s="84"/>
      <c r="S99" s="132" t="s">
        <v>926</v>
      </c>
      <c r="T99" s="107" t="str">
        <f t="shared" si="55"/>
        <v>ninguno</v>
      </c>
      <c r="U99" s="107">
        <f t="shared" si="56"/>
        <v>0</v>
      </c>
      <c r="V99" s="84"/>
    </row>
    <row r="100" spans="1:22" s="108" customFormat="1" ht="14.25" customHeight="1" x14ac:dyDescent="0.25">
      <c r="A100" s="119">
        <v>95</v>
      </c>
      <c r="B100" s="68" t="s">
        <v>345</v>
      </c>
      <c r="C100" s="99">
        <v>8</v>
      </c>
      <c r="D100" s="67"/>
      <c r="E100" s="61">
        <f t="shared" si="57"/>
        <v>17.189999999999998</v>
      </c>
      <c r="F100" s="188">
        <f t="shared" si="39"/>
        <v>2.8699999999999997</v>
      </c>
      <c r="G100" s="118">
        <v>20</v>
      </c>
      <c r="H100" s="59" t="str">
        <f t="shared" si="49"/>
        <v>Glass</v>
      </c>
      <c r="I100" s="59">
        <f t="shared" si="50"/>
        <v>13.2</v>
      </c>
      <c r="J100" s="84">
        <v>8</v>
      </c>
      <c r="K100" s="132" t="s">
        <v>678</v>
      </c>
      <c r="L100" s="107" t="str">
        <f t="shared" si="51"/>
        <v>Bone Meal</v>
      </c>
      <c r="M100" s="107">
        <f t="shared" si="52"/>
        <v>9</v>
      </c>
      <c r="N100" s="84">
        <v>1</v>
      </c>
      <c r="O100" s="132" t="s">
        <v>926</v>
      </c>
      <c r="P100" s="59" t="str">
        <f t="shared" si="53"/>
        <v>ninguno</v>
      </c>
      <c r="Q100" s="59">
        <f t="shared" si="54"/>
        <v>0</v>
      </c>
      <c r="R100" s="84"/>
      <c r="S100" s="132" t="s">
        <v>926</v>
      </c>
      <c r="T100" s="107" t="str">
        <f t="shared" si="55"/>
        <v>ninguno</v>
      </c>
      <c r="U100" s="107">
        <f t="shared" si="56"/>
        <v>0</v>
      </c>
      <c r="V100" s="84"/>
    </row>
    <row r="101" spans="1:22" s="108" customFormat="1" ht="14.25" customHeight="1" x14ac:dyDescent="0.25">
      <c r="A101" s="119" t="s">
        <v>347</v>
      </c>
      <c r="B101" s="68" t="s">
        <v>346</v>
      </c>
      <c r="C101" s="99">
        <v>8</v>
      </c>
      <c r="D101" s="67"/>
      <c r="E101" s="61">
        <f t="shared" si="57"/>
        <v>19.079999999999998</v>
      </c>
      <c r="F101" s="188">
        <f t="shared" si="39"/>
        <v>3.18</v>
      </c>
      <c r="G101" s="118">
        <v>20</v>
      </c>
      <c r="H101" s="59" t="str">
        <f t="shared" si="49"/>
        <v>Glass</v>
      </c>
      <c r="I101" s="59">
        <f t="shared" si="50"/>
        <v>13.2</v>
      </c>
      <c r="J101" s="84">
        <v>8</v>
      </c>
      <c r="K101" s="132" t="s">
        <v>676</v>
      </c>
      <c r="L101" s="107" t="str">
        <f t="shared" si="51"/>
        <v>Orange Dye</v>
      </c>
      <c r="M101" s="107">
        <f t="shared" si="52"/>
        <v>21.599999999999998</v>
      </c>
      <c r="N101" s="84">
        <v>1</v>
      </c>
      <c r="O101" s="132" t="s">
        <v>926</v>
      </c>
      <c r="P101" s="59" t="str">
        <f t="shared" si="53"/>
        <v>ninguno</v>
      </c>
      <c r="Q101" s="59">
        <f t="shared" si="54"/>
        <v>0</v>
      </c>
      <c r="R101" s="84"/>
      <c r="S101" s="132" t="s">
        <v>926</v>
      </c>
      <c r="T101" s="107" t="str">
        <f t="shared" si="55"/>
        <v>ninguno</v>
      </c>
      <c r="U101" s="107">
        <f t="shared" si="56"/>
        <v>0</v>
      </c>
      <c r="V101" s="84"/>
    </row>
    <row r="102" spans="1:22" s="108" customFormat="1" ht="14.25" customHeight="1" x14ac:dyDescent="0.25">
      <c r="A102" s="119" t="s">
        <v>349</v>
      </c>
      <c r="B102" s="68" t="s">
        <v>348</v>
      </c>
      <c r="C102" s="99">
        <v>8</v>
      </c>
      <c r="D102" s="67"/>
      <c r="E102" s="61">
        <f t="shared" si="57"/>
        <v>23.616</v>
      </c>
      <c r="F102" s="188">
        <f t="shared" si="39"/>
        <v>3.94</v>
      </c>
      <c r="G102" s="118">
        <v>20</v>
      </c>
      <c r="H102" s="59" t="str">
        <f t="shared" si="49"/>
        <v>Glass</v>
      </c>
      <c r="I102" s="59">
        <f t="shared" si="50"/>
        <v>13.2</v>
      </c>
      <c r="J102" s="84">
        <v>8</v>
      </c>
      <c r="K102" s="132" t="s">
        <v>674</v>
      </c>
      <c r="L102" s="107" t="str">
        <f t="shared" si="51"/>
        <v>Magenta Dye</v>
      </c>
      <c r="M102" s="107">
        <f t="shared" si="52"/>
        <v>51.839999999999996</v>
      </c>
      <c r="N102" s="84">
        <v>1</v>
      </c>
      <c r="O102" s="132" t="s">
        <v>926</v>
      </c>
      <c r="P102" s="59" t="str">
        <f t="shared" si="53"/>
        <v>ninguno</v>
      </c>
      <c r="Q102" s="59">
        <f t="shared" si="54"/>
        <v>0</v>
      </c>
      <c r="R102" s="84"/>
      <c r="S102" s="132" t="s">
        <v>926</v>
      </c>
      <c r="T102" s="107" t="str">
        <f t="shared" si="55"/>
        <v>ninguno</v>
      </c>
      <c r="U102" s="107">
        <f t="shared" si="56"/>
        <v>0</v>
      </c>
      <c r="V102" s="84"/>
    </row>
    <row r="103" spans="1:22" s="108" customFormat="1" ht="14.25" customHeight="1" x14ac:dyDescent="0.25">
      <c r="A103" s="119" t="s">
        <v>351</v>
      </c>
      <c r="B103" s="68" t="s">
        <v>350</v>
      </c>
      <c r="C103" s="99">
        <v>8</v>
      </c>
      <c r="D103" s="67"/>
      <c r="E103" s="61">
        <f t="shared" si="57"/>
        <v>19.079999999999998</v>
      </c>
      <c r="F103" s="188">
        <f t="shared" si="39"/>
        <v>3.18</v>
      </c>
      <c r="G103" s="118">
        <v>20</v>
      </c>
      <c r="H103" s="59" t="str">
        <f t="shared" si="49"/>
        <v>Glass</v>
      </c>
      <c r="I103" s="59">
        <f t="shared" si="50"/>
        <v>13.2</v>
      </c>
      <c r="J103" s="84">
        <v>8</v>
      </c>
      <c r="K103" s="132" t="s">
        <v>672</v>
      </c>
      <c r="L103" s="107" t="str">
        <f t="shared" si="51"/>
        <v>Light Blue Dye</v>
      </c>
      <c r="M103" s="107">
        <f t="shared" si="52"/>
        <v>21.599999999999998</v>
      </c>
      <c r="N103" s="84">
        <v>1</v>
      </c>
      <c r="O103" s="132" t="s">
        <v>926</v>
      </c>
      <c r="P103" s="59" t="str">
        <f t="shared" si="53"/>
        <v>ninguno</v>
      </c>
      <c r="Q103" s="59">
        <f t="shared" si="54"/>
        <v>0</v>
      </c>
      <c r="R103" s="84"/>
      <c r="S103" s="132" t="s">
        <v>926</v>
      </c>
      <c r="T103" s="107" t="str">
        <f t="shared" si="55"/>
        <v>ninguno</v>
      </c>
      <c r="U103" s="107">
        <f t="shared" si="56"/>
        <v>0</v>
      </c>
      <c r="V103" s="84"/>
    </row>
    <row r="104" spans="1:22" s="108" customFormat="1" ht="14.25" customHeight="1" x14ac:dyDescent="0.25">
      <c r="A104" s="119" t="s">
        <v>353</v>
      </c>
      <c r="B104" s="68" t="s">
        <v>352</v>
      </c>
      <c r="C104" s="99">
        <v>8</v>
      </c>
      <c r="D104" s="67"/>
      <c r="E104" s="61">
        <f t="shared" si="57"/>
        <v>17.189999999999998</v>
      </c>
      <c r="F104" s="188">
        <f t="shared" si="39"/>
        <v>2.8699999999999997</v>
      </c>
      <c r="G104" s="118">
        <v>20</v>
      </c>
      <c r="H104" s="59" t="str">
        <f t="shared" si="49"/>
        <v>Glass</v>
      </c>
      <c r="I104" s="59">
        <f t="shared" si="50"/>
        <v>13.2</v>
      </c>
      <c r="J104" s="84">
        <v>8</v>
      </c>
      <c r="K104" s="132" t="s">
        <v>670</v>
      </c>
      <c r="L104" s="107" t="str">
        <f t="shared" si="51"/>
        <v>Yellow Dye</v>
      </c>
      <c r="M104" s="107">
        <f t="shared" si="52"/>
        <v>9</v>
      </c>
      <c r="N104" s="84">
        <v>1</v>
      </c>
      <c r="O104" s="132" t="s">
        <v>926</v>
      </c>
      <c r="P104" s="59" t="str">
        <f t="shared" si="53"/>
        <v>ninguno</v>
      </c>
      <c r="Q104" s="59">
        <f t="shared" si="54"/>
        <v>0</v>
      </c>
      <c r="R104" s="84"/>
      <c r="S104" s="132" t="s">
        <v>926</v>
      </c>
      <c r="T104" s="107" t="str">
        <f t="shared" si="55"/>
        <v>ninguno</v>
      </c>
      <c r="U104" s="107">
        <f t="shared" si="56"/>
        <v>0</v>
      </c>
      <c r="V104" s="84"/>
    </row>
    <row r="105" spans="1:22" s="108" customFormat="1" ht="14.25" customHeight="1" x14ac:dyDescent="0.25">
      <c r="A105" s="119" t="s">
        <v>355</v>
      </c>
      <c r="B105" s="68" t="s">
        <v>354</v>
      </c>
      <c r="C105" s="99">
        <v>8</v>
      </c>
      <c r="D105" s="67"/>
      <c r="E105" s="61">
        <f t="shared" si="57"/>
        <v>20.7</v>
      </c>
      <c r="F105" s="188">
        <f t="shared" si="39"/>
        <v>3.45</v>
      </c>
      <c r="G105" s="118">
        <v>20</v>
      </c>
      <c r="H105" s="59" t="str">
        <f t="shared" si="49"/>
        <v>Glass</v>
      </c>
      <c r="I105" s="59">
        <f t="shared" si="50"/>
        <v>13.2</v>
      </c>
      <c r="J105" s="84">
        <v>8</v>
      </c>
      <c r="K105" s="132" t="s">
        <v>668</v>
      </c>
      <c r="L105" s="107" t="str">
        <f t="shared" si="51"/>
        <v>Lime Dye</v>
      </c>
      <c r="M105" s="107">
        <f t="shared" si="52"/>
        <v>32.4</v>
      </c>
      <c r="N105" s="84">
        <v>1</v>
      </c>
      <c r="O105" s="132" t="s">
        <v>926</v>
      </c>
      <c r="P105" s="59" t="str">
        <f t="shared" si="53"/>
        <v>ninguno</v>
      </c>
      <c r="Q105" s="59">
        <f t="shared" si="54"/>
        <v>0</v>
      </c>
      <c r="R105" s="84"/>
      <c r="S105" s="132" t="s">
        <v>926</v>
      </c>
      <c r="T105" s="107" t="str">
        <f t="shared" si="55"/>
        <v>ninguno</v>
      </c>
      <c r="U105" s="107">
        <f t="shared" si="56"/>
        <v>0</v>
      </c>
      <c r="V105" s="84"/>
    </row>
    <row r="106" spans="1:22" s="108" customFormat="1" ht="14.25" customHeight="1" x14ac:dyDescent="0.25">
      <c r="A106" s="119" t="s">
        <v>357</v>
      </c>
      <c r="B106" s="68" t="s">
        <v>356</v>
      </c>
      <c r="C106" s="99">
        <v>8</v>
      </c>
      <c r="D106" s="67"/>
      <c r="E106" s="61">
        <f t="shared" si="57"/>
        <v>19.079999999999998</v>
      </c>
      <c r="F106" s="188">
        <f t="shared" si="39"/>
        <v>3.18</v>
      </c>
      <c r="G106" s="118">
        <v>20</v>
      </c>
      <c r="H106" s="59" t="str">
        <f t="shared" si="49"/>
        <v>Glass</v>
      </c>
      <c r="I106" s="59">
        <f t="shared" si="50"/>
        <v>13.2</v>
      </c>
      <c r="J106" s="84">
        <v>8</v>
      </c>
      <c r="K106" s="132" t="s">
        <v>666</v>
      </c>
      <c r="L106" s="107" t="str">
        <f t="shared" si="51"/>
        <v>Pink Dye</v>
      </c>
      <c r="M106" s="107">
        <f t="shared" si="52"/>
        <v>21.599999999999998</v>
      </c>
      <c r="N106" s="84">
        <v>1</v>
      </c>
      <c r="O106" s="132" t="s">
        <v>926</v>
      </c>
      <c r="P106" s="59" t="str">
        <f t="shared" si="53"/>
        <v>ninguno</v>
      </c>
      <c r="Q106" s="59">
        <f t="shared" si="54"/>
        <v>0</v>
      </c>
      <c r="R106" s="84"/>
      <c r="S106" s="132" t="s">
        <v>926</v>
      </c>
      <c r="T106" s="107" t="str">
        <f t="shared" si="55"/>
        <v>ninguno</v>
      </c>
      <c r="U106" s="107">
        <f t="shared" si="56"/>
        <v>0</v>
      </c>
      <c r="V106" s="84"/>
    </row>
    <row r="107" spans="1:22" s="108" customFormat="1" ht="14.25" customHeight="1" x14ac:dyDescent="0.25">
      <c r="A107" s="119" t="s">
        <v>359</v>
      </c>
      <c r="B107" s="68" t="s">
        <v>358</v>
      </c>
      <c r="C107" s="99">
        <v>8</v>
      </c>
      <c r="D107" s="67"/>
      <c r="E107" s="61">
        <f t="shared" si="57"/>
        <v>19.079999999999998</v>
      </c>
      <c r="F107" s="188">
        <f t="shared" si="39"/>
        <v>3.18</v>
      </c>
      <c r="G107" s="118">
        <v>20</v>
      </c>
      <c r="H107" s="59" t="str">
        <f t="shared" si="49"/>
        <v>Glass</v>
      </c>
      <c r="I107" s="59">
        <f t="shared" si="50"/>
        <v>13.2</v>
      </c>
      <c r="J107" s="84">
        <v>8</v>
      </c>
      <c r="K107" s="132" t="s">
        <v>664</v>
      </c>
      <c r="L107" s="107" t="str">
        <f t="shared" si="51"/>
        <v>Gray Dye</v>
      </c>
      <c r="M107" s="107">
        <f t="shared" si="52"/>
        <v>21.599999999999998</v>
      </c>
      <c r="N107" s="84">
        <v>1</v>
      </c>
      <c r="O107" s="132" t="s">
        <v>926</v>
      </c>
      <c r="P107" s="59" t="str">
        <f t="shared" si="53"/>
        <v>ninguno</v>
      </c>
      <c r="Q107" s="59">
        <f t="shared" si="54"/>
        <v>0</v>
      </c>
      <c r="R107" s="84"/>
      <c r="S107" s="132" t="s">
        <v>926</v>
      </c>
      <c r="T107" s="107" t="str">
        <f t="shared" si="55"/>
        <v>ninguno</v>
      </c>
      <c r="U107" s="107">
        <f t="shared" si="56"/>
        <v>0</v>
      </c>
      <c r="V107" s="84"/>
    </row>
    <row r="108" spans="1:22" s="108" customFormat="1" ht="14.25" customHeight="1" x14ac:dyDescent="0.25">
      <c r="A108" s="119" t="s">
        <v>361</v>
      </c>
      <c r="B108" s="68" t="s">
        <v>360</v>
      </c>
      <c r="C108" s="99">
        <v>8</v>
      </c>
      <c r="D108" s="67"/>
      <c r="E108" s="61">
        <f t="shared" si="57"/>
        <v>21.347999999999999</v>
      </c>
      <c r="F108" s="188">
        <f t="shared" si="39"/>
        <v>3.5599999999999996</v>
      </c>
      <c r="G108" s="118">
        <v>20</v>
      </c>
      <c r="H108" s="59" t="str">
        <f t="shared" si="49"/>
        <v>Glass</v>
      </c>
      <c r="I108" s="59">
        <f t="shared" si="50"/>
        <v>13.2</v>
      </c>
      <c r="J108" s="84">
        <v>8</v>
      </c>
      <c r="K108" s="132" t="s">
        <v>662</v>
      </c>
      <c r="L108" s="107" t="str">
        <f t="shared" si="51"/>
        <v>Light Gray Dye</v>
      </c>
      <c r="M108" s="107">
        <f t="shared" si="52"/>
        <v>36.72</v>
      </c>
      <c r="N108" s="84">
        <v>1</v>
      </c>
      <c r="O108" s="132" t="s">
        <v>926</v>
      </c>
      <c r="P108" s="59" t="str">
        <f t="shared" si="53"/>
        <v>ninguno</v>
      </c>
      <c r="Q108" s="59">
        <f t="shared" si="54"/>
        <v>0</v>
      </c>
      <c r="R108" s="84"/>
      <c r="S108" s="132" t="s">
        <v>926</v>
      </c>
      <c r="T108" s="107" t="str">
        <f t="shared" si="55"/>
        <v>ninguno</v>
      </c>
      <c r="U108" s="107">
        <f t="shared" si="56"/>
        <v>0</v>
      </c>
      <c r="V108" s="84"/>
    </row>
    <row r="109" spans="1:22" s="108" customFormat="1" ht="14.25" customHeight="1" x14ac:dyDescent="0.25">
      <c r="A109" s="119" t="s">
        <v>363</v>
      </c>
      <c r="B109" s="68" t="s">
        <v>362</v>
      </c>
      <c r="C109" s="99">
        <v>8</v>
      </c>
      <c r="D109" s="67"/>
      <c r="E109" s="61">
        <f t="shared" si="57"/>
        <v>19.079999999999998</v>
      </c>
      <c r="F109" s="188">
        <f t="shared" si="39"/>
        <v>3.18</v>
      </c>
      <c r="G109" s="118">
        <v>20</v>
      </c>
      <c r="H109" s="59" t="str">
        <f t="shared" si="49"/>
        <v>Glass</v>
      </c>
      <c r="I109" s="59">
        <f t="shared" si="50"/>
        <v>13.2</v>
      </c>
      <c r="J109" s="84">
        <v>8</v>
      </c>
      <c r="K109" s="132" t="s">
        <v>660</v>
      </c>
      <c r="L109" s="107" t="str">
        <f t="shared" si="51"/>
        <v>Cyan Dye</v>
      </c>
      <c r="M109" s="107">
        <f t="shared" si="52"/>
        <v>21.599999999999998</v>
      </c>
      <c r="N109" s="84">
        <v>1</v>
      </c>
      <c r="O109" s="132" t="s">
        <v>926</v>
      </c>
      <c r="P109" s="59" t="str">
        <f t="shared" si="53"/>
        <v>ninguno</v>
      </c>
      <c r="Q109" s="59">
        <f t="shared" si="54"/>
        <v>0</v>
      </c>
      <c r="R109" s="84"/>
      <c r="S109" s="132" t="s">
        <v>926</v>
      </c>
      <c r="T109" s="107" t="str">
        <f t="shared" si="55"/>
        <v>ninguno</v>
      </c>
      <c r="U109" s="107">
        <f t="shared" si="56"/>
        <v>0</v>
      </c>
      <c r="V109" s="84"/>
    </row>
    <row r="110" spans="1:22" s="108" customFormat="1" ht="14.25" customHeight="1" x14ac:dyDescent="0.25">
      <c r="A110" s="119" t="s">
        <v>365</v>
      </c>
      <c r="B110" s="68" t="s">
        <v>364</v>
      </c>
      <c r="C110" s="99">
        <v>8</v>
      </c>
      <c r="D110" s="67"/>
      <c r="E110" s="61">
        <f t="shared" si="57"/>
        <v>19.079999999999998</v>
      </c>
      <c r="F110" s="188">
        <f t="shared" si="39"/>
        <v>3.18</v>
      </c>
      <c r="G110" s="118">
        <v>20</v>
      </c>
      <c r="H110" s="59" t="str">
        <f t="shared" si="49"/>
        <v>Glass</v>
      </c>
      <c r="I110" s="59">
        <f t="shared" si="50"/>
        <v>13.2</v>
      </c>
      <c r="J110" s="84">
        <v>8</v>
      </c>
      <c r="K110" s="132" t="s">
        <v>658</v>
      </c>
      <c r="L110" s="107" t="str">
        <f t="shared" si="51"/>
        <v>Purple Dye</v>
      </c>
      <c r="M110" s="107">
        <f t="shared" si="52"/>
        <v>21.599999999999998</v>
      </c>
      <c r="N110" s="84">
        <v>1</v>
      </c>
      <c r="O110" s="132" t="s">
        <v>926</v>
      </c>
      <c r="P110" s="59" t="str">
        <f t="shared" si="53"/>
        <v>ninguno</v>
      </c>
      <c r="Q110" s="59">
        <f t="shared" si="54"/>
        <v>0</v>
      </c>
      <c r="R110" s="84"/>
      <c r="S110" s="132" t="s">
        <v>926</v>
      </c>
      <c r="T110" s="107" t="str">
        <f t="shared" si="55"/>
        <v>ninguno</v>
      </c>
      <c r="U110" s="107">
        <f t="shared" si="56"/>
        <v>0</v>
      </c>
      <c r="V110" s="84"/>
    </row>
    <row r="111" spans="1:22" s="108" customFormat="1" ht="14.25" customHeight="1" x14ac:dyDescent="0.25">
      <c r="A111" s="119" t="s">
        <v>367</v>
      </c>
      <c r="B111" s="68" t="s">
        <v>366</v>
      </c>
      <c r="C111" s="99">
        <v>8</v>
      </c>
      <c r="D111" s="67"/>
      <c r="E111" s="61">
        <f t="shared" si="57"/>
        <v>17.189999999999998</v>
      </c>
      <c r="F111" s="188">
        <f t="shared" si="39"/>
        <v>2.8699999999999997</v>
      </c>
      <c r="G111" s="118">
        <v>20</v>
      </c>
      <c r="H111" s="59" t="str">
        <f t="shared" si="49"/>
        <v>Glass</v>
      </c>
      <c r="I111" s="59">
        <f t="shared" si="50"/>
        <v>13.2</v>
      </c>
      <c r="J111" s="84">
        <v>8</v>
      </c>
      <c r="K111" s="132" t="s">
        <v>656</v>
      </c>
      <c r="L111" s="107" t="str">
        <f t="shared" si="51"/>
        <v>Lapis Lazuli</v>
      </c>
      <c r="M111" s="107">
        <f t="shared" si="52"/>
        <v>9</v>
      </c>
      <c r="N111" s="84">
        <v>1</v>
      </c>
      <c r="O111" s="132" t="s">
        <v>926</v>
      </c>
      <c r="P111" s="59" t="str">
        <f t="shared" si="53"/>
        <v>ninguno</v>
      </c>
      <c r="Q111" s="59">
        <f t="shared" si="54"/>
        <v>0</v>
      </c>
      <c r="R111" s="84"/>
      <c r="S111" s="132" t="s">
        <v>926</v>
      </c>
      <c r="T111" s="107" t="str">
        <f t="shared" si="55"/>
        <v>ninguno</v>
      </c>
      <c r="U111" s="107">
        <f t="shared" si="56"/>
        <v>0</v>
      </c>
      <c r="V111" s="84"/>
    </row>
    <row r="112" spans="1:22" s="108" customFormat="1" ht="14.25" customHeight="1" x14ac:dyDescent="0.25">
      <c r="A112" s="119" t="s">
        <v>369</v>
      </c>
      <c r="B112" s="68" t="s">
        <v>368</v>
      </c>
      <c r="C112" s="99">
        <v>8</v>
      </c>
      <c r="D112" s="67"/>
      <c r="E112" s="61">
        <f t="shared" si="57"/>
        <v>17.189999999999998</v>
      </c>
      <c r="F112" s="188">
        <f t="shared" si="39"/>
        <v>2.8699999999999997</v>
      </c>
      <c r="G112" s="118">
        <v>20</v>
      </c>
      <c r="H112" s="59" t="str">
        <f t="shared" si="49"/>
        <v>Glass</v>
      </c>
      <c r="I112" s="59">
        <f t="shared" si="50"/>
        <v>13.2</v>
      </c>
      <c r="J112" s="84">
        <v>8</v>
      </c>
      <c r="K112" s="132" t="s">
        <v>654</v>
      </c>
      <c r="L112" s="107" t="str">
        <f t="shared" si="51"/>
        <v>Cocoa Bean</v>
      </c>
      <c r="M112" s="107">
        <f t="shared" si="52"/>
        <v>9</v>
      </c>
      <c r="N112" s="84">
        <v>1</v>
      </c>
      <c r="O112" s="132" t="s">
        <v>926</v>
      </c>
      <c r="P112" s="59" t="str">
        <f t="shared" si="53"/>
        <v>ninguno</v>
      </c>
      <c r="Q112" s="59">
        <f t="shared" si="54"/>
        <v>0</v>
      </c>
      <c r="R112" s="84"/>
      <c r="S112" s="132" t="s">
        <v>926</v>
      </c>
      <c r="T112" s="107" t="str">
        <f t="shared" si="55"/>
        <v>ninguno</v>
      </c>
      <c r="U112" s="107">
        <f t="shared" si="56"/>
        <v>0</v>
      </c>
      <c r="V112" s="84"/>
    </row>
    <row r="113" spans="1:22" s="108" customFormat="1" ht="14.25" customHeight="1" x14ac:dyDescent="0.25">
      <c r="A113" s="119" t="s">
        <v>371</v>
      </c>
      <c r="B113" s="68" t="s">
        <v>370</v>
      </c>
      <c r="C113" s="99">
        <v>8</v>
      </c>
      <c r="D113" s="67"/>
      <c r="E113" s="61">
        <f t="shared" si="57"/>
        <v>17.189999999999998</v>
      </c>
      <c r="F113" s="188">
        <f t="shared" si="39"/>
        <v>2.8699999999999997</v>
      </c>
      <c r="G113" s="118">
        <v>20</v>
      </c>
      <c r="H113" s="59" t="str">
        <f t="shared" si="49"/>
        <v>Glass</v>
      </c>
      <c r="I113" s="59">
        <f t="shared" si="50"/>
        <v>13.2</v>
      </c>
      <c r="J113" s="84">
        <v>8</v>
      </c>
      <c r="K113" s="132" t="s">
        <v>652</v>
      </c>
      <c r="L113" s="107" t="str">
        <f t="shared" si="51"/>
        <v>Cactus Green Dye</v>
      </c>
      <c r="M113" s="107">
        <f t="shared" si="52"/>
        <v>9</v>
      </c>
      <c r="N113" s="84">
        <v>1</v>
      </c>
      <c r="O113" s="132" t="s">
        <v>926</v>
      </c>
      <c r="P113" s="59" t="str">
        <f t="shared" si="53"/>
        <v>ninguno</v>
      </c>
      <c r="Q113" s="59">
        <f t="shared" si="54"/>
        <v>0</v>
      </c>
      <c r="R113" s="84"/>
      <c r="S113" s="132" t="s">
        <v>926</v>
      </c>
      <c r="T113" s="107" t="str">
        <f t="shared" si="55"/>
        <v>ninguno</v>
      </c>
      <c r="U113" s="107">
        <f t="shared" si="56"/>
        <v>0</v>
      </c>
      <c r="V113" s="84"/>
    </row>
    <row r="114" spans="1:22" s="108" customFormat="1" ht="14.25" customHeight="1" x14ac:dyDescent="0.25">
      <c r="A114" s="119" t="s">
        <v>373</v>
      </c>
      <c r="B114" s="68" t="s">
        <v>372</v>
      </c>
      <c r="C114" s="99">
        <v>8</v>
      </c>
      <c r="D114" s="67"/>
      <c r="E114" s="61">
        <f t="shared" si="57"/>
        <v>17.189999999999998</v>
      </c>
      <c r="F114" s="188">
        <f t="shared" si="39"/>
        <v>2.8699999999999997</v>
      </c>
      <c r="G114" s="118">
        <v>20</v>
      </c>
      <c r="H114" s="59" t="str">
        <f t="shared" si="49"/>
        <v>Glass</v>
      </c>
      <c r="I114" s="59">
        <f t="shared" si="50"/>
        <v>13.2</v>
      </c>
      <c r="J114" s="84">
        <v>8</v>
      </c>
      <c r="K114" s="132" t="s">
        <v>650</v>
      </c>
      <c r="L114" s="107" t="str">
        <f t="shared" si="51"/>
        <v>Rose Red Dye</v>
      </c>
      <c r="M114" s="107">
        <f t="shared" si="52"/>
        <v>9</v>
      </c>
      <c r="N114" s="84">
        <v>1</v>
      </c>
      <c r="O114" s="132" t="s">
        <v>926</v>
      </c>
      <c r="P114" s="59" t="str">
        <f t="shared" si="53"/>
        <v>ninguno</v>
      </c>
      <c r="Q114" s="59">
        <f t="shared" si="54"/>
        <v>0</v>
      </c>
      <c r="R114" s="84"/>
      <c r="S114" s="132" t="s">
        <v>926</v>
      </c>
      <c r="T114" s="107" t="str">
        <f t="shared" si="55"/>
        <v>ninguno</v>
      </c>
      <c r="U114" s="107">
        <f t="shared" si="56"/>
        <v>0</v>
      </c>
      <c r="V114" s="84"/>
    </row>
    <row r="115" spans="1:22" s="108" customFormat="1" ht="14.25" customHeight="1" x14ac:dyDescent="0.25">
      <c r="A115" s="119" t="s">
        <v>375</v>
      </c>
      <c r="B115" s="68" t="s">
        <v>374</v>
      </c>
      <c r="C115" s="99">
        <v>8</v>
      </c>
      <c r="D115" s="67"/>
      <c r="E115" s="61">
        <f t="shared" si="57"/>
        <v>17.189999999999998</v>
      </c>
      <c r="F115" s="188">
        <f t="shared" si="39"/>
        <v>2.8699999999999997</v>
      </c>
      <c r="G115" s="118">
        <v>20</v>
      </c>
      <c r="H115" s="59" t="str">
        <f t="shared" si="49"/>
        <v>Glass</v>
      </c>
      <c r="I115" s="59">
        <f t="shared" si="50"/>
        <v>13.2</v>
      </c>
      <c r="J115" s="84">
        <v>8</v>
      </c>
      <c r="K115" s="132">
        <v>351</v>
      </c>
      <c r="L115" s="107" t="str">
        <f t="shared" si="51"/>
        <v>Ink Sack</v>
      </c>
      <c r="M115" s="107">
        <f t="shared" si="52"/>
        <v>9</v>
      </c>
      <c r="N115" s="84">
        <v>1</v>
      </c>
      <c r="O115" s="132" t="s">
        <v>926</v>
      </c>
      <c r="P115" s="59" t="str">
        <f t="shared" si="53"/>
        <v>ninguno</v>
      </c>
      <c r="Q115" s="59">
        <f t="shared" si="54"/>
        <v>0</v>
      </c>
      <c r="R115" s="84"/>
      <c r="S115" s="132" t="s">
        <v>926</v>
      </c>
      <c r="T115" s="107" t="str">
        <f t="shared" si="55"/>
        <v>ninguno</v>
      </c>
      <c r="U115" s="107">
        <f t="shared" si="56"/>
        <v>0</v>
      </c>
      <c r="V115" s="84"/>
    </row>
    <row r="116" spans="1:22" s="108" customFormat="1" ht="14.25" customHeight="1" x14ac:dyDescent="0.25">
      <c r="A116" s="119">
        <v>96</v>
      </c>
      <c r="B116" s="68" t="s">
        <v>376</v>
      </c>
      <c r="C116" s="99">
        <v>2</v>
      </c>
      <c r="D116" s="67"/>
      <c r="E116" s="61">
        <f t="shared" si="57"/>
        <v>4.3199999999999994</v>
      </c>
      <c r="F116" s="188">
        <f t="shared" si="39"/>
        <v>0.72</v>
      </c>
      <c r="G116" s="118">
        <v>5</v>
      </c>
      <c r="H116" s="59" t="str">
        <f t="shared" si="49"/>
        <v>Oak Planks</v>
      </c>
      <c r="I116" s="59">
        <f t="shared" si="50"/>
        <v>1.2</v>
      </c>
      <c r="J116" s="84">
        <v>6</v>
      </c>
      <c r="K116" s="132" t="s">
        <v>926</v>
      </c>
      <c r="L116" s="107" t="str">
        <f t="shared" si="51"/>
        <v>ninguno</v>
      </c>
      <c r="M116" s="107">
        <f t="shared" si="52"/>
        <v>0</v>
      </c>
      <c r="N116" s="84"/>
      <c r="O116" s="132" t="s">
        <v>926</v>
      </c>
      <c r="P116" s="59" t="str">
        <f t="shared" si="53"/>
        <v>ninguno</v>
      </c>
      <c r="Q116" s="59">
        <f t="shared" si="54"/>
        <v>0</v>
      </c>
      <c r="R116" s="84"/>
      <c r="S116" s="132" t="s">
        <v>926</v>
      </c>
      <c r="T116" s="107" t="str">
        <f t="shared" si="55"/>
        <v>ninguno</v>
      </c>
      <c r="U116" s="107">
        <f t="shared" si="56"/>
        <v>0</v>
      </c>
      <c r="V116" s="84"/>
    </row>
    <row r="117" spans="1:22" s="108" customFormat="1" ht="14.25" customHeight="1" x14ac:dyDescent="0.25">
      <c r="A117" s="119">
        <v>98</v>
      </c>
      <c r="B117" s="68" t="s">
        <v>377</v>
      </c>
      <c r="C117" s="99">
        <v>4</v>
      </c>
      <c r="D117" s="67"/>
      <c r="E117" s="61">
        <f t="shared" si="57"/>
        <v>4.3199999999999994</v>
      </c>
      <c r="F117" s="188">
        <f t="shared" si="39"/>
        <v>0.72</v>
      </c>
      <c r="G117" s="118">
        <v>1</v>
      </c>
      <c r="H117" s="59" t="str">
        <f t="shared" si="49"/>
        <v>Stone</v>
      </c>
      <c r="I117" s="59">
        <f t="shared" si="50"/>
        <v>3.5999999999999996</v>
      </c>
      <c r="J117" s="84">
        <v>4</v>
      </c>
      <c r="K117" s="132" t="s">
        <v>926</v>
      </c>
      <c r="L117" s="107" t="str">
        <f t="shared" si="51"/>
        <v>ninguno</v>
      </c>
      <c r="M117" s="107">
        <f t="shared" si="52"/>
        <v>0</v>
      </c>
      <c r="N117" s="84"/>
      <c r="O117" s="132" t="s">
        <v>926</v>
      </c>
      <c r="P117" s="59" t="str">
        <f t="shared" si="53"/>
        <v>ninguno</v>
      </c>
      <c r="Q117" s="59">
        <f t="shared" si="54"/>
        <v>0</v>
      </c>
      <c r="R117" s="84"/>
      <c r="S117" s="132" t="s">
        <v>926</v>
      </c>
      <c r="T117" s="107" t="str">
        <f t="shared" si="55"/>
        <v>ninguno</v>
      </c>
      <c r="U117" s="107">
        <f t="shared" si="56"/>
        <v>0</v>
      </c>
      <c r="V117" s="84"/>
    </row>
    <row r="118" spans="1:22" s="256" customFormat="1" ht="14.25" customHeight="1" x14ac:dyDescent="0.25">
      <c r="A118" s="261" t="s">
        <v>1030</v>
      </c>
      <c r="B118" s="260" t="s">
        <v>1031</v>
      </c>
      <c r="C118" s="99">
        <v>1</v>
      </c>
      <c r="D118" s="67"/>
      <c r="E118" s="61">
        <f t="shared" ref="E118" si="58">(((I118*J118)+(M118*N118)+(Q118*R118)+(U118*V118))/C118)*1.2</f>
        <v>5.1839999999999993</v>
      </c>
      <c r="F118" s="188">
        <f t="shared" ref="F118" si="59">ROUNDUP(E118/6,2)</f>
        <v>0.87</v>
      </c>
      <c r="G118" s="118">
        <v>98</v>
      </c>
      <c r="H118" s="59" t="str">
        <f t="shared" ref="H118" si="60">VLOOKUP(G118,LISTAITEMS,2,FALSE)</f>
        <v>Stone Bricks</v>
      </c>
      <c r="I118" s="59">
        <f t="shared" ref="I118" si="61">VLOOKUP(G118,LISTAITEMS,5,FALSE)</f>
        <v>4.3199999999999994</v>
      </c>
      <c r="J118" s="84">
        <v>1</v>
      </c>
      <c r="K118" s="132" t="s">
        <v>926</v>
      </c>
      <c r="L118" s="254" t="str">
        <f t="shared" ref="L118" si="62">VLOOKUP(K118,LISTAITEMS,2,FALSE)</f>
        <v>ninguno</v>
      </c>
      <c r="M118" s="254">
        <f t="shared" ref="M118" si="63">VLOOKUP(K118,LISTAITEMS,5,FALSE)</f>
        <v>0</v>
      </c>
      <c r="N118" s="84"/>
      <c r="O118" s="132" t="s">
        <v>926</v>
      </c>
      <c r="P118" s="59" t="str">
        <f t="shared" ref="P118" si="64">VLOOKUP(O118,LISTAITEMS,2,FALSE)</f>
        <v>ninguno</v>
      </c>
      <c r="Q118" s="59">
        <f t="shared" ref="Q118" si="65">VLOOKUP(O118,LISTAITEMS,5,FALSE)</f>
        <v>0</v>
      </c>
      <c r="R118" s="84"/>
      <c r="S118" s="132" t="s">
        <v>926</v>
      </c>
      <c r="T118" s="254" t="str">
        <f t="shared" ref="T118" si="66">VLOOKUP(S118,LISTAITEMS,2,FALSE)</f>
        <v>ninguno</v>
      </c>
      <c r="U118" s="254">
        <f t="shared" ref="U118" si="67">VLOOKUP(S118,LISTAITEMS,5,FALSE)</f>
        <v>0</v>
      </c>
      <c r="V118" s="84"/>
    </row>
    <row r="119" spans="1:22" s="108" customFormat="1" ht="14.25" customHeight="1" x14ac:dyDescent="0.25">
      <c r="A119" s="119" t="s">
        <v>379</v>
      </c>
      <c r="B119" s="68" t="s">
        <v>378</v>
      </c>
      <c r="C119" s="99">
        <v>2</v>
      </c>
      <c r="D119" s="67"/>
      <c r="E119" s="61">
        <f t="shared" si="57"/>
        <v>3.1103999999999994</v>
      </c>
      <c r="F119" s="188">
        <f t="shared" si="39"/>
        <v>0.52</v>
      </c>
      <c r="G119" s="118" t="s">
        <v>316</v>
      </c>
      <c r="H119" s="59" t="str">
        <f t="shared" si="49"/>
        <v>Stone Brick slab</v>
      </c>
      <c r="I119" s="59">
        <f t="shared" si="50"/>
        <v>2.5919999999999996</v>
      </c>
      <c r="J119" s="84">
        <v>2</v>
      </c>
      <c r="K119" s="132" t="s">
        <v>926</v>
      </c>
      <c r="L119" s="107" t="str">
        <f t="shared" si="51"/>
        <v>ninguno</v>
      </c>
      <c r="M119" s="107">
        <f t="shared" si="52"/>
        <v>0</v>
      </c>
      <c r="N119" s="84"/>
      <c r="O119" s="132" t="s">
        <v>926</v>
      </c>
      <c r="P119" s="59" t="str">
        <f t="shared" si="53"/>
        <v>ninguno</v>
      </c>
      <c r="Q119" s="59">
        <f t="shared" si="54"/>
        <v>0</v>
      </c>
      <c r="R119" s="84"/>
      <c r="S119" s="132" t="s">
        <v>926</v>
      </c>
      <c r="T119" s="107" t="str">
        <f t="shared" si="55"/>
        <v>ninguno</v>
      </c>
      <c r="U119" s="107">
        <f t="shared" si="56"/>
        <v>0</v>
      </c>
      <c r="V119" s="84"/>
    </row>
    <row r="120" spans="1:22" s="108" customFormat="1" ht="14.25" customHeight="1" x14ac:dyDescent="0.25">
      <c r="A120" s="119">
        <v>101</v>
      </c>
      <c r="B120" s="68" t="s">
        <v>380</v>
      </c>
      <c r="C120" s="99">
        <v>16</v>
      </c>
      <c r="D120" s="67"/>
      <c r="E120" s="61">
        <f t="shared" si="57"/>
        <v>360</v>
      </c>
      <c r="F120" s="188">
        <f t="shared" si="39"/>
        <v>60</v>
      </c>
      <c r="G120" s="118">
        <v>265</v>
      </c>
      <c r="H120" s="59" t="str">
        <f t="shared" si="49"/>
        <v>Iron Ingot</v>
      </c>
      <c r="I120" s="59">
        <f t="shared" si="50"/>
        <v>800</v>
      </c>
      <c r="J120" s="84">
        <v>6</v>
      </c>
      <c r="K120" s="132" t="s">
        <v>926</v>
      </c>
      <c r="L120" s="107" t="str">
        <f t="shared" si="51"/>
        <v>ninguno</v>
      </c>
      <c r="M120" s="107">
        <f t="shared" si="52"/>
        <v>0</v>
      </c>
      <c r="N120" s="84"/>
      <c r="O120" s="132" t="s">
        <v>926</v>
      </c>
      <c r="P120" s="59" t="str">
        <f t="shared" si="53"/>
        <v>ninguno</v>
      </c>
      <c r="Q120" s="59">
        <f t="shared" si="54"/>
        <v>0</v>
      </c>
      <c r="R120" s="84"/>
      <c r="S120" s="132" t="s">
        <v>926</v>
      </c>
      <c r="T120" s="107" t="str">
        <f t="shared" si="55"/>
        <v>ninguno</v>
      </c>
      <c r="U120" s="107">
        <f t="shared" si="56"/>
        <v>0</v>
      </c>
      <c r="V120" s="84"/>
    </row>
    <row r="121" spans="1:22" s="108" customFormat="1" ht="14.25" customHeight="1" x14ac:dyDescent="0.25">
      <c r="A121" s="119">
        <v>102</v>
      </c>
      <c r="B121" s="68" t="s">
        <v>381</v>
      </c>
      <c r="C121" s="99">
        <v>16</v>
      </c>
      <c r="D121" s="67"/>
      <c r="E121" s="61">
        <f t="shared" si="57"/>
        <v>5.9399999999999986</v>
      </c>
      <c r="F121" s="188">
        <f t="shared" si="39"/>
        <v>0.99</v>
      </c>
      <c r="G121" s="118">
        <v>20</v>
      </c>
      <c r="H121" s="59" t="str">
        <f t="shared" si="49"/>
        <v>Glass</v>
      </c>
      <c r="I121" s="59">
        <f t="shared" si="50"/>
        <v>13.2</v>
      </c>
      <c r="J121" s="84">
        <v>6</v>
      </c>
      <c r="K121" s="132" t="s">
        <v>926</v>
      </c>
      <c r="L121" s="107" t="str">
        <f t="shared" si="51"/>
        <v>ninguno</v>
      </c>
      <c r="M121" s="107">
        <f t="shared" si="52"/>
        <v>0</v>
      </c>
      <c r="N121" s="84"/>
      <c r="O121" s="132" t="s">
        <v>926</v>
      </c>
      <c r="P121" s="59" t="str">
        <f t="shared" si="53"/>
        <v>ninguno</v>
      </c>
      <c r="Q121" s="59">
        <f t="shared" si="54"/>
        <v>0</v>
      </c>
      <c r="R121" s="84"/>
      <c r="S121" s="132" t="s">
        <v>926</v>
      </c>
      <c r="T121" s="107" t="str">
        <f t="shared" si="55"/>
        <v>ninguno</v>
      </c>
      <c r="U121" s="107">
        <f t="shared" si="56"/>
        <v>0</v>
      </c>
      <c r="V121" s="84"/>
    </row>
    <row r="122" spans="1:22" s="88" customFormat="1" ht="14.25" customHeight="1" x14ac:dyDescent="0.25">
      <c r="A122" s="115">
        <v>103</v>
      </c>
      <c r="B122" s="89" t="s">
        <v>382</v>
      </c>
      <c r="C122" s="100"/>
      <c r="D122" s="85"/>
      <c r="E122" s="85">
        <f>'ECONOMIA &amp; PROFESIONES'!$I$28</f>
        <v>257</v>
      </c>
      <c r="F122" s="188">
        <f t="shared" si="39"/>
        <v>42.839999999999996</v>
      </c>
      <c r="G122" s="118" t="s">
        <v>926</v>
      </c>
      <c r="H122" s="85"/>
      <c r="I122" s="85"/>
      <c r="J122" s="87"/>
      <c r="K122" s="87"/>
      <c r="L122" s="85"/>
      <c r="M122" s="85"/>
      <c r="N122" s="87"/>
      <c r="O122" s="87"/>
      <c r="P122" s="85"/>
      <c r="Q122" s="85"/>
      <c r="R122" s="87"/>
      <c r="S122" s="87"/>
      <c r="T122" s="85"/>
      <c r="U122" s="85"/>
      <c r="V122" s="87"/>
    </row>
    <row r="123" spans="1:22" s="108" customFormat="1" ht="14.25" customHeight="1" x14ac:dyDescent="0.25">
      <c r="A123" s="119">
        <v>107</v>
      </c>
      <c r="B123" s="68" t="s">
        <v>383</v>
      </c>
      <c r="C123" s="99">
        <v>1</v>
      </c>
      <c r="D123" s="67"/>
      <c r="E123" s="61">
        <f>(((I123*J123)+(M123*N123)+(Q123*R123)+(U123*V123))/C123)*1.2</f>
        <v>4.6079999999999997</v>
      </c>
      <c r="F123" s="188">
        <f t="shared" si="39"/>
        <v>0.77</v>
      </c>
      <c r="G123" s="118">
        <v>5</v>
      </c>
      <c r="H123" s="59" t="str">
        <f t="shared" ref="H123:H130" si="68">VLOOKUP(G123,LISTAITEMS,2,FALSE)</f>
        <v>Oak Planks</v>
      </c>
      <c r="I123" s="59">
        <f t="shared" ref="I123:I130" si="69">VLOOKUP(G123,LISTAITEMS,5,FALSE)</f>
        <v>1.2</v>
      </c>
      <c r="J123" s="84">
        <v>2</v>
      </c>
      <c r="K123" s="132">
        <v>280</v>
      </c>
      <c r="L123" s="107" t="str">
        <f t="shared" ref="L123:L130" si="70">VLOOKUP(K123,LISTAITEMS,2,FALSE)</f>
        <v>Stick</v>
      </c>
      <c r="M123" s="107">
        <f t="shared" ref="M123:M130" si="71">VLOOKUP(K123,LISTAITEMS,5,FALSE)</f>
        <v>0.36</v>
      </c>
      <c r="N123" s="84">
        <v>4</v>
      </c>
      <c r="O123" s="132" t="s">
        <v>926</v>
      </c>
      <c r="P123" s="59" t="str">
        <f t="shared" ref="P123:P130" si="72">VLOOKUP(O123,LISTAITEMS,2,FALSE)</f>
        <v>ninguno</v>
      </c>
      <c r="Q123" s="59">
        <f t="shared" ref="Q123:Q130" si="73">VLOOKUP(O123,LISTAITEMS,5,FALSE)</f>
        <v>0</v>
      </c>
      <c r="R123" s="84"/>
      <c r="S123" s="132" t="s">
        <v>926</v>
      </c>
      <c r="T123" s="107" t="str">
        <f t="shared" ref="T123:T130" si="74">VLOOKUP(S123,LISTAITEMS,2,FALSE)</f>
        <v>ninguno</v>
      </c>
      <c r="U123" s="107">
        <f t="shared" ref="U123:U130" si="75">VLOOKUP(S123,LISTAITEMS,5,FALSE)</f>
        <v>0</v>
      </c>
      <c r="V123" s="84"/>
    </row>
    <row r="124" spans="1:22" s="108" customFormat="1" ht="14.25" customHeight="1" x14ac:dyDescent="0.25">
      <c r="A124" s="119">
        <v>108</v>
      </c>
      <c r="B124" s="68" t="s">
        <v>384</v>
      </c>
      <c r="C124" s="99">
        <v>4</v>
      </c>
      <c r="D124" s="67"/>
      <c r="E124" s="61">
        <f>(((I124*J124)+(M124*N124)+(Q124*R124)+(U124*V124))/C124)*1.2</f>
        <v>155.51999999999998</v>
      </c>
      <c r="F124" s="188">
        <f t="shared" si="39"/>
        <v>25.92</v>
      </c>
      <c r="G124" s="118">
        <v>45</v>
      </c>
      <c r="H124" s="59" t="str">
        <f t="shared" si="68"/>
        <v>Brick</v>
      </c>
      <c r="I124" s="59">
        <f t="shared" si="69"/>
        <v>86.399999999999991</v>
      </c>
      <c r="J124" s="84">
        <v>6</v>
      </c>
      <c r="K124" s="132" t="s">
        <v>926</v>
      </c>
      <c r="L124" s="107" t="str">
        <f t="shared" si="70"/>
        <v>ninguno</v>
      </c>
      <c r="M124" s="107">
        <f t="shared" si="71"/>
        <v>0</v>
      </c>
      <c r="N124" s="84"/>
      <c r="O124" s="132" t="s">
        <v>926</v>
      </c>
      <c r="P124" s="59" t="str">
        <f t="shared" si="72"/>
        <v>ninguno</v>
      </c>
      <c r="Q124" s="59">
        <f t="shared" si="73"/>
        <v>0</v>
      </c>
      <c r="R124" s="84"/>
      <c r="S124" s="132" t="s">
        <v>926</v>
      </c>
      <c r="T124" s="107" t="str">
        <f t="shared" si="74"/>
        <v>ninguno</v>
      </c>
      <c r="U124" s="107">
        <f t="shared" si="75"/>
        <v>0</v>
      </c>
      <c r="V124" s="84"/>
    </row>
    <row r="125" spans="1:22" s="108" customFormat="1" ht="14.25" customHeight="1" x14ac:dyDescent="0.25">
      <c r="A125" s="119">
        <v>109</v>
      </c>
      <c r="B125" s="68" t="s">
        <v>385</v>
      </c>
      <c r="C125" s="99">
        <v>4</v>
      </c>
      <c r="D125" s="67"/>
      <c r="E125" s="61">
        <f>(((I125*J125)+(M125*N125)+(Q125*R125)+(U125*V125))/C125)*1.2</f>
        <v>7.775999999999998</v>
      </c>
      <c r="F125" s="188">
        <f t="shared" si="39"/>
        <v>1.3</v>
      </c>
      <c r="G125" s="118">
        <v>98</v>
      </c>
      <c r="H125" s="59" t="str">
        <f t="shared" si="68"/>
        <v>Stone Bricks</v>
      </c>
      <c r="I125" s="59">
        <f t="shared" si="69"/>
        <v>4.3199999999999994</v>
      </c>
      <c r="J125" s="84">
        <v>6</v>
      </c>
      <c r="K125" s="132" t="s">
        <v>926</v>
      </c>
      <c r="L125" s="107" t="str">
        <f t="shared" si="70"/>
        <v>ninguno</v>
      </c>
      <c r="M125" s="107">
        <f t="shared" si="71"/>
        <v>0</v>
      </c>
      <c r="N125" s="84"/>
      <c r="O125" s="132" t="s">
        <v>926</v>
      </c>
      <c r="P125" s="59" t="str">
        <f t="shared" si="72"/>
        <v>ninguno</v>
      </c>
      <c r="Q125" s="59">
        <f t="shared" si="73"/>
        <v>0</v>
      </c>
      <c r="R125" s="84"/>
      <c r="S125" s="132" t="s">
        <v>926</v>
      </c>
      <c r="T125" s="107" t="str">
        <f t="shared" si="74"/>
        <v>ninguno</v>
      </c>
      <c r="U125" s="107">
        <f t="shared" si="75"/>
        <v>0</v>
      </c>
      <c r="V125" s="84"/>
    </row>
    <row r="126" spans="1:22" s="114" customFormat="1" ht="14.25" customHeight="1" x14ac:dyDescent="0.25">
      <c r="A126" s="115">
        <v>110</v>
      </c>
      <c r="B126" s="89" t="s">
        <v>386</v>
      </c>
      <c r="C126" s="113"/>
      <c r="D126" s="85"/>
      <c r="E126" s="85">
        <v>0</v>
      </c>
      <c r="F126" s="188">
        <f t="shared" si="39"/>
        <v>0</v>
      </c>
      <c r="G126" s="118" t="s">
        <v>926</v>
      </c>
      <c r="H126" s="85" t="str">
        <f t="shared" si="68"/>
        <v>ninguno</v>
      </c>
      <c r="I126" s="85">
        <f t="shared" si="69"/>
        <v>0</v>
      </c>
      <c r="J126" s="85"/>
      <c r="K126" s="133" t="s">
        <v>926</v>
      </c>
      <c r="L126" s="85" t="str">
        <f t="shared" si="70"/>
        <v>ninguno</v>
      </c>
      <c r="M126" s="85">
        <f t="shared" si="71"/>
        <v>0</v>
      </c>
      <c r="N126" s="85"/>
      <c r="O126" s="133" t="s">
        <v>926</v>
      </c>
      <c r="P126" s="85" t="str">
        <f t="shared" si="72"/>
        <v>ninguno</v>
      </c>
      <c r="Q126" s="85">
        <f t="shared" si="73"/>
        <v>0</v>
      </c>
      <c r="R126" s="85"/>
      <c r="S126" s="133" t="s">
        <v>926</v>
      </c>
      <c r="T126" s="85" t="str">
        <f t="shared" si="74"/>
        <v>ninguno</v>
      </c>
      <c r="U126" s="85">
        <f t="shared" si="75"/>
        <v>0</v>
      </c>
      <c r="V126" s="85"/>
    </row>
    <row r="127" spans="1:22" s="108" customFormat="1" ht="14.25" customHeight="1" x14ac:dyDescent="0.25">
      <c r="A127" s="119">
        <v>112</v>
      </c>
      <c r="B127" s="68" t="s">
        <v>387</v>
      </c>
      <c r="C127" s="99">
        <v>1</v>
      </c>
      <c r="D127" s="67"/>
      <c r="E127" s="61">
        <f>(((I127*J127)+(M127*N127)+(Q127*R127)+(U127*V127))/C127)*1.2</f>
        <v>132.47999999999999</v>
      </c>
      <c r="F127" s="188">
        <f t="shared" si="39"/>
        <v>22.08</v>
      </c>
      <c r="G127" s="118">
        <v>405</v>
      </c>
      <c r="H127" s="59" t="str">
        <f t="shared" si="68"/>
        <v>Nether Brick (Item)</v>
      </c>
      <c r="I127" s="59">
        <f t="shared" si="69"/>
        <v>27.599999999999998</v>
      </c>
      <c r="J127" s="84">
        <v>4</v>
      </c>
      <c r="K127" s="132" t="s">
        <v>926</v>
      </c>
      <c r="L127" s="107" t="str">
        <f t="shared" si="70"/>
        <v>ninguno</v>
      </c>
      <c r="M127" s="107">
        <f t="shared" si="71"/>
        <v>0</v>
      </c>
      <c r="N127" s="84"/>
      <c r="O127" s="132" t="s">
        <v>926</v>
      </c>
      <c r="P127" s="59" t="str">
        <f t="shared" si="72"/>
        <v>ninguno</v>
      </c>
      <c r="Q127" s="59">
        <f t="shared" si="73"/>
        <v>0</v>
      </c>
      <c r="R127" s="84"/>
      <c r="S127" s="132" t="s">
        <v>926</v>
      </c>
      <c r="T127" s="107" t="str">
        <f t="shared" si="74"/>
        <v>ninguno</v>
      </c>
      <c r="U127" s="107">
        <f t="shared" si="75"/>
        <v>0</v>
      </c>
      <c r="V127" s="84"/>
    </row>
    <row r="128" spans="1:22" s="108" customFormat="1" ht="14.25" customHeight="1" x14ac:dyDescent="0.25">
      <c r="A128" s="119">
        <v>113</v>
      </c>
      <c r="B128" s="68" t="s">
        <v>388</v>
      </c>
      <c r="C128" s="99">
        <v>2</v>
      </c>
      <c r="D128" s="67"/>
      <c r="E128" s="61">
        <f>(((I128*J128)+(M128*N128)+(Q128*R128)+(U128*V128))/C128)*1.2</f>
        <v>476.92799999999988</v>
      </c>
      <c r="F128" s="188">
        <f t="shared" si="39"/>
        <v>79.490000000000009</v>
      </c>
      <c r="G128" s="118">
        <v>112</v>
      </c>
      <c r="H128" s="59" t="str">
        <f t="shared" si="68"/>
        <v>Nether Brick</v>
      </c>
      <c r="I128" s="59">
        <f t="shared" si="69"/>
        <v>132.47999999999999</v>
      </c>
      <c r="J128" s="84">
        <v>6</v>
      </c>
      <c r="K128" s="132" t="s">
        <v>926</v>
      </c>
      <c r="L128" s="107" t="str">
        <f t="shared" si="70"/>
        <v>ninguno</v>
      </c>
      <c r="M128" s="107">
        <f t="shared" si="71"/>
        <v>0</v>
      </c>
      <c r="N128" s="84"/>
      <c r="O128" s="132" t="s">
        <v>926</v>
      </c>
      <c r="P128" s="59" t="str">
        <f t="shared" si="72"/>
        <v>ninguno</v>
      </c>
      <c r="Q128" s="59">
        <f t="shared" si="73"/>
        <v>0</v>
      </c>
      <c r="R128" s="84"/>
      <c r="S128" s="132" t="s">
        <v>926</v>
      </c>
      <c r="T128" s="107" t="str">
        <f t="shared" si="74"/>
        <v>ninguno</v>
      </c>
      <c r="U128" s="107">
        <f t="shared" si="75"/>
        <v>0</v>
      </c>
      <c r="V128" s="84"/>
    </row>
    <row r="129" spans="1:22" s="108" customFormat="1" ht="14.25" customHeight="1" x14ac:dyDescent="0.25">
      <c r="A129" s="119">
        <v>114</v>
      </c>
      <c r="B129" s="68" t="s">
        <v>389</v>
      </c>
      <c r="C129" s="99">
        <v>4</v>
      </c>
      <c r="D129" s="67"/>
      <c r="E129" s="61">
        <f>(((I129*J129)+(M129*N129)+(Q129*R129)+(U129*V129))/C129)*1.2</f>
        <v>238.46399999999994</v>
      </c>
      <c r="F129" s="188">
        <f t="shared" si="39"/>
        <v>39.75</v>
      </c>
      <c r="G129" s="118">
        <v>112</v>
      </c>
      <c r="H129" s="59" t="str">
        <f t="shared" si="68"/>
        <v>Nether Brick</v>
      </c>
      <c r="I129" s="59">
        <f t="shared" si="69"/>
        <v>132.47999999999999</v>
      </c>
      <c r="J129" s="84">
        <v>6</v>
      </c>
      <c r="K129" s="132" t="s">
        <v>926</v>
      </c>
      <c r="L129" s="107" t="str">
        <f t="shared" si="70"/>
        <v>ninguno</v>
      </c>
      <c r="M129" s="107">
        <f t="shared" si="71"/>
        <v>0</v>
      </c>
      <c r="N129" s="84"/>
      <c r="O129" s="132" t="s">
        <v>926</v>
      </c>
      <c r="P129" s="59" t="str">
        <f t="shared" si="72"/>
        <v>ninguno</v>
      </c>
      <c r="Q129" s="59">
        <f t="shared" si="73"/>
        <v>0</v>
      </c>
      <c r="R129" s="84"/>
      <c r="S129" s="132" t="s">
        <v>926</v>
      </c>
      <c r="T129" s="107" t="str">
        <f t="shared" si="74"/>
        <v>ninguno</v>
      </c>
      <c r="U129" s="107">
        <f t="shared" si="75"/>
        <v>0</v>
      </c>
      <c r="V129" s="84"/>
    </row>
    <row r="130" spans="1:22" s="108" customFormat="1" ht="14.25" customHeight="1" x14ac:dyDescent="0.25">
      <c r="A130" s="119">
        <v>116</v>
      </c>
      <c r="B130" s="68" t="s">
        <v>390</v>
      </c>
      <c r="C130" s="99">
        <v>1</v>
      </c>
      <c r="D130" s="67"/>
      <c r="E130" s="61">
        <f>(((I130*J130)+(M130*N130)+(Q130*R130)+(U130*V130))/C130)*1.2</f>
        <v>12673.727999999997</v>
      </c>
      <c r="F130" s="188">
        <f t="shared" si="39"/>
        <v>2112.2900000000004</v>
      </c>
      <c r="G130" s="118">
        <v>264</v>
      </c>
      <c r="H130" s="59" t="str">
        <f t="shared" si="68"/>
        <v>Diamond</v>
      </c>
      <c r="I130" s="59">
        <f t="shared" si="69"/>
        <v>3200</v>
      </c>
      <c r="J130" s="84">
        <v>2</v>
      </c>
      <c r="K130" s="132">
        <v>49</v>
      </c>
      <c r="L130" s="107" t="str">
        <f t="shared" si="70"/>
        <v>Obsidian</v>
      </c>
      <c r="M130" s="107">
        <f t="shared" si="71"/>
        <v>23</v>
      </c>
      <c r="N130" s="84">
        <v>4</v>
      </c>
      <c r="O130" s="132">
        <v>340</v>
      </c>
      <c r="P130" s="59" t="str">
        <f t="shared" si="72"/>
        <v>Book</v>
      </c>
      <c r="Q130" s="59">
        <f t="shared" si="73"/>
        <v>4069.4399999999996</v>
      </c>
      <c r="R130" s="84">
        <v>1</v>
      </c>
      <c r="S130" s="132" t="s">
        <v>926</v>
      </c>
      <c r="T130" s="107" t="str">
        <f t="shared" si="74"/>
        <v>ninguno</v>
      </c>
      <c r="U130" s="107">
        <f t="shared" si="75"/>
        <v>0</v>
      </c>
      <c r="V130" s="84"/>
    </row>
    <row r="131" spans="1:22" s="90" customFormat="1" ht="14.25" customHeight="1" x14ac:dyDescent="0.25">
      <c r="A131" s="115">
        <v>121</v>
      </c>
      <c r="B131" s="89" t="s">
        <v>391</v>
      </c>
      <c r="C131" s="100">
        <v>1</v>
      </c>
      <c r="D131" s="85"/>
      <c r="E131" s="85">
        <f>'ECONOMIA &amp; PROFESIONES'!E39</f>
        <v>23</v>
      </c>
      <c r="F131" s="188">
        <f t="shared" si="39"/>
        <v>3.84</v>
      </c>
      <c r="G131" s="118"/>
      <c r="H131" s="85"/>
      <c r="I131" s="85"/>
      <c r="J131" s="87"/>
      <c r="K131" s="134"/>
      <c r="L131" s="85"/>
      <c r="M131" s="85"/>
      <c r="N131" s="87"/>
      <c r="O131" s="134"/>
      <c r="P131" s="85"/>
      <c r="Q131" s="85"/>
      <c r="R131" s="87"/>
      <c r="S131" s="134"/>
      <c r="T131" s="85"/>
      <c r="U131" s="85"/>
      <c r="V131" s="87"/>
    </row>
    <row r="132" spans="1:22" s="108" customFormat="1" ht="14.25" customHeight="1" x14ac:dyDescent="0.25">
      <c r="A132" s="119">
        <v>123</v>
      </c>
      <c r="B132" s="68" t="s">
        <v>392</v>
      </c>
      <c r="C132" s="99">
        <v>1</v>
      </c>
      <c r="D132" s="67"/>
      <c r="E132" s="61">
        <f t="shared" ref="E132:E163" si="76">(((I132*J132)+(M132*N132)+(Q132*R132)+(U132*V132))/C132)*1.2</f>
        <v>181.43999999999997</v>
      </c>
      <c r="F132" s="188">
        <f t="shared" si="39"/>
        <v>30.24</v>
      </c>
      <c r="G132" s="118">
        <v>89</v>
      </c>
      <c r="H132" s="59" t="str">
        <f t="shared" ref="H132:H160" si="77">VLOOKUP(G132,LISTAITEMS,2,FALSE)</f>
        <v>Glowstone</v>
      </c>
      <c r="I132" s="59">
        <f t="shared" ref="I132:I160" si="78">VLOOKUP(G132,LISTAITEMS,5,FALSE)</f>
        <v>91.2</v>
      </c>
      <c r="J132" s="84">
        <v>1</v>
      </c>
      <c r="K132" s="132">
        <v>331</v>
      </c>
      <c r="L132" s="107" t="str">
        <f t="shared" ref="L132:L160" si="79">VLOOKUP(K132,LISTAITEMS,2,FALSE)</f>
        <v>Redstone Dust</v>
      </c>
      <c r="M132" s="107">
        <f t="shared" ref="M132:M160" si="80">VLOOKUP(K132,LISTAITEMS,5,FALSE)</f>
        <v>15</v>
      </c>
      <c r="N132" s="84">
        <v>4</v>
      </c>
      <c r="O132" s="132" t="s">
        <v>926</v>
      </c>
      <c r="P132" s="59" t="str">
        <f t="shared" ref="P132:P160" si="81">VLOOKUP(O132,LISTAITEMS,2,FALSE)</f>
        <v>ninguno</v>
      </c>
      <c r="Q132" s="59">
        <f t="shared" ref="Q132:Q160" si="82">VLOOKUP(O132,LISTAITEMS,5,FALSE)</f>
        <v>0</v>
      </c>
      <c r="R132" s="84"/>
      <c r="S132" s="132" t="s">
        <v>926</v>
      </c>
      <c r="T132" s="107" t="str">
        <f t="shared" ref="T132:T160" si="83">VLOOKUP(S132,LISTAITEMS,2,FALSE)</f>
        <v>ninguno</v>
      </c>
      <c r="U132" s="107">
        <f t="shared" ref="U132:U160" si="84">VLOOKUP(S132,LISTAITEMS,5,FALSE)</f>
        <v>0</v>
      </c>
      <c r="V132" s="84"/>
    </row>
    <row r="133" spans="1:22" s="108" customFormat="1" ht="14.25" customHeight="1" x14ac:dyDescent="0.25">
      <c r="A133" s="119">
        <v>126</v>
      </c>
      <c r="B133" s="68" t="s">
        <v>393</v>
      </c>
      <c r="C133" s="99">
        <v>6</v>
      </c>
      <c r="D133" s="67"/>
      <c r="E133" s="61">
        <f t="shared" si="76"/>
        <v>0.72</v>
      </c>
      <c r="F133" s="188">
        <f t="shared" si="39"/>
        <v>0.12</v>
      </c>
      <c r="G133" s="118">
        <v>5</v>
      </c>
      <c r="H133" s="59" t="str">
        <f t="shared" si="77"/>
        <v>Oak Planks</v>
      </c>
      <c r="I133" s="59">
        <f t="shared" si="78"/>
        <v>1.2</v>
      </c>
      <c r="J133" s="84">
        <v>3</v>
      </c>
      <c r="K133" s="132" t="s">
        <v>926</v>
      </c>
      <c r="L133" s="107" t="str">
        <f t="shared" si="79"/>
        <v>ninguno</v>
      </c>
      <c r="M133" s="107">
        <f t="shared" si="80"/>
        <v>0</v>
      </c>
      <c r="N133" s="84"/>
      <c r="O133" s="132" t="s">
        <v>926</v>
      </c>
      <c r="P133" s="59" t="str">
        <f t="shared" si="81"/>
        <v>ninguno</v>
      </c>
      <c r="Q133" s="59">
        <f t="shared" si="82"/>
        <v>0</v>
      </c>
      <c r="R133" s="84"/>
      <c r="S133" s="132" t="s">
        <v>926</v>
      </c>
      <c r="T133" s="107" t="str">
        <f t="shared" si="83"/>
        <v>ninguno</v>
      </c>
      <c r="U133" s="107">
        <f t="shared" si="84"/>
        <v>0</v>
      </c>
      <c r="V133" s="84"/>
    </row>
    <row r="134" spans="1:22" s="108" customFormat="1" ht="14.25" customHeight="1" x14ac:dyDescent="0.25">
      <c r="A134" s="119" t="s">
        <v>395</v>
      </c>
      <c r="B134" s="68" t="s">
        <v>394</v>
      </c>
      <c r="C134" s="99">
        <v>6</v>
      </c>
      <c r="D134" s="67"/>
      <c r="E134" s="61">
        <f t="shared" si="76"/>
        <v>1.9799999999999995</v>
      </c>
      <c r="F134" s="188">
        <f t="shared" si="39"/>
        <v>0.33</v>
      </c>
      <c r="G134" s="118" t="s">
        <v>232</v>
      </c>
      <c r="H134" s="59" t="str">
        <f t="shared" si="77"/>
        <v>Spruce Planks</v>
      </c>
      <c r="I134" s="59">
        <f t="shared" si="78"/>
        <v>3.3</v>
      </c>
      <c r="J134" s="84">
        <v>3</v>
      </c>
      <c r="K134" s="132" t="s">
        <v>926</v>
      </c>
      <c r="L134" s="107" t="str">
        <f t="shared" si="79"/>
        <v>ninguno</v>
      </c>
      <c r="M134" s="107">
        <f t="shared" si="80"/>
        <v>0</v>
      </c>
      <c r="N134" s="84"/>
      <c r="O134" s="132" t="s">
        <v>926</v>
      </c>
      <c r="P134" s="59" t="str">
        <f t="shared" si="81"/>
        <v>ninguno</v>
      </c>
      <c r="Q134" s="59">
        <f t="shared" si="82"/>
        <v>0</v>
      </c>
      <c r="R134" s="84"/>
      <c r="S134" s="132" t="s">
        <v>926</v>
      </c>
      <c r="T134" s="107" t="str">
        <f t="shared" si="83"/>
        <v>ninguno</v>
      </c>
      <c r="U134" s="107">
        <f t="shared" si="84"/>
        <v>0</v>
      </c>
      <c r="V134" s="84"/>
    </row>
    <row r="135" spans="1:22" s="108" customFormat="1" ht="14.25" customHeight="1" x14ac:dyDescent="0.25">
      <c r="A135" s="119" t="s">
        <v>397</v>
      </c>
      <c r="B135" s="68" t="s">
        <v>396</v>
      </c>
      <c r="C135" s="99">
        <v>6</v>
      </c>
      <c r="D135" s="67"/>
      <c r="E135" s="61">
        <f t="shared" si="76"/>
        <v>3.0599999999999996</v>
      </c>
      <c r="F135" s="188">
        <f t="shared" ref="F135:F198" si="85">ROUNDUP(E135/6,2)</f>
        <v>0.51</v>
      </c>
      <c r="G135" s="118" t="s">
        <v>234</v>
      </c>
      <c r="H135" s="59" t="str">
        <f t="shared" si="77"/>
        <v>Birch Planks</v>
      </c>
      <c r="I135" s="59">
        <f t="shared" si="78"/>
        <v>5.0999999999999996</v>
      </c>
      <c r="J135" s="84">
        <v>3</v>
      </c>
      <c r="K135" s="132" t="s">
        <v>926</v>
      </c>
      <c r="L135" s="107" t="str">
        <f t="shared" si="79"/>
        <v>ninguno</v>
      </c>
      <c r="M135" s="107">
        <f t="shared" si="80"/>
        <v>0</v>
      </c>
      <c r="N135" s="84"/>
      <c r="O135" s="132" t="s">
        <v>926</v>
      </c>
      <c r="P135" s="59" t="str">
        <f t="shared" si="81"/>
        <v>ninguno</v>
      </c>
      <c r="Q135" s="59">
        <f t="shared" si="82"/>
        <v>0</v>
      </c>
      <c r="R135" s="84"/>
      <c r="S135" s="132" t="s">
        <v>926</v>
      </c>
      <c r="T135" s="107" t="str">
        <f t="shared" si="83"/>
        <v>ninguno</v>
      </c>
      <c r="U135" s="107">
        <f t="shared" si="84"/>
        <v>0</v>
      </c>
      <c r="V135" s="84"/>
    </row>
    <row r="136" spans="1:22" s="108" customFormat="1" ht="14.25" customHeight="1" x14ac:dyDescent="0.25">
      <c r="A136" s="119" t="s">
        <v>399</v>
      </c>
      <c r="B136" s="68" t="s">
        <v>398</v>
      </c>
      <c r="C136" s="99">
        <v>6</v>
      </c>
      <c r="D136" s="67"/>
      <c r="E136" s="61">
        <f t="shared" si="76"/>
        <v>4.3199999999999994</v>
      </c>
      <c r="F136" s="188">
        <f t="shared" si="85"/>
        <v>0.72</v>
      </c>
      <c r="G136" s="118" t="s">
        <v>236</v>
      </c>
      <c r="H136" s="59" t="str">
        <f t="shared" si="77"/>
        <v>Jungle Planks</v>
      </c>
      <c r="I136" s="59">
        <f t="shared" si="78"/>
        <v>7.1999999999999993</v>
      </c>
      <c r="J136" s="84">
        <v>3</v>
      </c>
      <c r="K136" s="132" t="s">
        <v>926</v>
      </c>
      <c r="L136" s="107" t="str">
        <f t="shared" si="79"/>
        <v>ninguno</v>
      </c>
      <c r="M136" s="107">
        <f t="shared" si="80"/>
        <v>0</v>
      </c>
      <c r="N136" s="84"/>
      <c r="O136" s="132" t="s">
        <v>926</v>
      </c>
      <c r="P136" s="59" t="str">
        <f t="shared" si="81"/>
        <v>ninguno</v>
      </c>
      <c r="Q136" s="59">
        <f t="shared" si="82"/>
        <v>0</v>
      </c>
      <c r="R136" s="84"/>
      <c r="S136" s="132" t="s">
        <v>926</v>
      </c>
      <c r="T136" s="107" t="str">
        <f t="shared" si="83"/>
        <v>ninguno</v>
      </c>
      <c r="U136" s="107">
        <f t="shared" si="84"/>
        <v>0</v>
      </c>
      <c r="V136" s="84"/>
    </row>
    <row r="137" spans="1:22" s="108" customFormat="1" ht="14.25" customHeight="1" x14ac:dyDescent="0.25">
      <c r="A137" s="119" t="s">
        <v>401</v>
      </c>
      <c r="B137" s="68" t="s">
        <v>400</v>
      </c>
      <c r="C137" s="99">
        <v>6</v>
      </c>
      <c r="D137" s="67"/>
      <c r="E137" s="61">
        <f t="shared" si="76"/>
        <v>5.5799999999999992</v>
      </c>
      <c r="F137" s="188">
        <f t="shared" si="85"/>
        <v>0.93</v>
      </c>
      <c r="G137" s="118" t="s">
        <v>238</v>
      </c>
      <c r="H137" s="59" t="str">
        <f t="shared" si="77"/>
        <v>Acacia Planks</v>
      </c>
      <c r="I137" s="59">
        <f t="shared" si="78"/>
        <v>9.2999999999999989</v>
      </c>
      <c r="J137" s="84">
        <v>3</v>
      </c>
      <c r="K137" s="132" t="s">
        <v>926</v>
      </c>
      <c r="L137" s="107" t="str">
        <f t="shared" si="79"/>
        <v>ninguno</v>
      </c>
      <c r="M137" s="107">
        <f t="shared" si="80"/>
        <v>0</v>
      </c>
      <c r="N137" s="84"/>
      <c r="O137" s="132" t="s">
        <v>926</v>
      </c>
      <c r="P137" s="59" t="str">
        <f t="shared" si="81"/>
        <v>ninguno</v>
      </c>
      <c r="Q137" s="59">
        <f t="shared" si="82"/>
        <v>0</v>
      </c>
      <c r="R137" s="84"/>
      <c r="S137" s="132" t="s">
        <v>926</v>
      </c>
      <c r="T137" s="107" t="str">
        <f t="shared" si="83"/>
        <v>ninguno</v>
      </c>
      <c r="U137" s="107">
        <f t="shared" si="84"/>
        <v>0</v>
      </c>
      <c r="V137" s="84"/>
    </row>
    <row r="138" spans="1:22" s="108" customFormat="1" ht="14.25" customHeight="1" x14ac:dyDescent="0.25">
      <c r="A138" s="119" t="s">
        <v>403</v>
      </c>
      <c r="B138" s="68" t="s">
        <v>402</v>
      </c>
      <c r="C138" s="99">
        <v>6</v>
      </c>
      <c r="D138" s="67"/>
      <c r="E138" s="61">
        <f t="shared" si="76"/>
        <v>6.6599999999999993</v>
      </c>
      <c r="F138" s="188">
        <f t="shared" si="85"/>
        <v>1.1100000000000001</v>
      </c>
      <c r="G138" s="118" t="s">
        <v>240</v>
      </c>
      <c r="H138" s="59" t="str">
        <f t="shared" si="77"/>
        <v>Dark Oak Planks</v>
      </c>
      <c r="I138" s="59">
        <f t="shared" si="78"/>
        <v>11.1</v>
      </c>
      <c r="J138" s="84">
        <v>3</v>
      </c>
      <c r="K138" s="132" t="s">
        <v>926</v>
      </c>
      <c r="L138" s="107" t="str">
        <f t="shared" si="79"/>
        <v>ninguno</v>
      </c>
      <c r="M138" s="107">
        <f t="shared" si="80"/>
        <v>0</v>
      </c>
      <c r="N138" s="84"/>
      <c r="O138" s="132" t="s">
        <v>926</v>
      </c>
      <c r="P138" s="59" t="str">
        <f t="shared" si="81"/>
        <v>ninguno</v>
      </c>
      <c r="Q138" s="59">
        <f t="shared" si="82"/>
        <v>0</v>
      </c>
      <c r="R138" s="84"/>
      <c r="S138" s="132" t="s">
        <v>926</v>
      </c>
      <c r="T138" s="107" t="str">
        <f t="shared" si="83"/>
        <v>ninguno</v>
      </c>
      <c r="U138" s="107">
        <f t="shared" si="84"/>
        <v>0</v>
      </c>
      <c r="V138" s="84"/>
    </row>
    <row r="139" spans="1:22" s="108" customFormat="1" ht="14.25" customHeight="1" x14ac:dyDescent="0.25">
      <c r="A139" s="119">
        <v>128</v>
      </c>
      <c r="B139" s="68" t="s">
        <v>404</v>
      </c>
      <c r="C139" s="99">
        <v>4</v>
      </c>
      <c r="D139" s="67"/>
      <c r="E139" s="61">
        <f t="shared" si="76"/>
        <v>95.039999999999978</v>
      </c>
      <c r="F139" s="188">
        <f t="shared" si="85"/>
        <v>15.84</v>
      </c>
      <c r="G139" s="118">
        <v>24</v>
      </c>
      <c r="H139" s="59" t="str">
        <f t="shared" si="77"/>
        <v>Sandstone</v>
      </c>
      <c r="I139" s="59">
        <f t="shared" si="78"/>
        <v>52.8</v>
      </c>
      <c r="J139" s="84">
        <v>6</v>
      </c>
      <c r="K139" s="132" t="s">
        <v>926</v>
      </c>
      <c r="L139" s="107" t="str">
        <f t="shared" si="79"/>
        <v>ninguno</v>
      </c>
      <c r="M139" s="107">
        <f t="shared" si="80"/>
        <v>0</v>
      </c>
      <c r="N139" s="84"/>
      <c r="O139" s="132" t="s">
        <v>926</v>
      </c>
      <c r="P139" s="59" t="str">
        <f t="shared" si="81"/>
        <v>ninguno</v>
      </c>
      <c r="Q139" s="59">
        <f t="shared" si="82"/>
        <v>0</v>
      </c>
      <c r="R139" s="84"/>
      <c r="S139" s="132" t="s">
        <v>926</v>
      </c>
      <c r="T139" s="107" t="str">
        <f t="shared" si="83"/>
        <v>ninguno</v>
      </c>
      <c r="U139" s="107">
        <f t="shared" si="84"/>
        <v>0</v>
      </c>
      <c r="V139" s="84"/>
    </row>
    <row r="140" spans="1:22" s="108" customFormat="1" ht="14.25" customHeight="1" x14ac:dyDescent="0.25">
      <c r="A140" s="119">
        <v>130</v>
      </c>
      <c r="B140" s="68" t="s">
        <v>405</v>
      </c>
      <c r="C140" s="99">
        <v>1</v>
      </c>
      <c r="D140" s="67"/>
      <c r="E140" s="61">
        <f t="shared" si="76"/>
        <v>271.34399999999999</v>
      </c>
      <c r="F140" s="188">
        <f t="shared" si="85"/>
        <v>45.23</v>
      </c>
      <c r="G140" s="118">
        <v>49</v>
      </c>
      <c r="H140" s="59" t="str">
        <f t="shared" si="77"/>
        <v>Obsidian</v>
      </c>
      <c r="I140" s="59">
        <f t="shared" si="78"/>
        <v>23</v>
      </c>
      <c r="J140" s="84">
        <v>8</v>
      </c>
      <c r="K140" s="132">
        <v>381</v>
      </c>
      <c r="L140" s="107" t="str">
        <f t="shared" si="79"/>
        <v>Eye of Ender</v>
      </c>
      <c r="M140" s="107">
        <f t="shared" si="80"/>
        <v>42.12</v>
      </c>
      <c r="N140" s="84">
        <v>1</v>
      </c>
      <c r="O140" s="132" t="s">
        <v>926</v>
      </c>
      <c r="P140" s="59" t="str">
        <f t="shared" si="81"/>
        <v>ninguno</v>
      </c>
      <c r="Q140" s="59">
        <f t="shared" si="82"/>
        <v>0</v>
      </c>
      <c r="R140" s="84"/>
      <c r="S140" s="132" t="s">
        <v>926</v>
      </c>
      <c r="T140" s="107" t="str">
        <f t="shared" si="83"/>
        <v>ninguno</v>
      </c>
      <c r="U140" s="107">
        <f t="shared" si="84"/>
        <v>0</v>
      </c>
      <c r="V140" s="84"/>
    </row>
    <row r="141" spans="1:22" s="108" customFormat="1" ht="14.25" customHeight="1" x14ac:dyDescent="0.25">
      <c r="A141" s="119">
        <v>131</v>
      </c>
      <c r="B141" s="68" t="s">
        <v>406</v>
      </c>
      <c r="C141" s="99">
        <v>2</v>
      </c>
      <c r="D141" s="67"/>
      <c r="E141" s="61">
        <f t="shared" si="76"/>
        <v>480.93600000000004</v>
      </c>
      <c r="F141" s="188">
        <f t="shared" si="85"/>
        <v>80.160000000000011</v>
      </c>
      <c r="G141" s="118">
        <v>265</v>
      </c>
      <c r="H141" s="59" t="str">
        <f t="shared" si="77"/>
        <v>Iron Ingot</v>
      </c>
      <c r="I141" s="59">
        <f t="shared" si="78"/>
        <v>800</v>
      </c>
      <c r="J141" s="84">
        <v>1</v>
      </c>
      <c r="K141" s="132">
        <v>280</v>
      </c>
      <c r="L141" s="107" t="str">
        <f t="shared" si="79"/>
        <v>Stick</v>
      </c>
      <c r="M141" s="107">
        <f t="shared" si="80"/>
        <v>0.36</v>
      </c>
      <c r="N141" s="84">
        <v>1</v>
      </c>
      <c r="O141" s="132">
        <v>5</v>
      </c>
      <c r="P141" s="59" t="str">
        <f t="shared" si="81"/>
        <v>Oak Planks</v>
      </c>
      <c r="Q141" s="59">
        <f t="shared" si="82"/>
        <v>1.2</v>
      </c>
      <c r="R141" s="84">
        <v>1</v>
      </c>
      <c r="S141" s="132" t="s">
        <v>926</v>
      </c>
      <c r="T141" s="107" t="str">
        <f t="shared" si="83"/>
        <v>ninguno</v>
      </c>
      <c r="U141" s="107">
        <f t="shared" si="84"/>
        <v>0</v>
      </c>
      <c r="V141" s="84"/>
    </row>
    <row r="142" spans="1:22" s="108" customFormat="1" ht="14.25" customHeight="1" x14ac:dyDescent="0.25">
      <c r="A142" s="119">
        <v>133</v>
      </c>
      <c r="B142" s="68" t="s">
        <v>407</v>
      </c>
      <c r="C142" s="99">
        <v>1</v>
      </c>
      <c r="D142" s="67"/>
      <c r="E142" s="61">
        <f t="shared" si="76"/>
        <v>205.2</v>
      </c>
      <c r="F142" s="188">
        <f t="shared" si="85"/>
        <v>34.200000000000003</v>
      </c>
      <c r="G142" s="118">
        <v>388</v>
      </c>
      <c r="H142" s="59" t="str">
        <f t="shared" si="77"/>
        <v>Emerald</v>
      </c>
      <c r="I142" s="59">
        <f t="shared" si="78"/>
        <v>19</v>
      </c>
      <c r="J142" s="84">
        <v>9</v>
      </c>
      <c r="K142" s="132" t="s">
        <v>926</v>
      </c>
      <c r="L142" s="107" t="str">
        <f t="shared" si="79"/>
        <v>ninguno</v>
      </c>
      <c r="M142" s="107">
        <f t="shared" si="80"/>
        <v>0</v>
      </c>
      <c r="N142" s="84"/>
      <c r="O142" s="132" t="s">
        <v>926</v>
      </c>
      <c r="P142" s="59" t="str">
        <f t="shared" si="81"/>
        <v>ninguno</v>
      </c>
      <c r="Q142" s="59">
        <f t="shared" si="82"/>
        <v>0</v>
      </c>
      <c r="R142" s="84"/>
      <c r="S142" s="132" t="s">
        <v>926</v>
      </c>
      <c r="T142" s="107" t="str">
        <f t="shared" si="83"/>
        <v>ninguno</v>
      </c>
      <c r="U142" s="107">
        <f t="shared" si="84"/>
        <v>0</v>
      </c>
      <c r="V142" s="84"/>
    </row>
    <row r="143" spans="1:22" s="108" customFormat="1" ht="14.25" customHeight="1" x14ac:dyDescent="0.25">
      <c r="A143" s="119">
        <v>134</v>
      </c>
      <c r="B143" s="68" t="s">
        <v>408</v>
      </c>
      <c r="C143" s="99">
        <v>4</v>
      </c>
      <c r="D143" s="67"/>
      <c r="E143" s="61">
        <f t="shared" si="76"/>
        <v>5.9399999999999986</v>
      </c>
      <c r="F143" s="188">
        <f t="shared" si="85"/>
        <v>0.99</v>
      </c>
      <c r="G143" s="118" t="s">
        <v>232</v>
      </c>
      <c r="H143" s="59" t="str">
        <f t="shared" si="77"/>
        <v>Spruce Planks</v>
      </c>
      <c r="I143" s="59">
        <f t="shared" si="78"/>
        <v>3.3</v>
      </c>
      <c r="J143" s="84">
        <v>6</v>
      </c>
      <c r="K143" s="132" t="s">
        <v>926</v>
      </c>
      <c r="L143" s="107" t="str">
        <f t="shared" si="79"/>
        <v>ninguno</v>
      </c>
      <c r="M143" s="107">
        <f t="shared" si="80"/>
        <v>0</v>
      </c>
      <c r="N143" s="84"/>
      <c r="O143" s="132" t="s">
        <v>926</v>
      </c>
      <c r="P143" s="59" t="str">
        <f t="shared" si="81"/>
        <v>ninguno</v>
      </c>
      <c r="Q143" s="59">
        <f t="shared" si="82"/>
        <v>0</v>
      </c>
      <c r="R143" s="84"/>
      <c r="S143" s="132" t="s">
        <v>926</v>
      </c>
      <c r="T143" s="107" t="str">
        <f t="shared" si="83"/>
        <v>ninguno</v>
      </c>
      <c r="U143" s="107">
        <f t="shared" si="84"/>
        <v>0</v>
      </c>
      <c r="V143" s="84"/>
    </row>
    <row r="144" spans="1:22" s="108" customFormat="1" ht="14.25" customHeight="1" x14ac:dyDescent="0.25">
      <c r="A144" s="119">
        <v>135</v>
      </c>
      <c r="B144" s="68" t="s">
        <v>409</v>
      </c>
      <c r="C144" s="99">
        <v>4</v>
      </c>
      <c r="D144" s="67"/>
      <c r="E144" s="61">
        <f t="shared" si="76"/>
        <v>9.18</v>
      </c>
      <c r="F144" s="188">
        <f t="shared" si="85"/>
        <v>1.53</v>
      </c>
      <c r="G144" s="118" t="s">
        <v>234</v>
      </c>
      <c r="H144" s="59" t="str">
        <f t="shared" si="77"/>
        <v>Birch Planks</v>
      </c>
      <c r="I144" s="59">
        <f t="shared" si="78"/>
        <v>5.0999999999999996</v>
      </c>
      <c r="J144" s="84">
        <v>6</v>
      </c>
      <c r="K144" s="132" t="s">
        <v>926</v>
      </c>
      <c r="L144" s="107" t="str">
        <f t="shared" si="79"/>
        <v>ninguno</v>
      </c>
      <c r="M144" s="107">
        <f t="shared" si="80"/>
        <v>0</v>
      </c>
      <c r="N144" s="84"/>
      <c r="O144" s="132" t="s">
        <v>926</v>
      </c>
      <c r="P144" s="59" t="str">
        <f t="shared" si="81"/>
        <v>ninguno</v>
      </c>
      <c r="Q144" s="59">
        <f t="shared" si="82"/>
        <v>0</v>
      </c>
      <c r="R144" s="84"/>
      <c r="S144" s="132" t="s">
        <v>926</v>
      </c>
      <c r="T144" s="107" t="str">
        <f t="shared" si="83"/>
        <v>ninguno</v>
      </c>
      <c r="U144" s="107">
        <f t="shared" si="84"/>
        <v>0</v>
      </c>
      <c r="V144" s="84"/>
    </row>
    <row r="145" spans="1:22" s="108" customFormat="1" ht="14.25" customHeight="1" x14ac:dyDescent="0.25">
      <c r="A145" s="119">
        <v>136</v>
      </c>
      <c r="B145" s="68" t="s">
        <v>410</v>
      </c>
      <c r="C145" s="99">
        <v>4</v>
      </c>
      <c r="D145" s="67"/>
      <c r="E145" s="61">
        <f t="shared" si="76"/>
        <v>12.959999999999999</v>
      </c>
      <c r="F145" s="188">
        <f t="shared" si="85"/>
        <v>2.16</v>
      </c>
      <c r="G145" s="118" t="s">
        <v>236</v>
      </c>
      <c r="H145" s="59" t="str">
        <f t="shared" si="77"/>
        <v>Jungle Planks</v>
      </c>
      <c r="I145" s="59">
        <f t="shared" si="78"/>
        <v>7.1999999999999993</v>
      </c>
      <c r="J145" s="84">
        <v>6</v>
      </c>
      <c r="K145" s="132" t="s">
        <v>926</v>
      </c>
      <c r="L145" s="107" t="str">
        <f t="shared" si="79"/>
        <v>ninguno</v>
      </c>
      <c r="M145" s="107">
        <f t="shared" si="80"/>
        <v>0</v>
      </c>
      <c r="N145" s="84"/>
      <c r="O145" s="132" t="s">
        <v>926</v>
      </c>
      <c r="P145" s="59" t="str">
        <f t="shared" si="81"/>
        <v>ninguno</v>
      </c>
      <c r="Q145" s="59">
        <f t="shared" si="82"/>
        <v>0</v>
      </c>
      <c r="R145" s="84"/>
      <c r="S145" s="132" t="s">
        <v>926</v>
      </c>
      <c r="T145" s="107" t="str">
        <f t="shared" si="83"/>
        <v>ninguno</v>
      </c>
      <c r="U145" s="107">
        <f t="shared" si="84"/>
        <v>0</v>
      </c>
      <c r="V145" s="84"/>
    </row>
    <row r="146" spans="1:22" s="108" customFormat="1" ht="14.25" customHeight="1" x14ac:dyDescent="0.25">
      <c r="A146" s="119">
        <v>138</v>
      </c>
      <c r="B146" s="68" t="s">
        <v>411</v>
      </c>
      <c r="C146" s="99">
        <v>1</v>
      </c>
      <c r="D146" s="67"/>
      <c r="E146" s="61">
        <f t="shared" si="76"/>
        <v>181.79999999999998</v>
      </c>
      <c r="F146" s="188">
        <f t="shared" si="85"/>
        <v>30.3</v>
      </c>
      <c r="G146" s="118">
        <v>20</v>
      </c>
      <c r="H146" s="59" t="str">
        <f t="shared" si="77"/>
        <v>Glass</v>
      </c>
      <c r="I146" s="59">
        <f t="shared" si="78"/>
        <v>13.2</v>
      </c>
      <c r="J146" s="84">
        <v>5</v>
      </c>
      <c r="K146" s="132">
        <v>49</v>
      </c>
      <c r="L146" s="107" t="str">
        <f t="shared" si="79"/>
        <v>Obsidian</v>
      </c>
      <c r="M146" s="107">
        <f t="shared" si="80"/>
        <v>23</v>
      </c>
      <c r="N146" s="84">
        <v>3</v>
      </c>
      <c r="O146" s="132">
        <v>399</v>
      </c>
      <c r="P146" s="59" t="str">
        <f t="shared" si="81"/>
        <v>Nether Star</v>
      </c>
      <c r="Q146" s="59">
        <f t="shared" si="82"/>
        <v>16.5</v>
      </c>
      <c r="R146" s="84">
        <v>1</v>
      </c>
      <c r="S146" s="132" t="s">
        <v>926</v>
      </c>
      <c r="T146" s="107" t="str">
        <f t="shared" si="83"/>
        <v>ninguno</v>
      </c>
      <c r="U146" s="107">
        <f t="shared" si="84"/>
        <v>0</v>
      </c>
      <c r="V146" s="84"/>
    </row>
    <row r="147" spans="1:22" s="108" customFormat="1" ht="14.25" customHeight="1" x14ac:dyDescent="0.25">
      <c r="A147" s="119">
        <v>139</v>
      </c>
      <c r="B147" s="68" t="s">
        <v>412</v>
      </c>
      <c r="C147" s="99">
        <v>6</v>
      </c>
      <c r="D147" s="67"/>
      <c r="E147" s="61">
        <f t="shared" si="76"/>
        <v>3.5999999999999996</v>
      </c>
      <c r="F147" s="188">
        <f t="shared" si="85"/>
        <v>0.6</v>
      </c>
      <c r="G147" s="118">
        <v>4</v>
      </c>
      <c r="H147" s="59" t="str">
        <f t="shared" si="77"/>
        <v>Cobblestone</v>
      </c>
      <c r="I147" s="59">
        <f t="shared" si="78"/>
        <v>3</v>
      </c>
      <c r="J147" s="84">
        <v>6</v>
      </c>
      <c r="K147" s="132" t="s">
        <v>926</v>
      </c>
      <c r="L147" s="107" t="str">
        <f t="shared" si="79"/>
        <v>ninguno</v>
      </c>
      <c r="M147" s="107">
        <f t="shared" si="80"/>
        <v>0</v>
      </c>
      <c r="N147" s="84"/>
      <c r="O147" s="132" t="s">
        <v>926</v>
      </c>
      <c r="P147" s="59" t="str">
        <f t="shared" si="81"/>
        <v>ninguno</v>
      </c>
      <c r="Q147" s="59">
        <f t="shared" si="82"/>
        <v>0</v>
      </c>
      <c r="R147" s="84"/>
      <c r="S147" s="132" t="s">
        <v>926</v>
      </c>
      <c r="T147" s="107" t="str">
        <f t="shared" si="83"/>
        <v>ninguno</v>
      </c>
      <c r="U147" s="107">
        <f t="shared" si="84"/>
        <v>0</v>
      </c>
      <c r="V147" s="84"/>
    </row>
    <row r="148" spans="1:22" s="108" customFormat="1" ht="14.25" customHeight="1" x14ac:dyDescent="0.25">
      <c r="A148" s="119" t="s">
        <v>414</v>
      </c>
      <c r="B148" s="68" t="s">
        <v>413</v>
      </c>
      <c r="C148" s="99">
        <v>6</v>
      </c>
      <c r="D148" s="67"/>
      <c r="E148" s="61">
        <f t="shared" si="76"/>
        <v>0</v>
      </c>
      <c r="F148" s="188">
        <f t="shared" si="85"/>
        <v>0</v>
      </c>
      <c r="G148" s="118">
        <v>48</v>
      </c>
      <c r="H148" s="59" t="str">
        <f t="shared" si="77"/>
        <v>Mossy Cobblesotne</v>
      </c>
      <c r="I148" s="59">
        <f t="shared" si="78"/>
        <v>0</v>
      </c>
      <c r="J148" s="84">
        <v>6</v>
      </c>
      <c r="K148" s="132" t="s">
        <v>926</v>
      </c>
      <c r="L148" s="107" t="str">
        <f t="shared" si="79"/>
        <v>ninguno</v>
      </c>
      <c r="M148" s="107">
        <f t="shared" si="80"/>
        <v>0</v>
      </c>
      <c r="N148" s="84"/>
      <c r="O148" s="132" t="s">
        <v>926</v>
      </c>
      <c r="P148" s="59" t="str">
        <f t="shared" si="81"/>
        <v>ninguno</v>
      </c>
      <c r="Q148" s="59">
        <f t="shared" si="82"/>
        <v>0</v>
      </c>
      <c r="R148" s="84"/>
      <c r="S148" s="132" t="s">
        <v>926</v>
      </c>
      <c r="T148" s="107" t="str">
        <f t="shared" si="83"/>
        <v>ninguno</v>
      </c>
      <c r="U148" s="107">
        <f t="shared" si="84"/>
        <v>0</v>
      </c>
      <c r="V148" s="84"/>
    </row>
    <row r="149" spans="1:22" s="108" customFormat="1" ht="14.25" customHeight="1" x14ac:dyDescent="0.25">
      <c r="A149" s="119">
        <v>143</v>
      </c>
      <c r="B149" s="68" t="s">
        <v>415</v>
      </c>
      <c r="C149" s="99">
        <v>1</v>
      </c>
      <c r="D149" s="67"/>
      <c r="E149" s="61">
        <f t="shared" si="76"/>
        <v>1.44</v>
      </c>
      <c r="F149" s="188">
        <f t="shared" si="85"/>
        <v>0.24</v>
      </c>
      <c r="G149" s="118">
        <v>5</v>
      </c>
      <c r="H149" s="59" t="str">
        <f t="shared" si="77"/>
        <v>Oak Planks</v>
      </c>
      <c r="I149" s="59">
        <f t="shared" si="78"/>
        <v>1.2</v>
      </c>
      <c r="J149" s="84">
        <v>1</v>
      </c>
      <c r="K149" s="132" t="s">
        <v>926</v>
      </c>
      <c r="L149" s="107" t="str">
        <f t="shared" si="79"/>
        <v>ninguno</v>
      </c>
      <c r="M149" s="107">
        <f t="shared" si="80"/>
        <v>0</v>
      </c>
      <c r="N149" s="84"/>
      <c r="O149" s="132" t="s">
        <v>926</v>
      </c>
      <c r="P149" s="59" t="str">
        <f t="shared" si="81"/>
        <v>ninguno</v>
      </c>
      <c r="Q149" s="59">
        <f t="shared" si="82"/>
        <v>0</v>
      </c>
      <c r="R149" s="84"/>
      <c r="S149" s="132" t="s">
        <v>926</v>
      </c>
      <c r="T149" s="107" t="str">
        <f t="shared" si="83"/>
        <v>ninguno</v>
      </c>
      <c r="U149" s="107">
        <f t="shared" si="84"/>
        <v>0</v>
      </c>
      <c r="V149" s="84"/>
    </row>
    <row r="150" spans="1:22" s="108" customFormat="1" ht="14.25" customHeight="1" x14ac:dyDescent="0.25">
      <c r="A150" s="119">
        <v>145</v>
      </c>
      <c r="B150" s="68" t="s">
        <v>416</v>
      </c>
      <c r="C150" s="99">
        <v>1</v>
      </c>
      <c r="D150" s="67"/>
      <c r="E150" s="61">
        <f t="shared" si="76"/>
        <v>33984</v>
      </c>
      <c r="F150" s="188">
        <f t="shared" si="85"/>
        <v>5664</v>
      </c>
      <c r="G150" s="118">
        <v>42</v>
      </c>
      <c r="H150" s="59" t="str">
        <f t="shared" si="77"/>
        <v>Block of Iron</v>
      </c>
      <c r="I150" s="59">
        <f t="shared" si="78"/>
        <v>8640</v>
      </c>
      <c r="J150" s="84">
        <v>3</v>
      </c>
      <c r="K150" s="132">
        <v>265</v>
      </c>
      <c r="L150" s="107" t="str">
        <f t="shared" si="79"/>
        <v>Iron Ingot</v>
      </c>
      <c r="M150" s="107">
        <f t="shared" si="80"/>
        <v>800</v>
      </c>
      <c r="N150" s="84">
        <v>3</v>
      </c>
      <c r="O150" s="132" t="s">
        <v>926</v>
      </c>
      <c r="P150" s="59" t="str">
        <f t="shared" si="81"/>
        <v>ninguno</v>
      </c>
      <c r="Q150" s="59">
        <f t="shared" si="82"/>
        <v>0</v>
      </c>
      <c r="R150" s="84"/>
      <c r="S150" s="132" t="s">
        <v>926</v>
      </c>
      <c r="T150" s="107" t="str">
        <f t="shared" si="83"/>
        <v>ninguno</v>
      </c>
      <c r="U150" s="107">
        <f t="shared" si="84"/>
        <v>0</v>
      </c>
      <c r="V150" s="84"/>
    </row>
    <row r="151" spans="1:22" s="108" customFormat="1" ht="14.25" customHeight="1" x14ac:dyDescent="0.25">
      <c r="A151" s="119">
        <v>146</v>
      </c>
      <c r="B151" s="68" t="s">
        <v>417</v>
      </c>
      <c r="C151" s="99">
        <v>1</v>
      </c>
      <c r="D151" s="67"/>
      <c r="E151" s="61">
        <f t="shared" si="76"/>
        <v>590.94719999999995</v>
      </c>
      <c r="F151" s="188">
        <f t="shared" si="85"/>
        <v>98.5</v>
      </c>
      <c r="G151" s="118">
        <v>131</v>
      </c>
      <c r="H151" s="59" t="str">
        <f t="shared" si="77"/>
        <v>Tripwire Hook</v>
      </c>
      <c r="I151" s="59">
        <f t="shared" si="78"/>
        <v>480.93600000000004</v>
      </c>
      <c r="J151" s="84">
        <v>1</v>
      </c>
      <c r="K151" s="132">
        <v>54</v>
      </c>
      <c r="L151" s="107" t="str">
        <f t="shared" si="79"/>
        <v>Chest</v>
      </c>
      <c r="M151" s="107">
        <f t="shared" si="80"/>
        <v>11.52</v>
      </c>
      <c r="N151" s="84">
        <v>1</v>
      </c>
      <c r="O151" s="132" t="s">
        <v>926</v>
      </c>
      <c r="P151" s="59" t="str">
        <f t="shared" si="81"/>
        <v>ninguno</v>
      </c>
      <c r="Q151" s="59">
        <f t="shared" si="82"/>
        <v>0</v>
      </c>
      <c r="R151" s="84"/>
      <c r="S151" s="132" t="s">
        <v>926</v>
      </c>
      <c r="T151" s="107" t="str">
        <f t="shared" si="83"/>
        <v>ninguno</v>
      </c>
      <c r="U151" s="107">
        <f t="shared" si="84"/>
        <v>0</v>
      </c>
      <c r="V151" s="84"/>
    </row>
    <row r="152" spans="1:22" s="108" customFormat="1" ht="14.25" customHeight="1" x14ac:dyDescent="0.25">
      <c r="A152" s="119">
        <v>147</v>
      </c>
      <c r="B152" s="68" t="s">
        <v>418</v>
      </c>
      <c r="C152" s="99">
        <v>1</v>
      </c>
      <c r="D152" s="67"/>
      <c r="E152" s="61">
        <f t="shared" si="76"/>
        <v>3840</v>
      </c>
      <c r="F152" s="188">
        <f t="shared" si="85"/>
        <v>640</v>
      </c>
      <c r="G152" s="118">
        <v>266</v>
      </c>
      <c r="H152" s="59" t="str">
        <f t="shared" si="77"/>
        <v>Gold Ingot</v>
      </c>
      <c r="I152" s="59">
        <f t="shared" si="78"/>
        <v>1600</v>
      </c>
      <c r="J152" s="84">
        <v>2</v>
      </c>
      <c r="K152" s="132" t="s">
        <v>926</v>
      </c>
      <c r="L152" s="107" t="str">
        <f t="shared" si="79"/>
        <v>ninguno</v>
      </c>
      <c r="M152" s="107">
        <f t="shared" si="80"/>
        <v>0</v>
      </c>
      <c r="N152" s="84"/>
      <c r="O152" s="132" t="s">
        <v>926</v>
      </c>
      <c r="P152" s="59" t="str">
        <f t="shared" si="81"/>
        <v>ninguno</v>
      </c>
      <c r="Q152" s="59">
        <f t="shared" si="82"/>
        <v>0</v>
      </c>
      <c r="R152" s="84"/>
      <c r="S152" s="132" t="s">
        <v>926</v>
      </c>
      <c r="T152" s="107" t="str">
        <f t="shared" si="83"/>
        <v>ninguno</v>
      </c>
      <c r="U152" s="107">
        <f t="shared" si="84"/>
        <v>0</v>
      </c>
      <c r="V152" s="84"/>
    </row>
    <row r="153" spans="1:22" s="108" customFormat="1" ht="14.25" customHeight="1" x14ac:dyDescent="0.25">
      <c r="A153" s="119">
        <v>148</v>
      </c>
      <c r="B153" s="68" t="s">
        <v>419</v>
      </c>
      <c r="C153" s="99">
        <v>1</v>
      </c>
      <c r="D153" s="67"/>
      <c r="E153" s="61">
        <f t="shared" si="76"/>
        <v>1920</v>
      </c>
      <c r="F153" s="188">
        <f t="shared" si="85"/>
        <v>320</v>
      </c>
      <c r="G153" s="118">
        <v>265</v>
      </c>
      <c r="H153" s="59" t="str">
        <f t="shared" si="77"/>
        <v>Iron Ingot</v>
      </c>
      <c r="I153" s="59">
        <f t="shared" si="78"/>
        <v>800</v>
      </c>
      <c r="J153" s="84">
        <v>2</v>
      </c>
      <c r="K153" s="132" t="s">
        <v>926</v>
      </c>
      <c r="L153" s="107" t="str">
        <f t="shared" si="79"/>
        <v>ninguno</v>
      </c>
      <c r="M153" s="107">
        <f t="shared" si="80"/>
        <v>0</v>
      </c>
      <c r="N153" s="84"/>
      <c r="O153" s="132" t="s">
        <v>926</v>
      </c>
      <c r="P153" s="59" t="str">
        <f t="shared" si="81"/>
        <v>ninguno</v>
      </c>
      <c r="Q153" s="59">
        <f t="shared" si="82"/>
        <v>0</v>
      </c>
      <c r="R153" s="84"/>
      <c r="S153" s="132" t="s">
        <v>926</v>
      </c>
      <c r="T153" s="107" t="str">
        <f t="shared" si="83"/>
        <v>ninguno</v>
      </c>
      <c r="U153" s="107">
        <f t="shared" si="84"/>
        <v>0</v>
      </c>
      <c r="V153" s="84"/>
    </row>
    <row r="154" spans="1:22" s="108" customFormat="1" ht="14.25" customHeight="1" x14ac:dyDescent="0.25">
      <c r="A154" s="119">
        <v>151</v>
      </c>
      <c r="B154" s="68" t="s">
        <v>420</v>
      </c>
      <c r="C154" s="99">
        <v>1</v>
      </c>
      <c r="D154" s="67"/>
      <c r="E154" s="61">
        <f t="shared" si="76"/>
        <v>118.51199999999999</v>
      </c>
      <c r="F154" s="188">
        <f t="shared" si="85"/>
        <v>19.760000000000002</v>
      </c>
      <c r="G154" s="118">
        <v>20</v>
      </c>
      <c r="H154" s="59" t="str">
        <f t="shared" si="77"/>
        <v>Glass</v>
      </c>
      <c r="I154" s="59">
        <f t="shared" si="78"/>
        <v>13.2</v>
      </c>
      <c r="J154" s="84">
        <v>3</v>
      </c>
      <c r="K154" s="132">
        <v>126</v>
      </c>
      <c r="L154" s="107" t="str">
        <f t="shared" si="79"/>
        <v>Oak Slab</v>
      </c>
      <c r="M154" s="107">
        <f t="shared" si="80"/>
        <v>0.72</v>
      </c>
      <c r="N154" s="84">
        <v>3</v>
      </c>
      <c r="O154" s="132">
        <v>406</v>
      </c>
      <c r="P154" s="59" t="str">
        <f t="shared" si="81"/>
        <v>Nether Quartz</v>
      </c>
      <c r="Q154" s="59">
        <f t="shared" si="82"/>
        <v>19</v>
      </c>
      <c r="R154" s="84">
        <v>3</v>
      </c>
      <c r="S154" s="132" t="s">
        <v>926</v>
      </c>
      <c r="T154" s="107" t="str">
        <f t="shared" si="83"/>
        <v>ninguno</v>
      </c>
      <c r="U154" s="107">
        <f t="shared" si="84"/>
        <v>0</v>
      </c>
      <c r="V154" s="84"/>
    </row>
    <row r="155" spans="1:22" s="108" customFormat="1" ht="14.25" customHeight="1" x14ac:dyDescent="0.25">
      <c r="A155" s="119">
        <v>152</v>
      </c>
      <c r="B155" s="68" t="s">
        <v>421</v>
      </c>
      <c r="C155" s="99">
        <v>1</v>
      </c>
      <c r="D155" s="67"/>
      <c r="E155" s="61">
        <f t="shared" si="76"/>
        <v>162</v>
      </c>
      <c r="F155" s="188">
        <f t="shared" si="85"/>
        <v>27</v>
      </c>
      <c r="G155" s="118">
        <v>331</v>
      </c>
      <c r="H155" s="59" t="str">
        <f t="shared" si="77"/>
        <v>Redstone Dust</v>
      </c>
      <c r="I155" s="59">
        <f t="shared" si="78"/>
        <v>15</v>
      </c>
      <c r="J155" s="84">
        <v>9</v>
      </c>
      <c r="K155" s="132" t="s">
        <v>926</v>
      </c>
      <c r="L155" s="107" t="str">
        <f t="shared" si="79"/>
        <v>ninguno</v>
      </c>
      <c r="M155" s="107">
        <f t="shared" si="80"/>
        <v>0</v>
      </c>
      <c r="N155" s="84"/>
      <c r="O155" s="132" t="s">
        <v>926</v>
      </c>
      <c r="P155" s="59" t="str">
        <f t="shared" si="81"/>
        <v>ninguno</v>
      </c>
      <c r="Q155" s="59">
        <f t="shared" si="82"/>
        <v>0</v>
      </c>
      <c r="R155" s="84"/>
      <c r="S155" s="132" t="s">
        <v>926</v>
      </c>
      <c r="T155" s="107" t="str">
        <f t="shared" si="83"/>
        <v>ninguno</v>
      </c>
      <c r="U155" s="107">
        <f t="shared" si="84"/>
        <v>0</v>
      </c>
      <c r="V155" s="84"/>
    </row>
    <row r="156" spans="1:22" s="108" customFormat="1" ht="14.25" customHeight="1" x14ac:dyDescent="0.25">
      <c r="A156" s="119">
        <v>154</v>
      </c>
      <c r="B156" s="68" t="s">
        <v>422</v>
      </c>
      <c r="C156" s="99">
        <v>1</v>
      </c>
      <c r="D156" s="67"/>
      <c r="E156" s="61">
        <f t="shared" si="76"/>
        <v>4813.8239999999996</v>
      </c>
      <c r="F156" s="188">
        <f t="shared" si="85"/>
        <v>802.31</v>
      </c>
      <c r="G156" s="118">
        <v>265</v>
      </c>
      <c r="H156" s="59" t="str">
        <f t="shared" si="77"/>
        <v>Iron Ingot</v>
      </c>
      <c r="I156" s="59">
        <f t="shared" si="78"/>
        <v>800</v>
      </c>
      <c r="J156" s="84">
        <v>5</v>
      </c>
      <c r="K156" s="132">
        <v>54</v>
      </c>
      <c r="L156" s="107" t="str">
        <f t="shared" si="79"/>
        <v>Chest</v>
      </c>
      <c r="M156" s="107">
        <f t="shared" si="80"/>
        <v>11.52</v>
      </c>
      <c r="N156" s="84">
        <v>1</v>
      </c>
      <c r="O156" s="132" t="s">
        <v>926</v>
      </c>
      <c r="P156" s="59" t="str">
        <f t="shared" si="81"/>
        <v>ninguno</v>
      </c>
      <c r="Q156" s="59">
        <f t="shared" si="82"/>
        <v>0</v>
      </c>
      <c r="R156" s="84"/>
      <c r="S156" s="132" t="s">
        <v>926</v>
      </c>
      <c r="T156" s="107" t="str">
        <f t="shared" si="83"/>
        <v>ninguno</v>
      </c>
      <c r="U156" s="107">
        <f t="shared" si="84"/>
        <v>0</v>
      </c>
      <c r="V156" s="84"/>
    </row>
    <row r="157" spans="1:22" s="108" customFormat="1" ht="14.25" customHeight="1" x14ac:dyDescent="0.25">
      <c r="A157" s="119">
        <v>155</v>
      </c>
      <c r="B157" s="68" t="s">
        <v>423</v>
      </c>
      <c r="C157" s="99">
        <v>1</v>
      </c>
      <c r="D157" s="67"/>
      <c r="E157" s="61">
        <f t="shared" si="76"/>
        <v>91.2</v>
      </c>
      <c r="F157" s="188">
        <f t="shared" si="85"/>
        <v>15.2</v>
      </c>
      <c r="G157" s="118">
        <v>406</v>
      </c>
      <c r="H157" s="59" t="str">
        <f t="shared" si="77"/>
        <v>Nether Quartz</v>
      </c>
      <c r="I157" s="59">
        <f t="shared" si="78"/>
        <v>19</v>
      </c>
      <c r="J157" s="84">
        <v>4</v>
      </c>
      <c r="K157" s="132" t="s">
        <v>926</v>
      </c>
      <c r="L157" s="107" t="str">
        <f t="shared" si="79"/>
        <v>ninguno</v>
      </c>
      <c r="M157" s="107">
        <f t="shared" si="80"/>
        <v>0</v>
      </c>
      <c r="N157" s="84"/>
      <c r="O157" s="132" t="s">
        <v>926</v>
      </c>
      <c r="P157" s="59" t="str">
        <f t="shared" si="81"/>
        <v>ninguno</v>
      </c>
      <c r="Q157" s="59">
        <f t="shared" si="82"/>
        <v>0</v>
      </c>
      <c r="R157" s="84"/>
      <c r="S157" s="132" t="s">
        <v>926</v>
      </c>
      <c r="T157" s="107" t="str">
        <f t="shared" si="83"/>
        <v>ninguno</v>
      </c>
      <c r="U157" s="107">
        <f t="shared" si="84"/>
        <v>0</v>
      </c>
      <c r="V157" s="84"/>
    </row>
    <row r="158" spans="1:22" s="108" customFormat="1" ht="14.25" customHeight="1" x14ac:dyDescent="0.25">
      <c r="A158" s="119" t="s">
        <v>425</v>
      </c>
      <c r="B158" s="68" t="s">
        <v>424</v>
      </c>
      <c r="C158" s="99">
        <v>1</v>
      </c>
      <c r="D158" s="67"/>
      <c r="E158" s="61">
        <f t="shared" si="76"/>
        <v>131.328</v>
      </c>
      <c r="F158" s="188">
        <f t="shared" si="85"/>
        <v>21.89</v>
      </c>
      <c r="G158" s="118" t="s">
        <v>320</v>
      </c>
      <c r="H158" s="59" t="str">
        <f t="shared" si="77"/>
        <v>Quartz Slab</v>
      </c>
      <c r="I158" s="59">
        <f t="shared" si="78"/>
        <v>54.72</v>
      </c>
      <c r="J158" s="84">
        <v>2</v>
      </c>
      <c r="K158" s="132" t="s">
        <v>926</v>
      </c>
      <c r="L158" s="107" t="str">
        <f t="shared" si="79"/>
        <v>ninguno</v>
      </c>
      <c r="M158" s="107">
        <f t="shared" si="80"/>
        <v>0</v>
      </c>
      <c r="N158" s="84"/>
      <c r="O158" s="132" t="s">
        <v>926</v>
      </c>
      <c r="P158" s="59" t="str">
        <f t="shared" si="81"/>
        <v>ninguno</v>
      </c>
      <c r="Q158" s="59">
        <f t="shared" si="82"/>
        <v>0</v>
      </c>
      <c r="R158" s="84"/>
      <c r="S158" s="132" t="s">
        <v>926</v>
      </c>
      <c r="T158" s="107" t="str">
        <f t="shared" si="83"/>
        <v>ninguno</v>
      </c>
      <c r="U158" s="107">
        <f t="shared" si="84"/>
        <v>0</v>
      </c>
      <c r="V158" s="84"/>
    </row>
    <row r="159" spans="1:22" s="108" customFormat="1" ht="14.25" customHeight="1" x14ac:dyDescent="0.25">
      <c r="A159" s="119" t="s">
        <v>427</v>
      </c>
      <c r="B159" s="68" t="s">
        <v>426</v>
      </c>
      <c r="C159" s="99">
        <v>2</v>
      </c>
      <c r="D159" s="67"/>
      <c r="E159" s="61">
        <f t="shared" si="76"/>
        <v>109.44</v>
      </c>
      <c r="F159" s="188">
        <f t="shared" si="85"/>
        <v>18.239999999999998</v>
      </c>
      <c r="G159" s="118">
        <v>155</v>
      </c>
      <c r="H159" s="59" t="str">
        <f t="shared" si="77"/>
        <v>Quartz Block</v>
      </c>
      <c r="I159" s="59">
        <f t="shared" si="78"/>
        <v>91.2</v>
      </c>
      <c r="J159" s="84">
        <v>2</v>
      </c>
      <c r="K159" s="132" t="s">
        <v>926</v>
      </c>
      <c r="L159" s="107" t="str">
        <f t="shared" si="79"/>
        <v>ninguno</v>
      </c>
      <c r="M159" s="107">
        <f t="shared" si="80"/>
        <v>0</v>
      </c>
      <c r="N159" s="84"/>
      <c r="O159" s="132" t="s">
        <v>926</v>
      </c>
      <c r="P159" s="59" t="str">
        <f t="shared" si="81"/>
        <v>ninguno</v>
      </c>
      <c r="Q159" s="59">
        <f t="shared" si="82"/>
        <v>0</v>
      </c>
      <c r="R159" s="84"/>
      <c r="S159" s="132" t="s">
        <v>926</v>
      </c>
      <c r="T159" s="107" t="str">
        <f t="shared" si="83"/>
        <v>ninguno</v>
      </c>
      <c r="U159" s="107">
        <f t="shared" si="84"/>
        <v>0</v>
      </c>
      <c r="V159" s="84"/>
    </row>
    <row r="160" spans="1:22" s="108" customFormat="1" ht="14.25" customHeight="1" x14ac:dyDescent="0.25">
      <c r="A160" s="119">
        <v>156</v>
      </c>
      <c r="B160" s="68" t="s">
        <v>428</v>
      </c>
      <c r="C160" s="99">
        <v>4</v>
      </c>
      <c r="D160" s="67"/>
      <c r="E160" s="61">
        <f t="shared" si="76"/>
        <v>164.16</v>
      </c>
      <c r="F160" s="188">
        <f t="shared" si="85"/>
        <v>27.36</v>
      </c>
      <c r="G160" s="118">
        <v>155</v>
      </c>
      <c r="H160" s="59" t="str">
        <f t="shared" si="77"/>
        <v>Quartz Block</v>
      </c>
      <c r="I160" s="59">
        <f t="shared" si="78"/>
        <v>91.2</v>
      </c>
      <c r="J160" s="84">
        <v>6</v>
      </c>
      <c r="K160" s="132" t="s">
        <v>926</v>
      </c>
      <c r="L160" s="107" t="str">
        <f t="shared" si="79"/>
        <v>ninguno</v>
      </c>
      <c r="M160" s="107">
        <f t="shared" si="80"/>
        <v>0</v>
      </c>
      <c r="N160" s="84"/>
      <c r="O160" s="132" t="s">
        <v>926</v>
      </c>
      <c r="P160" s="59" t="str">
        <f t="shared" si="81"/>
        <v>ninguno</v>
      </c>
      <c r="Q160" s="59">
        <f t="shared" si="82"/>
        <v>0</v>
      </c>
      <c r="R160" s="84"/>
      <c r="S160" s="132" t="s">
        <v>926</v>
      </c>
      <c r="T160" s="107" t="str">
        <f t="shared" si="83"/>
        <v>ninguno</v>
      </c>
      <c r="U160" s="107">
        <f t="shared" si="84"/>
        <v>0</v>
      </c>
      <c r="V160" s="84"/>
    </row>
    <row r="161" spans="1:22" s="108" customFormat="1" ht="14.25" customHeight="1" x14ac:dyDescent="0.25">
      <c r="A161" s="119">
        <v>157</v>
      </c>
      <c r="B161" s="68" t="s">
        <v>429</v>
      </c>
      <c r="C161" s="99">
        <v>6</v>
      </c>
      <c r="D161" s="67"/>
      <c r="E161" s="61">
        <f t="shared" si="76"/>
        <v>963.75839999999994</v>
      </c>
      <c r="F161" s="188">
        <f t="shared" si="85"/>
        <v>160.63</v>
      </c>
      <c r="G161" s="118">
        <v>265</v>
      </c>
      <c r="H161" s="59" t="str">
        <f t="shared" ref="H161:H192" si="86">VLOOKUP(G161,LISTAITEMS,2,FALSE)</f>
        <v>Iron Ingot</v>
      </c>
      <c r="I161" s="59">
        <f t="shared" ref="I161:I194" si="87">VLOOKUP(G161,LISTAITEMS,5,FALSE)</f>
        <v>800</v>
      </c>
      <c r="J161" s="84">
        <v>6</v>
      </c>
      <c r="K161" s="132">
        <v>280</v>
      </c>
      <c r="L161" s="107" t="str">
        <f t="shared" ref="L161:L192" si="88">VLOOKUP(K161,LISTAITEMS,2,FALSE)</f>
        <v>Stick</v>
      </c>
      <c r="M161" s="107">
        <f t="shared" ref="M161:M194" si="89">VLOOKUP(K161,LISTAITEMS,5,FALSE)</f>
        <v>0.36</v>
      </c>
      <c r="N161" s="84">
        <v>1</v>
      </c>
      <c r="O161" s="132">
        <v>76</v>
      </c>
      <c r="P161" s="59" t="str">
        <f t="shared" ref="P161:P192" si="90">VLOOKUP(O161,LISTAITEMS,2,FALSE)</f>
        <v>Redstone Torch</v>
      </c>
      <c r="Q161" s="59">
        <f t="shared" ref="Q161:Q194" si="91">VLOOKUP(O161,LISTAITEMS,5,FALSE)</f>
        <v>18.431999999999999</v>
      </c>
      <c r="R161" s="84">
        <v>1</v>
      </c>
      <c r="S161" s="132" t="s">
        <v>926</v>
      </c>
      <c r="T161" s="107" t="str">
        <f t="shared" ref="T161:T192" si="92">VLOOKUP(S161,LISTAITEMS,2,FALSE)</f>
        <v>ninguno</v>
      </c>
      <c r="U161" s="107">
        <f t="shared" ref="U161:U194" si="93">VLOOKUP(S161,LISTAITEMS,5,FALSE)</f>
        <v>0</v>
      </c>
      <c r="V161" s="84"/>
    </row>
    <row r="162" spans="1:22" s="108" customFormat="1" ht="14.25" customHeight="1" x14ac:dyDescent="0.25">
      <c r="A162" s="119">
        <v>158</v>
      </c>
      <c r="B162" s="68" t="s">
        <v>430</v>
      </c>
      <c r="C162" s="99">
        <v>1</v>
      </c>
      <c r="D162" s="67"/>
      <c r="E162" s="61">
        <f t="shared" si="76"/>
        <v>829.43999999999994</v>
      </c>
      <c r="F162" s="188">
        <f t="shared" si="85"/>
        <v>138.24</v>
      </c>
      <c r="G162" s="118">
        <v>172</v>
      </c>
      <c r="H162" s="59" t="str">
        <f t="shared" si="86"/>
        <v>Hardend Clay</v>
      </c>
      <c r="I162" s="59">
        <f t="shared" si="87"/>
        <v>86.399999999999991</v>
      </c>
      <c r="J162" s="84">
        <v>8</v>
      </c>
      <c r="K162" s="132" t="s">
        <v>926</v>
      </c>
      <c r="L162" s="107" t="str">
        <f t="shared" si="88"/>
        <v>ninguno</v>
      </c>
      <c r="M162" s="107">
        <f t="shared" si="89"/>
        <v>0</v>
      </c>
      <c r="N162" s="84"/>
      <c r="O162" s="132" t="s">
        <v>926</v>
      </c>
      <c r="P162" s="59" t="str">
        <f t="shared" si="90"/>
        <v>ninguno</v>
      </c>
      <c r="Q162" s="59">
        <f t="shared" si="91"/>
        <v>0</v>
      </c>
      <c r="R162" s="84"/>
      <c r="S162" s="132" t="s">
        <v>926</v>
      </c>
      <c r="T162" s="107" t="str">
        <f t="shared" si="92"/>
        <v>ninguno</v>
      </c>
      <c r="U162" s="107">
        <f t="shared" si="93"/>
        <v>0</v>
      </c>
      <c r="V162" s="84"/>
    </row>
    <row r="163" spans="1:22" s="108" customFormat="1" ht="14.25" customHeight="1" x14ac:dyDescent="0.25">
      <c r="A163" s="119">
        <v>159</v>
      </c>
      <c r="B163" s="68" t="s">
        <v>431</v>
      </c>
      <c r="C163" s="99">
        <v>8</v>
      </c>
      <c r="D163" s="67"/>
      <c r="E163" s="61">
        <f t="shared" si="76"/>
        <v>105.02999999999999</v>
      </c>
      <c r="F163" s="188">
        <f t="shared" si="85"/>
        <v>17.510000000000002</v>
      </c>
      <c r="G163" s="118">
        <v>172</v>
      </c>
      <c r="H163" s="59" t="str">
        <f t="shared" si="86"/>
        <v>Hardend Clay</v>
      </c>
      <c r="I163" s="59">
        <f t="shared" si="87"/>
        <v>86.399999999999991</v>
      </c>
      <c r="J163" s="84">
        <v>8</v>
      </c>
      <c r="K163" s="132" t="s">
        <v>678</v>
      </c>
      <c r="L163" s="107" t="str">
        <f t="shared" si="88"/>
        <v>Bone Meal</v>
      </c>
      <c r="M163" s="107">
        <f t="shared" si="89"/>
        <v>9</v>
      </c>
      <c r="N163" s="84">
        <v>1</v>
      </c>
      <c r="O163" s="132" t="s">
        <v>926</v>
      </c>
      <c r="P163" s="59" t="str">
        <f t="shared" si="90"/>
        <v>ninguno</v>
      </c>
      <c r="Q163" s="59">
        <f t="shared" si="91"/>
        <v>0</v>
      </c>
      <c r="R163" s="84"/>
      <c r="S163" s="132" t="s">
        <v>926</v>
      </c>
      <c r="T163" s="107" t="str">
        <f t="shared" si="92"/>
        <v>ninguno</v>
      </c>
      <c r="U163" s="107">
        <f t="shared" si="93"/>
        <v>0</v>
      </c>
      <c r="V163" s="84"/>
    </row>
    <row r="164" spans="1:22" s="108" customFormat="1" ht="14.25" customHeight="1" x14ac:dyDescent="0.25">
      <c r="A164" s="119" t="s">
        <v>433</v>
      </c>
      <c r="B164" s="68" t="s">
        <v>432</v>
      </c>
      <c r="C164" s="99">
        <v>8</v>
      </c>
      <c r="D164" s="67"/>
      <c r="E164" s="61">
        <f t="shared" ref="E164:E194" si="94">(((I164*J164)+(M164*N164)+(Q164*R164)+(U164*V164))/C164)*1.2</f>
        <v>106.91999999999999</v>
      </c>
      <c r="F164" s="188">
        <f t="shared" si="85"/>
        <v>17.82</v>
      </c>
      <c r="G164" s="118">
        <v>172</v>
      </c>
      <c r="H164" s="59" t="str">
        <f t="shared" si="86"/>
        <v>Hardend Clay</v>
      </c>
      <c r="I164" s="59">
        <f t="shared" si="87"/>
        <v>86.399999999999991</v>
      </c>
      <c r="J164" s="84">
        <v>8</v>
      </c>
      <c r="K164" s="132" t="s">
        <v>676</v>
      </c>
      <c r="L164" s="107" t="str">
        <f t="shared" si="88"/>
        <v>Orange Dye</v>
      </c>
      <c r="M164" s="107">
        <f t="shared" si="89"/>
        <v>21.599999999999998</v>
      </c>
      <c r="N164" s="84">
        <v>1</v>
      </c>
      <c r="O164" s="132" t="s">
        <v>926</v>
      </c>
      <c r="P164" s="59" t="str">
        <f t="shared" si="90"/>
        <v>ninguno</v>
      </c>
      <c r="Q164" s="59">
        <f t="shared" si="91"/>
        <v>0</v>
      </c>
      <c r="R164" s="84"/>
      <c r="S164" s="132" t="s">
        <v>926</v>
      </c>
      <c r="T164" s="107" t="str">
        <f t="shared" si="92"/>
        <v>ninguno</v>
      </c>
      <c r="U164" s="107">
        <f t="shared" si="93"/>
        <v>0</v>
      </c>
      <c r="V164" s="84"/>
    </row>
    <row r="165" spans="1:22" s="108" customFormat="1" ht="14.25" customHeight="1" x14ac:dyDescent="0.25">
      <c r="A165" s="119" t="s">
        <v>435</v>
      </c>
      <c r="B165" s="68" t="s">
        <v>434</v>
      </c>
      <c r="C165" s="99">
        <v>8</v>
      </c>
      <c r="D165" s="67"/>
      <c r="E165" s="61">
        <f t="shared" si="94"/>
        <v>111.45599999999999</v>
      </c>
      <c r="F165" s="188">
        <f t="shared" si="85"/>
        <v>18.580000000000002</v>
      </c>
      <c r="G165" s="118">
        <v>172</v>
      </c>
      <c r="H165" s="59" t="str">
        <f t="shared" si="86"/>
        <v>Hardend Clay</v>
      </c>
      <c r="I165" s="59">
        <f t="shared" si="87"/>
        <v>86.399999999999991</v>
      </c>
      <c r="J165" s="84">
        <v>8</v>
      </c>
      <c r="K165" s="132" t="s">
        <v>674</v>
      </c>
      <c r="L165" s="107" t="str">
        <f t="shared" si="88"/>
        <v>Magenta Dye</v>
      </c>
      <c r="M165" s="107">
        <f t="shared" si="89"/>
        <v>51.839999999999996</v>
      </c>
      <c r="N165" s="84">
        <v>1</v>
      </c>
      <c r="O165" s="132" t="s">
        <v>926</v>
      </c>
      <c r="P165" s="59" t="str">
        <f t="shared" si="90"/>
        <v>ninguno</v>
      </c>
      <c r="Q165" s="59">
        <f t="shared" si="91"/>
        <v>0</v>
      </c>
      <c r="R165" s="84"/>
      <c r="S165" s="132" t="s">
        <v>926</v>
      </c>
      <c r="T165" s="107" t="str">
        <f t="shared" si="92"/>
        <v>ninguno</v>
      </c>
      <c r="U165" s="107">
        <f t="shared" si="93"/>
        <v>0</v>
      </c>
      <c r="V165" s="84"/>
    </row>
    <row r="166" spans="1:22" s="108" customFormat="1" ht="14.25" customHeight="1" x14ac:dyDescent="0.25">
      <c r="A166" s="119" t="s">
        <v>437</v>
      </c>
      <c r="B166" s="68" t="s">
        <v>436</v>
      </c>
      <c r="C166" s="99">
        <v>8</v>
      </c>
      <c r="D166" s="67"/>
      <c r="E166" s="61">
        <f t="shared" si="94"/>
        <v>106.91999999999999</v>
      </c>
      <c r="F166" s="188">
        <f t="shared" si="85"/>
        <v>17.82</v>
      </c>
      <c r="G166" s="118">
        <v>172</v>
      </c>
      <c r="H166" s="59" t="str">
        <f t="shared" si="86"/>
        <v>Hardend Clay</v>
      </c>
      <c r="I166" s="59">
        <f t="shared" si="87"/>
        <v>86.399999999999991</v>
      </c>
      <c r="J166" s="84">
        <v>8</v>
      </c>
      <c r="K166" s="132" t="s">
        <v>672</v>
      </c>
      <c r="L166" s="107" t="str">
        <f t="shared" si="88"/>
        <v>Light Blue Dye</v>
      </c>
      <c r="M166" s="107">
        <f t="shared" si="89"/>
        <v>21.599999999999998</v>
      </c>
      <c r="N166" s="84">
        <v>1</v>
      </c>
      <c r="O166" s="132" t="s">
        <v>926</v>
      </c>
      <c r="P166" s="59" t="str">
        <f t="shared" si="90"/>
        <v>ninguno</v>
      </c>
      <c r="Q166" s="59">
        <f t="shared" si="91"/>
        <v>0</v>
      </c>
      <c r="R166" s="84"/>
      <c r="S166" s="132" t="s">
        <v>926</v>
      </c>
      <c r="T166" s="107" t="str">
        <f t="shared" si="92"/>
        <v>ninguno</v>
      </c>
      <c r="U166" s="107">
        <f t="shared" si="93"/>
        <v>0</v>
      </c>
      <c r="V166" s="84"/>
    </row>
    <row r="167" spans="1:22" s="108" customFormat="1" ht="14.25" customHeight="1" x14ac:dyDescent="0.25">
      <c r="A167" s="119" t="s">
        <v>439</v>
      </c>
      <c r="B167" s="68" t="s">
        <v>438</v>
      </c>
      <c r="C167" s="99">
        <v>8</v>
      </c>
      <c r="D167" s="67"/>
      <c r="E167" s="61">
        <f t="shared" si="94"/>
        <v>105.02999999999999</v>
      </c>
      <c r="F167" s="188">
        <f t="shared" si="85"/>
        <v>17.510000000000002</v>
      </c>
      <c r="G167" s="118">
        <v>172</v>
      </c>
      <c r="H167" s="59" t="str">
        <f t="shared" si="86"/>
        <v>Hardend Clay</v>
      </c>
      <c r="I167" s="59">
        <f t="shared" si="87"/>
        <v>86.399999999999991</v>
      </c>
      <c r="J167" s="84">
        <v>8</v>
      </c>
      <c r="K167" s="132" t="s">
        <v>670</v>
      </c>
      <c r="L167" s="107" t="str">
        <f t="shared" si="88"/>
        <v>Yellow Dye</v>
      </c>
      <c r="M167" s="107">
        <f t="shared" si="89"/>
        <v>9</v>
      </c>
      <c r="N167" s="84">
        <v>1</v>
      </c>
      <c r="O167" s="132" t="s">
        <v>926</v>
      </c>
      <c r="P167" s="59" t="str">
        <f t="shared" si="90"/>
        <v>ninguno</v>
      </c>
      <c r="Q167" s="59">
        <f t="shared" si="91"/>
        <v>0</v>
      </c>
      <c r="R167" s="84"/>
      <c r="S167" s="132" t="s">
        <v>926</v>
      </c>
      <c r="T167" s="107" t="str">
        <f t="shared" si="92"/>
        <v>ninguno</v>
      </c>
      <c r="U167" s="107">
        <f t="shared" si="93"/>
        <v>0</v>
      </c>
      <c r="V167" s="84"/>
    </row>
    <row r="168" spans="1:22" s="108" customFormat="1" ht="14.25" customHeight="1" x14ac:dyDescent="0.25">
      <c r="A168" s="119" t="s">
        <v>441</v>
      </c>
      <c r="B168" s="68" t="s">
        <v>440</v>
      </c>
      <c r="C168" s="99">
        <v>8</v>
      </c>
      <c r="D168" s="67"/>
      <c r="E168" s="61">
        <f t="shared" si="94"/>
        <v>108.53999999999998</v>
      </c>
      <c r="F168" s="188">
        <f t="shared" si="85"/>
        <v>18.09</v>
      </c>
      <c r="G168" s="118">
        <v>172</v>
      </c>
      <c r="H168" s="59" t="str">
        <f t="shared" si="86"/>
        <v>Hardend Clay</v>
      </c>
      <c r="I168" s="59">
        <f t="shared" si="87"/>
        <v>86.399999999999991</v>
      </c>
      <c r="J168" s="84">
        <v>8</v>
      </c>
      <c r="K168" s="132" t="s">
        <v>668</v>
      </c>
      <c r="L168" s="107" t="str">
        <f t="shared" si="88"/>
        <v>Lime Dye</v>
      </c>
      <c r="M168" s="107">
        <f t="shared" si="89"/>
        <v>32.4</v>
      </c>
      <c r="N168" s="84">
        <v>1</v>
      </c>
      <c r="O168" s="132" t="s">
        <v>926</v>
      </c>
      <c r="P168" s="59" t="str">
        <f t="shared" si="90"/>
        <v>ninguno</v>
      </c>
      <c r="Q168" s="59">
        <f t="shared" si="91"/>
        <v>0</v>
      </c>
      <c r="R168" s="84"/>
      <c r="S168" s="132" t="s">
        <v>926</v>
      </c>
      <c r="T168" s="107" t="str">
        <f t="shared" si="92"/>
        <v>ninguno</v>
      </c>
      <c r="U168" s="107">
        <f t="shared" si="93"/>
        <v>0</v>
      </c>
      <c r="V168" s="84"/>
    </row>
    <row r="169" spans="1:22" s="108" customFormat="1" ht="14.25" customHeight="1" x14ac:dyDescent="0.25">
      <c r="A169" s="119" t="s">
        <v>443</v>
      </c>
      <c r="B169" s="68" t="s">
        <v>442</v>
      </c>
      <c r="C169" s="99">
        <v>8</v>
      </c>
      <c r="D169" s="67"/>
      <c r="E169" s="61">
        <f t="shared" si="94"/>
        <v>106.91999999999999</v>
      </c>
      <c r="F169" s="188">
        <f t="shared" si="85"/>
        <v>17.82</v>
      </c>
      <c r="G169" s="118">
        <v>172</v>
      </c>
      <c r="H169" s="59" t="str">
        <f t="shared" si="86"/>
        <v>Hardend Clay</v>
      </c>
      <c r="I169" s="59">
        <f t="shared" si="87"/>
        <v>86.399999999999991</v>
      </c>
      <c r="J169" s="84">
        <v>8</v>
      </c>
      <c r="K169" s="132" t="s">
        <v>666</v>
      </c>
      <c r="L169" s="107" t="str">
        <f t="shared" si="88"/>
        <v>Pink Dye</v>
      </c>
      <c r="M169" s="107">
        <f t="shared" si="89"/>
        <v>21.599999999999998</v>
      </c>
      <c r="N169" s="84">
        <v>1</v>
      </c>
      <c r="O169" s="132" t="s">
        <v>926</v>
      </c>
      <c r="P169" s="59" t="str">
        <f t="shared" si="90"/>
        <v>ninguno</v>
      </c>
      <c r="Q169" s="59">
        <f t="shared" si="91"/>
        <v>0</v>
      </c>
      <c r="R169" s="84"/>
      <c r="S169" s="132" t="s">
        <v>926</v>
      </c>
      <c r="T169" s="107" t="str">
        <f t="shared" si="92"/>
        <v>ninguno</v>
      </c>
      <c r="U169" s="107">
        <f t="shared" si="93"/>
        <v>0</v>
      </c>
      <c r="V169" s="84"/>
    </row>
    <row r="170" spans="1:22" s="108" customFormat="1" ht="14.25" customHeight="1" x14ac:dyDescent="0.25">
      <c r="A170" s="119" t="s">
        <v>445</v>
      </c>
      <c r="B170" s="68" t="s">
        <v>444</v>
      </c>
      <c r="C170" s="99">
        <v>8</v>
      </c>
      <c r="D170" s="67"/>
      <c r="E170" s="61">
        <f t="shared" si="94"/>
        <v>106.91999999999999</v>
      </c>
      <c r="F170" s="188">
        <f t="shared" si="85"/>
        <v>17.82</v>
      </c>
      <c r="G170" s="118">
        <v>172</v>
      </c>
      <c r="H170" s="59" t="str">
        <f t="shared" si="86"/>
        <v>Hardend Clay</v>
      </c>
      <c r="I170" s="59">
        <f t="shared" si="87"/>
        <v>86.399999999999991</v>
      </c>
      <c r="J170" s="84">
        <v>8</v>
      </c>
      <c r="K170" s="132" t="s">
        <v>664</v>
      </c>
      <c r="L170" s="107" t="str">
        <f t="shared" si="88"/>
        <v>Gray Dye</v>
      </c>
      <c r="M170" s="107">
        <f t="shared" si="89"/>
        <v>21.599999999999998</v>
      </c>
      <c r="N170" s="84">
        <v>1</v>
      </c>
      <c r="O170" s="132" t="s">
        <v>926</v>
      </c>
      <c r="P170" s="59" t="str">
        <f t="shared" si="90"/>
        <v>ninguno</v>
      </c>
      <c r="Q170" s="59">
        <f t="shared" si="91"/>
        <v>0</v>
      </c>
      <c r="R170" s="84"/>
      <c r="S170" s="132" t="s">
        <v>926</v>
      </c>
      <c r="T170" s="107" t="str">
        <f t="shared" si="92"/>
        <v>ninguno</v>
      </c>
      <c r="U170" s="107">
        <f t="shared" si="93"/>
        <v>0</v>
      </c>
      <c r="V170" s="84"/>
    </row>
    <row r="171" spans="1:22" s="108" customFormat="1" ht="14.25" customHeight="1" x14ac:dyDescent="0.25">
      <c r="A171" s="119" t="s">
        <v>447</v>
      </c>
      <c r="B171" s="68" t="s">
        <v>446</v>
      </c>
      <c r="C171" s="99">
        <v>8</v>
      </c>
      <c r="D171" s="67"/>
      <c r="E171" s="61">
        <f t="shared" si="94"/>
        <v>109.18799999999999</v>
      </c>
      <c r="F171" s="188">
        <f t="shared" si="85"/>
        <v>18.200000000000003</v>
      </c>
      <c r="G171" s="118">
        <v>172</v>
      </c>
      <c r="H171" s="59" t="str">
        <f t="shared" si="86"/>
        <v>Hardend Clay</v>
      </c>
      <c r="I171" s="59">
        <f t="shared" si="87"/>
        <v>86.399999999999991</v>
      </c>
      <c r="J171" s="84">
        <v>8</v>
      </c>
      <c r="K171" s="132" t="s">
        <v>662</v>
      </c>
      <c r="L171" s="107" t="str">
        <f t="shared" si="88"/>
        <v>Light Gray Dye</v>
      </c>
      <c r="M171" s="107">
        <f t="shared" si="89"/>
        <v>36.72</v>
      </c>
      <c r="N171" s="84">
        <v>1</v>
      </c>
      <c r="O171" s="132" t="s">
        <v>926</v>
      </c>
      <c r="P171" s="59" t="str">
        <f t="shared" si="90"/>
        <v>ninguno</v>
      </c>
      <c r="Q171" s="59">
        <f t="shared" si="91"/>
        <v>0</v>
      </c>
      <c r="R171" s="84"/>
      <c r="S171" s="132" t="s">
        <v>926</v>
      </c>
      <c r="T171" s="107" t="str">
        <f t="shared" si="92"/>
        <v>ninguno</v>
      </c>
      <c r="U171" s="107">
        <f t="shared" si="93"/>
        <v>0</v>
      </c>
      <c r="V171" s="84"/>
    </row>
    <row r="172" spans="1:22" s="108" customFormat="1" ht="14.25" customHeight="1" x14ac:dyDescent="0.25">
      <c r="A172" s="119" t="s">
        <v>449</v>
      </c>
      <c r="B172" s="68" t="s">
        <v>448</v>
      </c>
      <c r="C172" s="99">
        <v>8</v>
      </c>
      <c r="D172" s="67"/>
      <c r="E172" s="61">
        <f t="shared" si="94"/>
        <v>106.91999999999999</v>
      </c>
      <c r="F172" s="188">
        <f t="shared" si="85"/>
        <v>17.82</v>
      </c>
      <c r="G172" s="118">
        <v>172</v>
      </c>
      <c r="H172" s="59" t="str">
        <f t="shared" si="86"/>
        <v>Hardend Clay</v>
      </c>
      <c r="I172" s="59">
        <f t="shared" si="87"/>
        <v>86.399999999999991</v>
      </c>
      <c r="J172" s="84">
        <v>8</v>
      </c>
      <c r="K172" s="132" t="s">
        <v>660</v>
      </c>
      <c r="L172" s="107" t="str">
        <f t="shared" si="88"/>
        <v>Cyan Dye</v>
      </c>
      <c r="M172" s="107">
        <f t="shared" si="89"/>
        <v>21.599999999999998</v>
      </c>
      <c r="N172" s="84">
        <v>1</v>
      </c>
      <c r="O172" s="132" t="s">
        <v>926</v>
      </c>
      <c r="P172" s="59" t="str">
        <f t="shared" si="90"/>
        <v>ninguno</v>
      </c>
      <c r="Q172" s="59">
        <f t="shared" si="91"/>
        <v>0</v>
      </c>
      <c r="R172" s="84"/>
      <c r="S172" s="132" t="s">
        <v>926</v>
      </c>
      <c r="T172" s="107" t="str">
        <f t="shared" si="92"/>
        <v>ninguno</v>
      </c>
      <c r="U172" s="107">
        <f t="shared" si="93"/>
        <v>0</v>
      </c>
      <c r="V172" s="84"/>
    </row>
    <row r="173" spans="1:22" s="108" customFormat="1" ht="14.25" customHeight="1" x14ac:dyDescent="0.25">
      <c r="A173" s="119" t="s">
        <v>451</v>
      </c>
      <c r="B173" s="68" t="s">
        <v>450</v>
      </c>
      <c r="C173" s="99">
        <v>8</v>
      </c>
      <c r="D173" s="67"/>
      <c r="E173" s="61">
        <f t="shared" si="94"/>
        <v>106.91999999999999</v>
      </c>
      <c r="F173" s="188">
        <f t="shared" si="85"/>
        <v>17.82</v>
      </c>
      <c r="G173" s="118">
        <v>172</v>
      </c>
      <c r="H173" s="59" t="str">
        <f t="shared" si="86"/>
        <v>Hardend Clay</v>
      </c>
      <c r="I173" s="59">
        <f t="shared" si="87"/>
        <v>86.399999999999991</v>
      </c>
      <c r="J173" s="84">
        <v>8</v>
      </c>
      <c r="K173" s="132" t="s">
        <v>658</v>
      </c>
      <c r="L173" s="107" t="str">
        <f t="shared" si="88"/>
        <v>Purple Dye</v>
      </c>
      <c r="M173" s="107">
        <f t="shared" si="89"/>
        <v>21.599999999999998</v>
      </c>
      <c r="N173" s="84">
        <v>1</v>
      </c>
      <c r="O173" s="132" t="s">
        <v>926</v>
      </c>
      <c r="P173" s="59" t="str">
        <f t="shared" si="90"/>
        <v>ninguno</v>
      </c>
      <c r="Q173" s="59">
        <f t="shared" si="91"/>
        <v>0</v>
      </c>
      <c r="R173" s="84"/>
      <c r="S173" s="132" t="s">
        <v>926</v>
      </c>
      <c r="T173" s="107" t="str">
        <f t="shared" si="92"/>
        <v>ninguno</v>
      </c>
      <c r="U173" s="107">
        <f t="shared" si="93"/>
        <v>0</v>
      </c>
      <c r="V173" s="84"/>
    </row>
    <row r="174" spans="1:22" s="108" customFormat="1" ht="14.25" customHeight="1" x14ac:dyDescent="0.25">
      <c r="A174" s="119" t="s">
        <v>453</v>
      </c>
      <c r="B174" s="68" t="s">
        <v>452</v>
      </c>
      <c r="C174" s="99">
        <v>8</v>
      </c>
      <c r="D174" s="67"/>
      <c r="E174" s="61">
        <f t="shared" si="94"/>
        <v>105.02999999999999</v>
      </c>
      <c r="F174" s="188">
        <f t="shared" si="85"/>
        <v>17.510000000000002</v>
      </c>
      <c r="G174" s="118">
        <v>172</v>
      </c>
      <c r="H174" s="59" t="str">
        <f t="shared" si="86"/>
        <v>Hardend Clay</v>
      </c>
      <c r="I174" s="59">
        <f t="shared" si="87"/>
        <v>86.399999999999991</v>
      </c>
      <c r="J174" s="84">
        <v>8</v>
      </c>
      <c r="K174" s="132" t="s">
        <v>656</v>
      </c>
      <c r="L174" s="107" t="str">
        <f t="shared" si="88"/>
        <v>Lapis Lazuli</v>
      </c>
      <c r="M174" s="107">
        <f t="shared" si="89"/>
        <v>9</v>
      </c>
      <c r="N174" s="84">
        <v>1</v>
      </c>
      <c r="O174" s="132" t="s">
        <v>926</v>
      </c>
      <c r="P174" s="59" t="str">
        <f t="shared" si="90"/>
        <v>ninguno</v>
      </c>
      <c r="Q174" s="59">
        <f t="shared" si="91"/>
        <v>0</v>
      </c>
      <c r="R174" s="84"/>
      <c r="S174" s="132" t="s">
        <v>926</v>
      </c>
      <c r="T174" s="107" t="str">
        <f t="shared" si="92"/>
        <v>ninguno</v>
      </c>
      <c r="U174" s="107">
        <f t="shared" si="93"/>
        <v>0</v>
      </c>
      <c r="V174" s="84"/>
    </row>
    <row r="175" spans="1:22" s="108" customFormat="1" ht="14.25" customHeight="1" x14ac:dyDescent="0.25">
      <c r="A175" s="119" t="s">
        <v>455</v>
      </c>
      <c r="B175" s="68" t="s">
        <v>454</v>
      </c>
      <c r="C175" s="99">
        <v>8</v>
      </c>
      <c r="D175" s="67"/>
      <c r="E175" s="61">
        <f t="shared" si="94"/>
        <v>105.02999999999999</v>
      </c>
      <c r="F175" s="188">
        <f t="shared" si="85"/>
        <v>17.510000000000002</v>
      </c>
      <c r="G175" s="118">
        <v>172</v>
      </c>
      <c r="H175" s="59" t="str">
        <f t="shared" si="86"/>
        <v>Hardend Clay</v>
      </c>
      <c r="I175" s="59">
        <f t="shared" si="87"/>
        <v>86.399999999999991</v>
      </c>
      <c r="J175" s="84">
        <v>8</v>
      </c>
      <c r="K175" s="132" t="s">
        <v>654</v>
      </c>
      <c r="L175" s="107" t="str">
        <f t="shared" si="88"/>
        <v>Cocoa Bean</v>
      </c>
      <c r="M175" s="107">
        <f t="shared" si="89"/>
        <v>9</v>
      </c>
      <c r="N175" s="84">
        <v>1</v>
      </c>
      <c r="O175" s="132" t="s">
        <v>926</v>
      </c>
      <c r="P175" s="59" t="str">
        <f t="shared" si="90"/>
        <v>ninguno</v>
      </c>
      <c r="Q175" s="59">
        <f t="shared" si="91"/>
        <v>0</v>
      </c>
      <c r="R175" s="84"/>
      <c r="S175" s="132" t="s">
        <v>926</v>
      </c>
      <c r="T175" s="107" t="str">
        <f t="shared" si="92"/>
        <v>ninguno</v>
      </c>
      <c r="U175" s="107">
        <f t="shared" si="93"/>
        <v>0</v>
      </c>
      <c r="V175" s="84"/>
    </row>
    <row r="176" spans="1:22" s="108" customFormat="1" ht="14.25" customHeight="1" x14ac:dyDescent="0.25">
      <c r="A176" s="119" t="s">
        <v>457</v>
      </c>
      <c r="B176" s="68" t="s">
        <v>456</v>
      </c>
      <c r="C176" s="99">
        <v>8</v>
      </c>
      <c r="D176" s="67"/>
      <c r="E176" s="61">
        <f t="shared" si="94"/>
        <v>105.02999999999999</v>
      </c>
      <c r="F176" s="188">
        <f t="shared" si="85"/>
        <v>17.510000000000002</v>
      </c>
      <c r="G176" s="118">
        <v>172</v>
      </c>
      <c r="H176" s="59" t="str">
        <f t="shared" si="86"/>
        <v>Hardend Clay</v>
      </c>
      <c r="I176" s="59">
        <f t="shared" si="87"/>
        <v>86.399999999999991</v>
      </c>
      <c r="J176" s="84">
        <v>8</v>
      </c>
      <c r="K176" s="132" t="s">
        <v>652</v>
      </c>
      <c r="L176" s="107" t="str">
        <f t="shared" si="88"/>
        <v>Cactus Green Dye</v>
      </c>
      <c r="M176" s="107">
        <f t="shared" si="89"/>
        <v>9</v>
      </c>
      <c r="N176" s="84">
        <v>1</v>
      </c>
      <c r="O176" s="132" t="s">
        <v>926</v>
      </c>
      <c r="P176" s="59" t="str">
        <f t="shared" si="90"/>
        <v>ninguno</v>
      </c>
      <c r="Q176" s="59">
        <f t="shared" si="91"/>
        <v>0</v>
      </c>
      <c r="R176" s="84"/>
      <c r="S176" s="132" t="s">
        <v>926</v>
      </c>
      <c r="T176" s="107" t="str">
        <f t="shared" si="92"/>
        <v>ninguno</v>
      </c>
      <c r="U176" s="107">
        <f t="shared" si="93"/>
        <v>0</v>
      </c>
      <c r="V176" s="84"/>
    </row>
    <row r="177" spans="1:22" s="108" customFormat="1" ht="14.25" customHeight="1" x14ac:dyDescent="0.25">
      <c r="A177" s="119" t="s">
        <v>459</v>
      </c>
      <c r="B177" s="68" t="s">
        <v>458</v>
      </c>
      <c r="C177" s="99">
        <v>8</v>
      </c>
      <c r="D177" s="67"/>
      <c r="E177" s="61">
        <f t="shared" si="94"/>
        <v>105.02999999999999</v>
      </c>
      <c r="F177" s="188">
        <f t="shared" si="85"/>
        <v>17.510000000000002</v>
      </c>
      <c r="G177" s="118">
        <v>172</v>
      </c>
      <c r="H177" s="59" t="str">
        <f t="shared" si="86"/>
        <v>Hardend Clay</v>
      </c>
      <c r="I177" s="59">
        <f t="shared" si="87"/>
        <v>86.399999999999991</v>
      </c>
      <c r="J177" s="84">
        <v>8</v>
      </c>
      <c r="K177" s="132" t="s">
        <v>650</v>
      </c>
      <c r="L177" s="107" t="str">
        <f t="shared" si="88"/>
        <v>Rose Red Dye</v>
      </c>
      <c r="M177" s="107">
        <f t="shared" si="89"/>
        <v>9</v>
      </c>
      <c r="N177" s="84">
        <v>1</v>
      </c>
      <c r="O177" s="132" t="s">
        <v>926</v>
      </c>
      <c r="P177" s="59" t="str">
        <f t="shared" si="90"/>
        <v>ninguno</v>
      </c>
      <c r="Q177" s="59">
        <f t="shared" si="91"/>
        <v>0</v>
      </c>
      <c r="R177" s="84"/>
      <c r="S177" s="132" t="s">
        <v>926</v>
      </c>
      <c r="T177" s="107" t="str">
        <f t="shared" si="92"/>
        <v>ninguno</v>
      </c>
      <c r="U177" s="107">
        <f t="shared" si="93"/>
        <v>0</v>
      </c>
      <c r="V177" s="84"/>
    </row>
    <row r="178" spans="1:22" s="108" customFormat="1" ht="14.25" customHeight="1" x14ac:dyDescent="0.25">
      <c r="A178" s="119" t="s">
        <v>461</v>
      </c>
      <c r="B178" s="68" t="s">
        <v>460</v>
      </c>
      <c r="C178" s="99">
        <v>8</v>
      </c>
      <c r="D178" s="67"/>
      <c r="E178" s="61">
        <f t="shared" si="94"/>
        <v>105.02999999999999</v>
      </c>
      <c r="F178" s="188">
        <f t="shared" si="85"/>
        <v>17.510000000000002</v>
      </c>
      <c r="G178" s="118">
        <v>172</v>
      </c>
      <c r="H178" s="59" t="str">
        <f t="shared" si="86"/>
        <v>Hardend Clay</v>
      </c>
      <c r="I178" s="59">
        <f t="shared" si="87"/>
        <v>86.399999999999991</v>
      </c>
      <c r="J178" s="84">
        <v>8</v>
      </c>
      <c r="K178" s="132">
        <v>351</v>
      </c>
      <c r="L178" s="107" t="str">
        <f t="shared" si="88"/>
        <v>Ink Sack</v>
      </c>
      <c r="M178" s="107">
        <f t="shared" si="89"/>
        <v>9</v>
      </c>
      <c r="N178" s="84">
        <v>1</v>
      </c>
      <c r="O178" s="132" t="s">
        <v>926</v>
      </c>
      <c r="P178" s="59" t="str">
        <f t="shared" si="90"/>
        <v>ninguno</v>
      </c>
      <c r="Q178" s="59">
        <f t="shared" si="91"/>
        <v>0</v>
      </c>
      <c r="R178" s="84"/>
      <c r="S178" s="132" t="s">
        <v>926</v>
      </c>
      <c r="T178" s="107" t="str">
        <f t="shared" si="92"/>
        <v>ninguno</v>
      </c>
      <c r="U178" s="107">
        <f t="shared" si="93"/>
        <v>0</v>
      </c>
      <c r="V178" s="84"/>
    </row>
    <row r="179" spans="1:22" s="108" customFormat="1" ht="14.25" customHeight="1" x14ac:dyDescent="0.25">
      <c r="A179" s="119">
        <v>160</v>
      </c>
      <c r="B179" s="68" t="s">
        <v>462</v>
      </c>
      <c r="C179" s="99">
        <v>16</v>
      </c>
      <c r="D179" s="67"/>
      <c r="E179" s="61">
        <f t="shared" si="94"/>
        <v>8.410499999999999</v>
      </c>
      <c r="F179" s="188">
        <f t="shared" si="85"/>
        <v>1.41</v>
      </c>
      <c r="G179" s="118">
        <v>95</v>
      </c>
      <c r="H179" s="59" t="str">
        <f t="shared" si="86"/>
        <v>White Stained Glass</v>
      </c>
      <c r="I179" s="59">
        <f t="shared" si="87"/>
        <v>17.189999999999998</v>
      </c>
      <c r="J179" s="84">
        <v>6</v>
      </c>
      <c r="K179" s="132" t="s">
        <v>678</v>
      </c>
      <c r="L179" s="107" t="str">
        <f t="shared" si="88"/>
        <v>Bone Meal</v>
      </c>
      <c r="M179" s="107">
        <f t="shared" si="89"/>
        <v>9</v>
      </c>
      <c r="N179" s="84">
        <v>1</v>
      </c>
      <c r="O179" s="132" t="s">
        <v>926</v>
      </c>
      <c r="P179" s="59" t="str">
        <f t="shared" si="90"/>
        <v>ninguno</v>
      </c>
      <c r="Q179" s="59">
        <f t="shared" si="91"/>
        <v>0</v>
      </c>
      <c r="R179" s="84"/>
      <c r="S179" s="132" t="s">
        <v>926</v>
      </c>
      <c r="T179" s="107" t="str">
        <f t="shared" si="92"/>
        <v>ninguno</v>
      </c>
      <c r="U179" s="107">
        <f t="shared" si="93"/>
        <v>0</v>
      </c>
      <c r="V179" s="84"/>
    </row>
    <row r="180" spans="1:22" s="108" customFormat="1" ht="14.25" customHeight="1" x14ac:dyDescent="0.25">
      <c r="A180" s="119" t="s">
        <v>464</v>
      </c>
      <c r="B180" s="68" t="s">
        <v>463</v>
      </c>
      <c r="C180" s="99">
        <v>16</v>
      </c>
      <c r="D180" s="67"/>
      <c r="E180" s="61">
        <f t="shared" si="94"/>
        <v>10.205999999999998</v>
      </c>
      <c r="F180" s="188">
        <f t="shared" si="85"/>
        <v>1.71</v>
      </c>
      <c r="G180" s="118" t="s">
        <v>347</v>
      </c>
      <c r="H180" s="59" t="str">
        <f t="shared" si="86"/>
        <v>Orange Stained Glass</v>
      </c>
      <c r="I180" s="59">
        <f t="shared" si="87"/>
        <v>19.079999999999998</v>
      </c>
      <c r="J180" s="84">
        <v>6</v>
      </c>
      <c r="K180" s="132" t="s">
        <v>676</v>
      </c>
      <c r="L180" s="107" t="str">
        <f t="shared" si="88"/>
        <v>Orange Dye</v>
      </c>
      <c r="M180" s="107">
        <f t="shared" si="89"/>
        <v>21.599999999999998</v>
      </c>
      <c r="N180" s="84">
        <v>1</v>
      </c>
      <c r="O180" s="132" t="s">
        <v>926</v>
      </c>
      <c r="P180" s="59" t="str">
        <f t="shared" si="90"/>
        <v>ninguno</v>
      </c>
      <c r="Q180" s="59">
        <f t="shared" si="91"/>
        <v>0</v>
      </c>
      <c r="R180" s="84"/>
      <c r="S180" s="132" t="s">
        <v>926</v>
      </c>
      <c r="T180" s="107" t="str">
        <f t="shared" si="92"/>
        <v>ninguno</v>
      </c>
      <c r="U180" s="107">
        <f t="shared" si="93"/>
        <v>0</v>
      </c>
      <c r="V180" s="84"/>
    </row>
    <row r="181" spans="1:22" s="108" customFormat="1" ht="14.25" customHeight="1" x14ac:dyDescent="0.25">
      <c r="A181" s="119" t="s">
        <v>466</v>
      </c>
      <c r="B181" s="68" t="s">
        <v>465</v>
      </c>
      <c r="C181" s="99">
        <v>16</v>
      </c>
      <c r="D181" s="67"/>
      <c r="E181" s="61">
        <f t="shared" si="94"/>
        <v>14.5152</v>
      </c>
      <c r="F181" s="188">
        <f t="shared" si="85"/>
        <v>2.42</v>
      </c>
      <c r="G181" s="118" t="s">
        <v>349</v>
      </c>
      <c r="H181" s="59" t="str">
        <f t="shared" si="86"/>
        <v>Magenta Stained Glass</v>
      </c>
      <c r="I181" s="59">
        <f t="shared" si="87"/>
        <v>23.616</v>
      </c>
      <c r="J181" s="84">
        <v>6</v>
      </c>
      <c r="K181" s="132" t="s">
        <v>674</v>
      </c>
      <c r="L181" s="107" t="str">
        <f t="shared" si="88"/>
        <v>Magenta Dye</v>
      </c>
      <c r="M181" s="107">
        <f t="shared" si="89"/>
        <v>51.839999999999996</v>
      </c>
      <c r="N181" s="84">
        <v>1</v>
      </c>
      <c r="O181" s="132" t="s">
        <v>926</v>
      </c>
      <c r="P181" s="59" t="str">
        <f t="shared" si="90"/>
        <v>ninguno</v>
      </c>
      <c r="Q181" s="59">
        <f t="shared" si="91"/>
        <v>0</v>
      </c>
      <c r="R181" s="84"/>
      <c r="S181" s="132" t="s">
        <v>926</v>
      </c>
      <c r="T181" s="107" t="str">
        <f t="shared" si="92"/>
        <v>ninguno</v>
      </c>
      <c r="U181" s="107">
        <f t="shared" si="93"/>
        <v>0</v>
      </c>
      <c r="V181" s="84"/>
    </row>
    <row r="182" spans="1:22" s="108" customFormat="1" ht="14.25" customHeight="1" x14ac:dyDescent="0.25">
      <c r="A182" s="119" t="s">
        <v>468</v>
      </c>
      <c r="B182" s="68" t="s">
        <v>467</v>
      </c>
      <c r="C182" s="99">
        <v>16</v>
      </c>
      <c r="D182" s="67"/>
      <c r="E182" s="61">
        <f t="shared" si="94"/>
        <v>10.205999999999998</v>
      </c>
      <c r="F182" s="188">
        <f t="shared" si="85"/>
        <v>1.71</v>
      </c>
      <c r="G182" s="118" t="s">
        <v>351</v>
      </c>
      <c r="H182" s="59" t="str">
        <f t="shared" si="86"/>
        <v>Light Blue Stained Glass</v>
      </c>
      <c r="I182" s="59">
        <f t="shared" si="87"/>
        <v>19.079999999999998</v>
      </c>
      <c r="J182" s="84">
        <v>6</v>
      </c>
      <c r="K182" s="132" t="s">
        <v>672</v>
      </c>
      <c r="L182" s="107" t="str">
        <f t="shared" si="88"/>
        <v>Light Blue Dye</v>
      </c>
      <c r="M182" s="107">
        <f t="shared" si="89"/>
        <v>21.599999999999998</v>
      </c>
      <c r="N182" s="84">
        <v>1</v>
      </c>
      <c r="O182" s="132" t="s">
        <v>926</v>
      </c>
      <c r="P182" s="59" t="str">
        <f t="shared" si="90"/>
        <v>ninguno</v>
      </c>
      <c r="Q182" s="59">
        <f t="shared" si="91"/>
        <v>0</v>
      </c>
      <c r="R182" s="84"/>
      <c r="S182" s="132" t="s">
        <v>926</v>
      </c>
      <c r="T182" s="107" t="str">
        <f t="shared" si="92"/>
        <v>ninguno</v>
      </c>
      <c r="U182" s="107">
        <f t="shared" si="93"/>
        <v>0</v>
      </c>
      <c r="V182" s="84"/>
    </row>
    <row r="183" spans="1:22" s="108" customFormat="1" ht="14.25" customHeight="1" x14ac:dyDescent="0.25">
      <c r="A183" s="119" t="s">
        <v>470</v>
      </c>
      <c r="B183" s="68" t="s">
        <v>469</v>
      </c>
      <c r="C183" s="99">
        <v>16</v>
      </c>
      <c r="D183" s="67"/>
      <c r="E183" s="61">
        <f t="shared" si="94"/>
        <v>8.410499999999999</v>
      </c>
      <c r="F183" s="188">
        <f t="shared" si="85"/>
        <v>1.41</v>
      </c>
      <c r="G183" s="118" t="s">
        <v>353</v>
      </c>
      <c r="H183" s="59" t="str">
        <f t="shared" si="86"/>
        <v>Yellow Stained Glass</v>
      </c>
      <c r="I183" s="59">
        <f t="shared" si="87"/>
        <v>17.189999999999998</v>
      </c>
      <c r="J183" s="84">
        <v>6</v>
      </c>
      <c r="K183" s="132" t="s">
        <v>670</v>
      </c>
      <c r="L183" s="107" t="str">
        <f t="shared" si="88"/>
        <v>Yellow Dye</v>
      </c>
      <c r="M183" s="107">
        <f t="shared" si="89"/>
        <v>9</v>
      </c>
      <c r="N183" s="84">
        <v>1</v>
      </c>
      <c r="O183" s="132" t="s">
        <v>926</v>
      </c>
      <c r="P183" s="59" t="str">
        <f t="shared" si="90"/>
        <v>ninguno</v>
      </c>
      <c r="Q183" s="59">
        <f t="shared" si="91"/>
        <v>0</v>
      </c>
      <c r="R183" s="84"/>
      <c r="S183" s="132" t="s">
        <v>926</v>
      </c>
      <c r="T183" s="107" t="str">
        <f t="shared" si="92"/>
        <v>ninguno</v>
      </c>
      <c r="U183" s="107">
        <f t="shared" si="93"/>
        <v>0</v>
      </c>
      <c r="V183" s="84"/>
    </row>
    <row r="184" spans="1:22" s="108" customFormat="1" ht="14.25" customHeight="1" x14ac:dyDescent="0.25">
      <c r="A184" s="119" t="s">
        <v>472</v>
      </c>
      <c r="B184" s="68" t="s">
        <v>471</v>
      </c>
      <c r="C184" s="99">
        <v>16</v>
      </c>
      <c r="D184" s="67"/>
      <c r="E184" s="61">
        <f t="shared" si="94"/>
        <v>11.744999999999999</v>
      </c>
      <c r="F184" s="188">
        <f t="shared" si="85"/>
        <v>1.96</v>
      </c>
      <c r="G184" s="118" t="s">
        <v>355</v>
      </c>
      <c r="H184" s="59" t="str">
        <f t="shared" si="86"/>
        <v>Lime Stained Glass</v>
      </c>
      <c r="I184" s="59">
        <f t="shared" si="87"/>
        <v>20.7</v>
      </c>
      <c r="J184" s="84">
        <v>6</v>
      </c>
      <c r="K184" s="132" t="s">
        <v>668</v>
      </c>
      <c r="L184" s="107" t="str">
        <f t="shared" si="88"/>
        <v>Lime Dye</v>
      </c>
      <c r="M184" s="107">
        <f t="shared" si="89"/>
        <v>32.4</v>
      </c>
      <c r="N184" s="84">
        <v>1</v>
      </c>
      <c r="O184" s="132" t="s">
        <v>926</v>
      </c>
      <c r="P184" s="59" t="str">
        <f t="shared" si="90"/>
        <v>ninguno</v>
      </c>
      <c r="Q184" s="59">
        <f t="shared" si="91"/>
        <v>0</v>
      </c>
      <c r="R184" s="84"/>
      <c r="S184" s="132" t="s">
        <v>926</v>
      </c>
      <c r="T184" s="107" t="str">
        <f t="shared" si="92"/>
        <v>ninguno</v>
      </c>
      <c r="U184" s="107">
        <f t="shared" si="93"/>
        <v>0</v>
      </c>
      <c r="V184" s="84"/>
    </row>
    <row r="185" spans="1:22" s="108" customFormat="1" ht="14.25" customHeight="1" x14ac:dyDescent="0.25">
      <c r="A185" s="119" t="s">
        <v>474</v>
      </c>
      <c r="B185" s="68" t="s">
        <v>473</v>
      </c>
      <c r="C185" s="99">
        <v>16</v>
      </c>
      <c r="D185" s="67"/>
      <c r="E185" s="61">
        <f t="shared" si="94"/>
        <v>10.205999999999998</v>
      </c>
      <c r="F185" s="188">
        <f t="shared" si="85"/>
        <v>1.71</v>
      </c>
      <c r="G185" s="118" t="s">
        <v>357</v>
      </c>
      <c r="H185" s="59" t="str">
        <f t="shared" si="86"/>
        <v>Pink Stained Glass</v>
      </c>
      <c r="I185" s="59">
        <f t="shared" si="87"/>
        <v>19.079999999999998</v>
      </c>
      <c r="J185" s="84">
        <v>6</v>
      </c>
      <c r="K185" s="132" t="s">
        <v>666</v>
      </c>
      <c r="L185" s="107" t="str">
        <f t="shared" si="88"/>
        <v>Pink Dye</v>
      </c>
      <c r="M185" s="107">
        <f t="shared" si="89"/>
        <v>21.599999999999998</v>
      </c>
      <c r="N185" s="84">
        <v>1</v>
      </c>
      <c r="O185" s="132" t="s">
        <v>926</v>
      </c>
      <c r="P185" s="59" t="str">
        <f t="shared" si="90"/>
        <v>ninguno</v>
      </c>
      <c r="Q185" s="59">
        <f t="shared" si="91"/>
        <v>0</v>
      </c>
      <c r="R185" s="84"/>
      <c r="S185" s="132" t="s">
        <v>926</v>
      </c>
      <c r="T185" s="107" t="str">
        <f t="shared" si="92"/>
        <v>ninguno</v>
      </c>
      <c r="U185" s="107">
        <f t="shared" si="93"/>
        <v>0</v>
      </c>
      <c r="V185" s="84"/>
    </row>
    <row r="186" spans="1:22" s="108" customFormat="1" ht="14.25" customHeight="1" x14ac:dyDescent="0.25">
      <c r="A186" s="119" t="s">
        <v>476</v>
      </c>
      <c r="B186" s="68" t="s">
        <v>475</v>
      </c>
      <c r="C186" s="99">
        <v>16</v>
      </c>
      <c r="D186" s="67"/>
      <c r="E186" s="61">
        <f t="shared" si="94"/>
        <v>10.205999999999998</v>
      </c>
      <c r="F186" s="188">
        <f t="shared" si="85"/>
        <v>1.71</v>
      </c>
      <c r="G186" s="118" t="s">
        <v>359</v>
      </c>
      <c r="H186" s="59" t="str">
        <f t="shared" si="86"/>
        <v>Gray Stained Glass</v>
      </c>
      <c r="I186" s="59">
        <f t="shared" si="87"/>
        <v>19.079999999999998</v>
      </c>
      <c r="J186" s="84">
        <v>6</v>
      </c>
      <c r="K186" s="132" t="s">
        <v>664</v>
      </c>
      <c r="L186" s="107" t="str">
        <f t="shared" si="88"/>
        <v>Gray Dye</v>
      </c>
      <c r="M186" s="107">
        <f t="shared" si="89"/>
        <v>21.599999999999998</v>
      </c>
      <c r="N186" s="84">
        <v>1</v>
      </c>
      <c r="O186" s="132" t="s">
        <v>926</v>
      </c>
      <c r="P186" s="59" t="str">
        <f t="shared" si="90"/>
        <v>ninguno</v>
      </c>
      <c r="Q186" s="59">
        <f t="shared" si="91"/>
        <v>0</v>
      </c>
      <c r="R186" s="84"/>
      <c r="S186" s="132" t="s">
        <v>926</v>
      </c>
      <c r="T186" s="107" t="str">
        <f t="shared" si="92"/>
        <v>ninguno</v>
      </c>
      <c r="U186" s="107">
        <f t="shared" si="93"/>
        <v>0</v>
      </c>
      <c r="V186" s="84"/>
    </row>
    <row r="187" spans="1:22" s="108" customFormat="1" ht="14.25" customHeight="1" x14ac:dyDescent="0.25">
      <c r="A187" s="119" t="s">
        <v>478</v>
      </c>
      <c r="B187" s="68" t="s">
        <v>477</v>
      </c>
      <c r="C187" s="99">
        <v>16</v>
      </c>
      <c r="D187" s="67"/>
      <c r="E187" s="61">
        <f t="shared" si="94"/>
        <v>12.3606</v>
      </c>
      <c r="F187" s="188">
        <f t="shared" si="85"/>
        <v>2.0699999999999998</v>
      </c>
      <c r="G187" s="118" t="s">
        <v>361</v>
      </c>
      <c r="H187" s="59" t="str">
        <f t="shared" si="86"/>
        <v>Light Gray Stained Glass</v>
      </c>
      <c r="I187" s="59">
        <f t="shared" si="87"/>
        <v>21.347999999999999</v>
      </c>
      <c r="J187" s="84">
        <v>6</v>
      </c>
      <c r="K187" s="132" t="s">
        <v>662</v>
      </c>
      <c r="L187" s="107" t="str">
        <f t="shared" si="88"/>
        <v>Light Gray Dye</v>
      </c>
      <c r="M187" s="107">
        <f t="shared" si="89"/>
        <v>36.72</v>
      </c>
      <c r="N187" s="84">
        <v>1</v>
      </c>
      <c r="O187" s="132" t="s">
        <v>926</v>
      </c>
      <c r="P187" s="59" t="str">
        <f t="shared" si="90"/>
        <v>ninguno</v>
      </c>
      <c r="Q187" s="59">
        <f t="shared" si="91"/>
        <v>0</v>
      </c>
      <c r="R187" s="84"/>
      <c r="S187" s="132" t="s">
        <v>926</v>
      </c>
      <c r="T187" s="107" t="str">
        <f t="shared" si="92"/>
        <v>ninguno</v>
      </c>
      <c r="U187" s="107">
        <f t="shared" si="93"/>
        <v>0</v>
      </c>
      <c r="V187" s="84"/>
    </row>
    <row r="188" spans="1:22" s="108" customFormat="1" ht="14.25" customHeight="1" x14ac:dyDescent="0.25">
      <c r="A188" s="119" t="s">
        <v>480</v>
      </c>
      <c r="B188" s="68" t="s">
        <v>479</v>
      </c>
      <c r="C188" s="99">
        <v>16</v>
      </c>
      <c r="D188" s="67"/>
      <c r="E188" s="61">
        <f t="shared" si="94"/>
        <v>10.205999999999998</v>
      </c>
      <c r="F188" s="188">
        <f t="shared" si="85"/>
        <v>1.71</v>
      </c>
      <c r="G188" s="118" t="s">
        <v>363</v>
      </c>
      <c r="H188" s="59" t="str">
        <f t="shared" si="86"/>
        <v>Cyan Stained Glass</v>
      </c>
      <c r="I188" s="59">
        <f t="shared" si="87"/>
        <v>19.079999999999998</v>
      </c>
      <c r="J188" s="84">
        <v>6</v>
      </c>
      <c r="K188" s="132" t="s">
        <v>660</v>
      </c>
      <c r="L188" s="107" t="str">
        <f t="shared" si="88"/>
        <v>Cyan Dye</v>
      </c>
      <c r="M188" s="107">
        <f t="shared" si="89"/>
        <v>21.599999999999998</v>
      </c>
      <c r="N188" s="84">
        <v>1</v>
      </c>
      <c r="O188" s="132" t="s">
        <v>926</v>
      </c>
      <c r="P188" s="59" t="str">
        <f t="shared" si="90"/>
        <v>ninguno</v>
      </c>
      <c r="Q188" s="59">
        <f t="shared" si="91"/>
        <v>0</v>
      </c>
      <c r="R188" s="84"/>
      <c r="S188" s="132" t="s">
        <v>926</v>
      </c>
      <c r="T188" s="107" t="str">
        <f t="shared" si="92"/>
        <v>ninguno</v>
      </c>
      <c r="U188" s="107">
        <f t="shared" si="93"/>
        <v>0</v>
      </c>
      <c r="V188" s="84"/>
    </row>
    <row r="189" spans="1:22" s="108" customFormat="1" ht="14.25" customHeight="1" x14ac:dyDescent="0.25">
      <c r="A189" s="119" t="s">
        <v>482</v>
      </c>
      <c r="B189" s="68" t="s">
        <v>481</v>
      </c>
      <c r="C189" s="99">
        <v>16</v>
      </c>
      <c r="D189" s="67"/>
      <c r="E189" s="61">
        <f t="shared" si="94"/>
        <v>10.205999999999998</v>
      </c>
      <c r="F189" s="188">
        <f t="shared" si="85"/>
        <v>1.71</v>
      </c>
      <c r="G189" s="118" t="s">
        <v>365</v>
      </c>
      <c r="H189" s="59" t="str">
        <f t="shared" si="86"/>
        <v>Purple Stained Glass</v>
      </c>
      <c r="I189" s="59">
        <f t="shared" si="87"/>
        <v>19.079999999999998</v>
      </c>
      <c r="J189" s="84">
        <v>6</v>
      </c>
      <c r="K189" s="132" t="s">
        <v>658</v>
      </c>
      <c r="L189" s="107" t="str">
        <f t="shared" si="88"/>
        <v>Purple Dye</v>
      </c>
      <c r="M189" s="107">
        <f t="shared" si="89"/>
        <v>21.599999999999998</v>
      </c>
      <c r="N189" s="84">
        <v>1</v>
      </c>
      <c r="O189" s="132" t="s">
        <v>926</v>
      </c>
      <c r="P189" s="59" t="str">
        <f t="shared" si="90"/>
        <v>ninguno</v>
      </c>
      <c r="Q189" s="59">
        <f t="shared" si="91"/>
        <v>0</v>
      </c>
      <c r="R189" s="84"/>
      <c r="S189" s="132" t="s">
        <v>926</v>
      </c>
      <c r="T189" s="107" t="str">
        <f t="shared" si="92"/>
        <v>ninguno</v>
      </c>
      <c r="U189" s="107">
        <f t="shared" si="93"/>
        <v>0</v>
      </c>
      <c r="V189" s="84"/>
    </row>
    <row r="190" spans="1:22" s="108" customFormat="1" ht="14.25" customHeight="1" x14ac:dyDescent="0.25">
      <c r="A190" s="119" t="s">
        <v>484</v>
      </c>
      <c r="B190" s="68" t="s">
        <v>483</v>
      </c>
      <c r="C190" s="99">
        <v>16</v>
      </c>
      <c r="D190" s="67"/>
      <c r="E190" s="61">
        <f t="shared" si="94"/>
        <v>8.410499999999999</v>
      </c>
      <c r="F190" s="188">
        <f t="shared" si="85"/>
        <v>1.41</v>
      </c>
      <c r="G190" s="118" t="s">
        <v>367</v>
      </c>
      <c r="H190" s="59" t="str">
        <f t="shared" si="86"/>
        <v>Blue Stained Glass</v>
      </c>
      <c r="I190" s="59">
        <f t="shared" si="87"/>
        <v>17.189999999999998</v>
      </c>
      <c r="J190" s="84">
        <v>6</v>
      </c>
      <c r="K190" s="132" t="s">
        <v>656</v>
      </c>
      <c r="L190" s="107" t="str">
        <f t="shared" si="88"/>
        <v>Lapis Lazuli</v>
      </c>
      <c r="M190" s="107">
        <f t="shared" si="89"/>
        <v>9</v>
      </c>
      <c r="N190" s="84">
        <v>1</v>
      </c>
      <c r="O190" s="132" t="s">
        <v>926</v>
      </c>
      <c r="P190" s="59" t="str">
        <f t="shared" si="90"/>
        <v>ninguno</v>
      </c>
      <c r="Q190" s="59">
        <f t="shared" si="91"/>
        <v>0</v>
      </c>
      <c r="R190" s="84"/>
      <c r="S190" s="132" t="s">
        <v>926</v>
      </c>
      <c r="T190" s="107" t="str">
        <f t="shared" si="92"/>
        <v>ninguno</v>
      </c>
      <c r="U190" s="107">
        <f t="shared" si="93"/>
        <v>0</v>
      </c>
      <c r="V190" s="84"/>
    </row>
    <row r="191" spans="1:22" s="108" customFormat="1" ht="14.25" customHeight="1" x14ac:dyDescent="0.25">
      <c r="A191" s="119" t="s">
        <v>486</v>
      </c>
      <c r="B191" s="68" t="s">
        <v>485</v>
      </c>
      <c r="C191" s="99">
        <v>16</v>
      </c>
      <c r="D191" s="67"/>
      <c r="E191" s="61">
        <f t="shared" si="94"/>
        <v>8.410499999999999</v>
      </c>
      <c r="F191" s="188">
        <f t="shared" si="85"/>
        <v>1.41</v>
      </c>
      <c r="G191" s="118" t="s">
        <v>369</v>
      </c>
      <c r="H191" s="59" t="str">
        <f t="shared" si="86"/>
        <v>Brown Stained Glass</v>
      </c>
      <c r="I191" s="59">
        <f t="shared" si="87"/>
        <v>17.189999999999998</v>
      </c>
      <c r="J191" s="84">
        <v>6</v>
      </c>
      <c r="K191" s="132" t="s">
        <v>654</v>
      </c>
      <c r="L191" s="107" t="str">
        <f t="shared" si="88"/>
        <v>Cocoa Bean</v>
      </c>
      <c r="M191" s="107">
        <f t="shared" si="89"/>
        <v>9</v>
      </c>
      <c r="N191" s="84">
        <v>1</v>
      </c>
      <c r="O191" s="132" t="s">
        <v>926</v>
      </c>
      <c r="P191" s="59" t="str">
        <f t="shared" si="90"/>
        <v>ninguno</v>
      </c>
      <c r="Q191" s="59">
        <f t="shared" si="91"/>
        <v>0</v>
      </c>
      <c r="R191" s="84"/>
      <c r="S191" s="132" t="s">
        <v>926</v>
      </c>
      <c r="T191" s="107" t="str">
        <f t="shared" si="92"/>
        <v>ninguno</v>
      </c>
      <c r="U191" s="107">
        <f t="shared" si="93"/>
        <v>0</v>
      </c>
      <c r="V191" s="84"/>
    </row>
    <row r="192" spans="1:22" s="108" customFormat="1" ht="14.25" customHeight="1" x14ac:dyDescent="0.25">
      <c r="A192" s="119" t="s">
        <v>488</v>
      </c>
      <c r="B192" s="68" t="s">
        <v>487</v>
      </c>
      <c r="C192" s="99">
        <v>16</v>
      </c>
      <c r="D192" s="67"/>
      <c r="E192" s="61">
        <f t="shared" si="94"/>
        <v>8.410499999999999</v>
      </c>
      <c r="F192" s="188">
        <f t="shared" si="85"/>
        <v>1.41</v>
      </c>
      <c r="G192" s="118" t="s">
        <v>371</v>
      </c>
      <c r="H192" s="59" t="str">
        <f t="shared" si="86"/>
        <v>Green Stained Glass</v>
      </c>
      <c r="I192" s="59">
        <f t="shared" si="87"/>
        <v>17.189999999999998</v>
      </c>
      <c r="J192" s="84">
        <v>6</v>
      </c>
      <c r="K192" s="132" t="s">
        <v>652</v>
      </c>
      <c r="L192" s="107" t="str">
        <f t="shared" si="88"/>
        <v>Cactus Green Dye</v>
      </c>
      <c r="M192" s="107">
        <f t="shared" si="89"/>
        <v>9</v>
      </c>
      <c r="N192" s="84">
        <v>1</v>
      </c>
      <c r="O192" s="132" t="s">
        <v>926</v>
      </c>
      <c r="P192" s="59" t="str">
        <f t="shared" si="90"/>
        <v>ninguno</v>
      </c>
      <c r="Q192" s="59">
        <f t="shared" si="91"/>
        <v>0</v>
      </c>
      <c r="R192" s="84"/>
      <c r="S192" s="132" t="s">
        <v>926</v>
      </c>
      <c r="T192" s="107" t="str">
        <f t="shared" si="92"/>
        <v>ninguno</v>
      </c>
      <c r="U192" s="107">
        <f t="shared" si="93"/>
        <v>0</v>
      </c>
      <c r="V192" s="84"/>
    </row>
    <row r="193" spans="1:22" s="108" customFormat="1" ht="14.25" customHeight="1" x14ac:dyDescent="0.25">
      <c r="A193" s="119" t="s">
        <v>490</v>
      </c>
      <c r="B193" s="68" t="s">
        <v>489</v>
      </c>
      <c r="C193" s="99">
        <v>16</v>
      </c>
      <c r="D193" s="67"/>
      <c r="E193" s="61">
        <f t="shared" si="94"/>
        <v>8.410499999999999</v>
      </c>
      <c r="F193" s="188">
        <f t="shared" si="85"/>
        <v>1.41</v>
      </c>
      <c r="G193" s="118" t="s">
        <v>373</v>
      </c>
      <c r="H193" s="59" t="str">
        <f t="shared" ref="H193:H194" si="95">VLOOKUP(G193,LISTAITEMS,2,FALSE)</f>
        <v>Red Stained Glass</v>
      </c>
      <c r="I193" s="59">
        <f t="shared" si="87"/>
        <v>17.189999999999998</v>
      </c>
      <c r="J193" s="84">
        <v>6</v>
      </c>
      <c r="K193" s="132" t="s">
        <v>650</v>
      </c>
      <c r="L193" s="107" t="str">
        <f t="shared" ref="L193:L194" si="96">VLOOKUP(K193,LISTAITEMS,2,FALSE)</f>
        <v>Rose Red Dye</v>
      </c>
      <c r="M193" s="107">
        <f t="shared" si="89"/>
        <v>9</v>
      </c>
      <c r="N193" s="84">
        <v>1</v>
      </c>
      <c r="O193" s="132" t="s">
        <v>926</v>
      </c>
      <c r="P193" s="59" t="str">
        <f t="shared" ref="P193:P194" si="97">VLOOKUP(O193,LISTAITEMS,2,FALSE)</f>
        <v>ninguno</v>
      </c>
      <c r="Q193" s="59">
        <f t="shared" si="91"/>
        <v>0</v>
      </c>
      <c r="R193" s="84"/>
      <c r="S193" s="132" t="s">
        <v>926</v>
      </c>
      <c r="T193" s="107" t="str">
        <f t="shared" ref="T193:T194" si="98">VLOOKUP(S193,LISTAITEMS,2,FALSE)</f>
        <v>ninguno</v>
      </c>
      <c r="U193" s="107">
        <f t="shared" si="93"/>
        <v>0</v>
      </c>
      <c r="V193" s="84"/>
    </row>
    <row r="194" spans="1:22" s="108" customFormat="1" ht="14.25" customHeight="1" x14ac:dyDescent="0.25">
      <c r="A194" s="119" t="s">
        <v>492</v>
      </c>
      <c r="B194" s="68" t="s">
        <v>491</v>
      </c>
      <c r="C194" s="99">
        <v>16</v>
      </c>
      <c r="D194" s="67"/>
      <c r="E194" s="61">
        <f t="shared" si="94"/>
        <v>8.410499999999999</v>
      </c>
      <c r="F194" s="188">
        <f t="shared" si="85"/>
        <v>1.41</v>
      </c>
      <c r="G194" s="118" t="s">
        <v>375</v>
      </c>
      <c r="H194" s="59" t="str">
        <f t="shared" si="95"/>
        <v>Black Stained Glass</v>
      </c>
      <c r="I194" s="59">
        <f t="shared" si="87"/>
        <v>17.189999999999998</v>
      </c>
      <c r="J194" s="84">
        <v>6</v>
      </c>
      <c r="K194" s="132">
        <v>351</v>
      </c>
      <c r="L194" s="107" t="str">
        <f t="shared" si="96"/>
        <v>Ink Sack</v>
      </c>
      <c r="M194" s="107">
        <f t="shared" si="89"/>
        <v>9</v>
      </c>
      <c r="N194" s="84">
        <v>1</v>
      </c>
      <c r="O194" s="132" t="s">
        <v>926</v>
      </c>
      <c r="P194" s="59" t="str">
        <f t="shared" si="97"/>
        <v>ninguno</v>
      </c>
      <c r="Q194" s="59">
        <f t="shared" si="91"/>
        <v>0</v>
      </c>
      <c r="R194" s="84"/>
      <c r="S194" s="132" t="s">
        <v>926</v>
      </c>
      <c r="T194" s="107" t="str">
        <f t="shared" si="98"/>
        <v>ninguno</v>
      </c>
      <c r="U194" s="107">
        <f t="shared" si="93"/>
        <v>0</v>
      </c>
      <c r="V194" s="84"/>
    </row>
    <row r="195" spans="1:22" s="90" customFormat="1" ht="14.25" customHeight="1" x14ac:dyDescent="0.25">
      <c r="A195" s="115">
        <v>162</v>
      </c>
      <c r="B195" s="89" t="s">
        <v>493</v>
      </c>
      <c r="C195" s="100"/>
      <c r="D195" s="85"/>
      <c r="E195" s="85">
        <f>'ECONOMIA &amp; PROFESIONES'!$G$31</f>
        <v>31</v>
      </c>
      <c r="F195" s="188">
        <f t="shared" si="85"/>
        <v>5.17</v>
      </c>
      <c r="G195" s="118" t="s">
        <v>926</v>
      </c>
      <c r="H195" s="85"/>
      <c r="I195" s="85"/>
      <c r="J195" s="87"/>
      <c r="K195" s="134"/>
      <c r="L195" s="85"/>
      <c r="M195" s="85"/>
      <c r="N195" s="87"/>
      <c r="O195" s="134"/>
      <c r="P195" s="85"/>
      <c r="Q195" s="85"/>
      <c r="R195" s="87"/>
      <c r="S195" s="134"/>
      <c r="T195" s="85"/>
      <c r="U195" s="85"/>
      <c r="V195" s="87"/>
    </row>
    <row r="196" spans="1:22" s="90" customFormat="1" ht="14.25" customHeight="1" x14ac:dyDescent="0.25">
      <c r="A196" s="115" t="s">
        <v>495</v>
      </c>
      <c r="B196" s="89" t="s">
        <v>494</v>
      </c>
      <c r="C196" s="100"/>
      <c r="D196" s="85"/>
      <c r="E196" s="85">
        <f>'ECONOMIA &amp; PROFESIONES'!$G$32</f>
        <v>37</v>
      </c>
      <c r="F196" s="188">
        <f t="shared" si="85"/>
        <v>6.17</v>
      </c>
      <c r="G196" s="118" t="s">
        <v>926</v>
      </c>
      <c r="H196" s="85"/>
      <c r="I196" s="85"/>
      <c r="J196" s="87"/>
      <c r="K196" s="134"/>
      <c r="L196" s="85"/>
      <c r="M196" s="85"/>
      <c r="N196" s="87"/>
      <c r="O196" s="134"/>
      <c r="P196" s="85"/>
      <c r="Q196" s="85"/>
      <c r="R196" s="87"/>
      <c r="S196" s="134"/>
      <c r="T196" s="85"/>
      <c r="U196" s="85"/>
      <c r="V196" s="87"/>
    </row>
    <row r="197" spans="1:22" s="108" customFormat="1" ht="14.25" customHeight="1" x14ac:dyDescent="0.25">
      <c r="A197" s="119">
        <v>163</v>
      </c>
      <c r="B197" s="68" t="s">
        <v>496</v>
      </c>
      <c r="C197" s="99">
        <v>4</v>
      </c>
      <c r="D197" s="67"/>
      <c r="E197" s="61">
        <f t="shared" ref="E197:E228" si="99">(((I197*J197)+(M197*N197)+(Q197*R197)+(U197*V197))/C197)*1.2</f>
        <v>16.739999999999998</v>
      </c>
      <c r="F197" s="188">
        <f t="shared" si="85"/>
        <v>2.79</v>
      </c>
      <c r="G197" s="118" t="s">
        <v>238</v>
      </c>
      <c r="H197" s="59" t="str">
        <f t="shared" ref="H197:H226" si="100">VLOOKUP(G197,LISTAITEMS,2,FALSE)</f>
        <v>Acacia Planks</v>
      </c>
      <c r="I197" s="59">
        <f t="shared" ref="I197:I226" si="101">VLOOKUP(G197,LISTAITEMS,5,FALSE)</f>
        <v>9.2999999999999989</v>
      </c>
      <c r="J197" s="84">
        <v>6</v>
      </c>
      <c r="K197" s="132" t="s">
        <v>926</v>
      </c>
      <c r="L197" s="107" t="str">
        <f t="shared" ref="L197:L226" si="102">VLOOKUP(K197,LISTAITEMS,2,FALSE)</f>
        <v>ninguno</v>
      </c>
      <c r="M197" s="107">
        <f t="shared" ref="M197:M226" si="103">VLOOKUP(K197,LISTAITEMS,5,FALSE)</f>
        <v>0</v>
      </c>
      <c r="N197" s="84"/>
      <c r="O197" s="132" t="s">
        <v>926</v>
      </c>
      <c r="P197" s="59" t="str">
        <f t="shared" ref="P197:P226" si="104">VLOOKUP(O197,LISTAITEMS,2,FALSE)</f>
        <v>ninguno</v>
      </c>
      <c r="Q197" s="59">
        <f t="shared" ref="Q197:Q226" si="105">VLOOKUP(O197,LISTAITEMS,5,FALSE)</f>
        <v>0</v>
      </c>
      <c r="R197" s="84"/>
      <c r="S197" s="132" t="s">
        <v>926</v>
      </c>
      <c r="T197" s="107" t="str">
        <f t="shared" ref="T197:T226" si="106">VLOOKUP(S197,LISTAITEMS,2,FALSE)</f>
        <v>ninguno</v>
      </c>
      <c r="U197" s="107">
        <f t="shared" ref="U197:U226" si="107">VLOOKUP(S197,LISTAITEMS,5,FALSE)</f>
        <v>0</v>
      </c>
      <c r="V197" s="84"/>
    </row>
    <row r="198" spans="1:22" s="108" customFormat="1" ht="14.25" customHeight="1" x14ac:dyDescent="0.25">
      <c r="A198" s="119">
        <v>164</v>
      </c>
      <c r="B198" s="68" t="s">
        <v>497</v>
      </c>
      <c r="C198" s="99">
        <v>4</v>
      </c>
      <c r="D198" s="67"/>
      <c r="E198" s="61">
        <f t="shared" si="99"/>
        <v>19.979999999999997</v>
      </c>
      <c r="F198" s="188">
        <f t="shared" si="85"/>
        <v>3.33</v>
      </c>
      <c r="G198" s="118" t="s">
        <v>240</v>
      </c>
      <c r="H198" s="59" t="str">
        <f t="shared" si="100"/>
        <v>Dark Oak Planks</v>
      </c>
      <c r="I198" s="59">
        <f t="shared" si="101"/>
        <v>11.1</v>
      </c>
      <c r="J198" s="84">
        <v>6</v>
      </c>
      <c r="K198" s="132" t="s">
        <v>926</v>
      </c>
      <c r="L198" s="107" t="str">
        <f t="shared" si="102"/>
        <v>ninguno</v>
      </c>
      <c r="M198" s="107">
        <f t="shared" si="103"/>
        <v>0</v>
      </c>
      <c r="N198" s="84"/>
      <c r="O198" s="132" t="s">
        <v>926</v>
      </c>
      <c r="P198" s="59" t="str">
        <f t="shared" si="104"/>
        <v>ninguno</v>
      </c>
      <c r="Q198" s="59">
        <f t="shared" si="105"/>
        <v>0</v>
      </c>
      <c r="R198" s="84"/>
      <c r="S198" s="132" t="s">
        <v>926</v>
      </c>
      <c r="T198" s="107" t="str">
        <f t="shared" si="106"/>
        <v>ninguno</v>
      </c>
      <c r="U198" s="107">
        <f t="shared" si="107"/>
        <v>0</v>
      </c>
      <c r="V198" s="84"/>
    </row>
    <row r="199" spans="1:22" s="108" customFormat="1" ht="14.25" customHeight="1" x14ac:dyDescent="0.25">
      <c r="A199" s="123">
        <v>165</v>
      </c>
      <c r="B199" s="71" t="s">
        <v>498</v>
      </c>
      <c r="C199" s="99">
        <v>1</v>
      </c>
      <c r="D199" s="67"/>
      <c r="E199" s="61">
        <f t="shared" si="99"/>
        <v>226.79999999999998</v>
      </c>
      <c r="F199" s="188">
        <f t="shared" ref="F199:F262" si="108">ROUNDUP(E199/6,2)</f>
        <v>37.799999999999997</v>
      </c>
      <c r="G199" s="118">
        <v>341</v>
      </c>
      <c r="H199" s="59" t="str">
        <f t="shared" si="100"/>
        <v>Slime Ball</v>
      </c>
      <c r="I199" s="59">
        <f t="shared" si="101"/>
        <v>21</v>
      </c>
      <c r="J199" s="84">
        <v>9</v>
      </c>
      <c r="K199" s="132" t="s">
        <v>926</v>
      </c>
      <c r="L199" s="107" t="str">
        <f t="shared" si="102"/>
        <v>ninguno</v>
      </c>
      <c r="M199" s="107">
        <f t="shared" si="103"/>
        <v>0</v>
      </c>
      <c r="N199" s="84"/>
      <c r="O199" s="132" t="s">
        <v>926</v>
      </c>
      <c r="P199" s="59" t="str">
        <f t="shared" si="104"/>
        <v>ninguno</v>
      </c>
      <c r="Q199" s="59">
        <f t="shared" si="105"/>
        <v>0</v>
      </c>
      <c r="R199" s="84"/>
      <c r="S199" s="132" t="s">
        <v>926</v>
      </c>
      <c r="T199" s="107" t="str">
        <f t="shared" si="106"/>
        <v>ninguno</v>
      </c>
      <c r="U199" s="107">
        <f t="shared" si="107"/>
        <v>0</v>
      </c>
      <c r="V199" s="84"/>
    </row>
    <row r="200" spans="1:22" s="108" customFormat="1" ht="14.25" customHeight="1" x14ac:dyDescent="0.25">
      <c r="A200" s="123">
        <v>167</v>
      </c>
      <c r="B200" s="71" t="s">
        <v>499</v>
      </c>
      <c r="C200" s="99">
        <v>1</v>
      </c>
      <c r="D200" s="67"/>
      <c r="E200" s="61">
        <f t="shared" si="99"/>
        <v>1920</v>
      </c>
      <c r="F200" s="188">
        <f t="shared" si="108"/>
        <v>320</v>
      </c>
      <c r="G200" s="118">
        <v>265</v>
      </c>
      <c r="H200" s="59" t="str">
        <f t="shared" si="100"/>
        <v>Iron Ingot</v>
      </c>
      <c r="I200" s="59">
        <f t="shared" si="101"/>
        <v>800</v>
      </c>
      <c r="J200" s="84">
        <v>2</v>
      </c>
      <c r="K200" s="132" t="s">
        <v>926</v>
      </c>
      <c r="L200" s="107" t="str">
        <f t="shared" si="102"/>
        <v>ninguno</v>
      </c>
      <c r="M200" s="107">
        <f t="shared" si="103"/>
        <v>0</v>
      </c>
      <c r="N200" s="84"/>
      <c r="O200" s="132" t="s">
        <v>926</v>
      </c>
      <c r="P200" s="59" t="str">
        <f t="shared" si="104"/>
        <v>ninguno</v>
      </c>
      <c r="Q200" s="59">
        <f t="shared" si="105"/>
        <v>0</v>
      </c>
      <c r="R200" s="84"/>
      <c r="S200" s="132" t="s">
        <v>926</v>
      </c>
      <c r="T200" s="107" t="str">
        <f t="shared" si="106"/>
        <v>ninguno</v>
      </c>
      <c r="U200" s="107">
        <f t="shared" si="107"/>
        <v>0</v>
      </c>
      <c r="V200" s="84"/>
    </row>
    <row r="201" spans="1:22" s="114" customFormat="1" ht="14.25" customHeight="1" x14ac:dyDescent="0.25">
      <c r="A201" s="129">
        <v>168</v>
      </c>
      <c r="B201" s="91" t="s">
        <v>500</v>
      </c>
      <c r="C201" s="113">
        <v>1</v>
      </c>
      <c r="D201" s="85"/>
      <c r="E201" s="85">
        <f t="shared" si="99"/>
        <v>91.2</v>
      </c>
      <c r="F201" s="188">
        <f t="shared" si="108"/>
        <v>15.2</v>
      </c>
      <c r="G201" s="136">
        <v>409</v>
      </c>
      <c r="H201" s="85" t="str">
        <f t="shared" si="100"/>
        <v>Prismarine Shard</v>
      </c>
      <c r="I201" s="85">
        <f t="shared" si="101"/>
        <v>19</v>
      </c>
      <c r="J201" s="85">
        <v>4</v>
      </c>
      <c r="K201" s="133" t="s">
        <v>926</v>
      </c>
      <c r="L201" s="85" t="str">
        <f t="shared" si="102"/>
        <v>ninguno</v>
      </c>
      <c r="M201" s="85">
        <f t="shared" si="103"/>
        <v>0</v>
      </c>
      <c r="N201" s="85"/>
      <c r="O201" s="133" t="s">
        <v>926</v>
      </c>
      <c r="P201" s="85" t="str">
        <f t="shared" si="104"/>
        <v>ninguno</v>
      </c>
      <c r="Q201" s="85">
        <f t="shared" si="105"/>
        <v>0</v>
      </c>
      <c r="R201" s="85"/>
      <c r="S201" s="133" t="s">
        <v>926</v>
      </c>
      <c r="T201" s="85" t="str">
        <f t="shared" si="106"/>
        <v>ninguno</v>
      </c>
      <c r="U201" s="85">
        <f t="shared" si="107"/>
        <v>0</v>
      </c>
      <c r="V201" s="85"/>
    </row>
    <row r="202" spans="1:22" s="108" customFormat="1" ht="14.25" customHeight="1" x14ac:dyDescent="0.25">
      <c r="A202" s="123" t="s">
        <v>502</v>
      </c>
      <c r="B202" s="71" t="s">
        <v>501</v>
      </c>
      <c r="C202" s="99">
        <v>1</v>
      </c>
      <c r="D202" s="67"/>
      <c r="E202" s="61">
        <f t="shared" si="99"/>
        <v>205.2</v>
      </c>
      <c r="F202" s="188">
        <f t="shared" si="108"/>
        <v>34.200000000000003</v>
      </c>
      <c r="G202" s="118">
        <v>409</v>
      </c>
      <c r="H202" s="59" t="str">
        <f t="shared" si="100"/>
        <v>Prismarine Shard</v>
      </c>
      <c r="I202" s="59">
        <f t="shared" si="101"/>
        <v>19</v>
      </c>
      <c r="J202" s="84">
        <v>9</v>
      </c>
      <c r="K202" s="132" t="s">
        <v>926</v>
      </c>
      <c r="L202" s="107" t="str">
        <f t="shared" si="102"/>
        <v>ninguno</v>
      </c>
      <c r="M202" s="107">
        <f t="shared" si="103"/>
        <v>0</v>
      </c>
      <c r="N202" s="84"/>
      <c r="O202" s="132" t="s">
        <v>926</v>
      </c>
      <c r="P202" s="59" t="str">
        <f t="shared" si="104"/>
        <v>ninguno</v>
      </c>
      <c r="Q202" s="59">
        <f t="shared" si="105"/>
        <v>0</v>
      </c>
      <c r="R202" s="84"/>
      <c r="S202" s="132" t="s">
        <v>926</v>
      </c>
      <c r="T202" s="107" t="str">
        <f t="shared" si="106"/>
        <v>ninguno</v>
      </c>
      <c r="U202" s="107">
        <f t="shared" si="107"/>
        <v>0</v>
      </c>
      <c r="V202" s="84"/>
    </row>
    <row r="203" spans="1:22" s="108" customFormat="1" ht="14.25" customHeight="1" x14ac:dyDescent="0.25">
      <c r="A203" s="123" t="s">
        <v>504</v>
      </c>
      <c r="B203" s="71" t="s">
        <v>503</v>
      </c>
      <c r="C203" s="99">
        <v>1</v>
      </c>
      <c r="D203" s="67"/>
      <c r="E203" s="61">
        <f t="shared" si="99"/>
        <v>193.2</v>
      </c>
      <c r="F203" s="188">
        <f t="shared" si="108"/>
        <v>32.200000000000003</v>
      </c>
      <c r="G203" s="118">
        <v>409</v>
      </c>
      <c r="H203" s="59" t="str">
        <f t="shared" si="100"/>
        <v>Prismarine Shard</v>
      </c>
      <c r="I203" s="59">
        <f t="shared" si="101"/>
        <v>19</v>
      </c>
      <c r="J203" s="84">
        <v>8</v>
      </c>
      <c r="K203" s="132">
        <v>351</v>
      </c>
      <c r="L203" s="107" t="str">
        <f t="shared" si="102"/>
        <v>Ink Sack</v>
      </c>
      <c r="M203" s="107">
        <f t="shared" si="103"/>
        <v>9</v>
      </c>
      <c r="N203" s="84">
        <v>1</v>
      </c>
      <c r="O203" s="132" t="s">
        <v>926</v>
      </c>
      <c r="P203" s="59" t="str">
        <f t="shared" si="104"/>
        <v>ninguno</v>
      </c>
      <c r="Q203" s="59">
        <f t="shared" si="105"/>
        <v>0</v>
      </c>
      <c r="R203" s="84"/>
      <c r="S203" s="132" t="s">
        <v>926</v>
      </c>
      <c r="T203" s="107" t="str">
        <f t="shared" si="106"/>
        <v>ninguno</v>
      </c>
      <c r="U203" s="107">
        <f t="shared" si="107"/>
        <v>0</v>
      </c>
      <c r="V203" s="84"/>
    </row>
    <row r="204" spans="1:22" s="108" customFormat="1" ht="14.25" customHeight="1" x14ac:dyDescent="0.25">
      <c r="A204" s="123">
        <v>169</v>
      </c>
      <c r="B204" s="72" t="s">
        <v>505</v>
      </c>
      <c r="C204" s="99">
        <v>1</v>
      </c>
      <c r="D204" s="67"/>
      <c r="E204" s="61">
        <f t="shared" si="99"/>
        <v>205.2</v>
      </c>
      <c r="F204" s="188">
        <f t="shared" si="108"/>
        <v>34.200000000000003</v>
      </c>
      <c r="G204" s="118">
        <v>409</v>
      </c>
      <c r="H204" s="59" t="str">
        <f t="shared" si="100"/>
        <v>Prismarine Shard</v>
      </c>
      <c r="I204" s="59">
        <f t="shared" si="101"/>
        <v>19</v>
      </c>
      <c r="J204" s="84">
        <v>4</v>
      </c>
      <c r="K204" s="132">
        <v>410</v>
      </c>
      <c r="L204" s="107" t="str">
        <f t="shared" si="102"/>
        <v>Prismarine Crystals</v>
      </c>
      <c r="M204" s="107">
        <f t="shared" si="103"/>
        <v>19</v>
      </c>
      <c r="N204" s="84">
        <v>5</v>
      </c>
      <c r="O204" s="132" t="s">
        <v>926</v>
      </c>
      <c r="P204" s="59" t="str">
        <f t="shared" si="104"/>
        <v>ninguno</v>
      </c>
      <c r="Q204" s="59">
        <f t="shared" si="105"/>
        <v>0</v>
      </c>
      <c r="R204" s="84"/>
      <c r="S204" s="132" t="s">
        <v>926</v>
      </c>
      <c r="T204" s="107" t="str">
        <f t="shared" si="106"/>
        <v>ninguno</v>
      </c>
      <c r="U204" s="107">
        <f t="shared" si="107"/>
        <v>0</v>
      </c>
      <c r="V204" s="84"/>
    </row>
    <row r="205" spans="1:22" s="108" customFormat="1" ht="14.25" customHeight="1" x14ac:dyDescent="0.25">
      <c r="A205" s="119">
        <v>170</v>
      </c>
      <c r="B205" s="68" t="s">
        <v>506</v>
      </c>
      <c r="C205" s="99">
        <v>1</v>
      </c>
      <c r="D205" s="67"/>
      <c r="E205" s="61">
        <f t="shared" si="99"/>
        <v>6469.2</v>
      </c>
      <c r="F205" s="188">
        <f t="shared" si="108"/>
        <v>1078.2</v>
      </c>
      <c r="G205" s="118">
        <v>296</v>
      </c>
      <c r="H205" s="59" t="str">
        <f t="shared" si="100"/>
        <v>Wheat</v>
      </c>
      <c r="I205" s="59">
        <f t="shared" si="101"/>
        <v>599</v>
      </c>
      <c r="J205" s="84">
        <v>9</v>
      </c>
      <c r="K205" s="132" t="s">
        <v>926</v>
      </c>
      <c r="L205" s="107" t="str">
        <f t="shared" si="102"/>
        <v>ninguno</v>
      </c>
      <c r="M205" s="107">
        <f t="shared" si="103"/>
        <v>0</v>
      </c>
      <c r="N205" s="84"/>
      <c r="O205" s="132" t="s">
        <v>926</v>
      </c>
      <c r="P205" s="59" t="str">
        <f t="shared" si="104"/>
        <v>ninguno</v>
      </c>
      <c r="Q205" s="59">
        <f t="shared" si="105"/>
        <v>0</v>
      </c>
      <c r="R205" s="84"/>
      <c r="S205" s="132" t="s">
        <v>926</v>
      </c>
      <c r="T205" s="107" t="str">
        <f t="shared" si="106"/>
        <v>ninguno</v>
      </c>
      <c r="U205" s="107">
        <f t="shared" si="107"/>
        <v>0</v>
      </c>
      <c r="V205" s="84"/>
    </row>
    <row r="206" spans="1:22" s="108" customFormat="1" ht="14.25" customHeight="1" x14ac:dyDescent="0.25">
      <c r="A206" s="119">
        <v>171</v>
      </c>
      <c r="B206" s="68" t="s">
        <v>507</v>
      </c>
      <c r="C206" s="99">
        <v>1</v>
      </c>
      <c r="D206" s="67"/>
      <c r="E206" s="61">
        <f t="shared" si="99"/>
        <v>51.839999999999996</v>
      </c>
      <c r="F206" s="188">
        <f t="shared" si="108"/>
        <v>8.64</v>
      </c>
      <c r="G206" s="118">
        <v>35</v>
      </c>
      <c r="H206" s="59" t="str">
        <f t="shared" si="100"/>
        <v>Wool</v>
      </c>
      <c r="I206" s="59">
        <f t="shared" si="101"/>
        <v>21.599999999999998</v>
      </c>
      <c r="J206" s="84">
        <v>2</v>
      </c>
      <c r="K206" s="132" t="s">
        <v>926</v>
      </c>
      <c r="L206" s="107" t="str">
        <f t="shared" si="102"/>
        <v>ninguno</v>
      </c>
      <c r="M206" s="107">
        <f t="shared" si="103"/>
        <v>0</v>
      </c>
      <c r="N206" s="84"/>
      <c r="O206" s="132" t="s">
        <v>926</v>
      </c>
      <c r="P206" s="59" t="str">
        <f t="shared" si="104"/>
        <v>ninguno</v>
      </c>
      <c r="Q206" s="59">
        <f t="shared" si="105"/>
        <v>0</v>
      </c>
      <c r="R206" s="84"/>
      <c r="S206" s="132" t="s">
        <v>926</v>
      </c>
      <c r="T206" s="107" t="str">
        <f t="shared" si="106"/>
        <v>ninguno</v>
      </c>
      <c r="U206" s="107">
        <f t="shared" si="107"/>
        <v>0</v>
      </c>
      <c r="V206" s="84"/>
    </row>
    <row r="207" spans="1:22" s="108" customFormat="1" ht="14.25" customHeight="1" x14ac:dyDescent="0.25">
      <c r="A207" s="119" t="s">
        <v>509</v>
      </c>
      <c r="B207" s="68" t="s">
        <v>508</v>
      </c>
      <c r="C207" s="99">
        <v>1</v>
      </c>
      <c r="D207" s="67"/>
      <c r="E207" s="61">
        <f t="shared" si="99"/>
        <v>124.41599999999998</v>
      </c>
      <c r="F207" s="188">
        <f t="shared" si="108"/>
        <v>20.740000000000002</v>
      </c>
      <c r="G207" s="118" t="s">
        <v>260</v>
      </c>
      <c r="H207" s="59" t="str">
        <f t="shared" si="100"/>
        <v>Orange Wool</v>
      </c>
      <c r="I207" s="59">
        <f t="shared" si="101"/>
        <v>51.839999999999996</v>
      </c>
      <c r="J207" s="84">
        <v>2</v>
      </c>
      <c r="K207" s="132" t="s">
        <v>926</v>
      </c>
      <c r="L207" s="107" t="str">
        <f t="shared" si="102"/>
        <v>ninguno</v>
      </c>
      <c r="M207" s="107">
        <f t="shared" si="103"/>
        <v>0</v>
      </c>
      <c r="N207" s="84"/>
      <c r="O207" s="132" t="s">
        <v>926</v>
      </c>
      <c r="P207" s="59" t="str">
        <f t="shared" si="104"/>
        <v>ninguno</v>
      </c>
      <c r="Q207" s="59">
        <f t="shared" si="105"/>
        <v>0</v>
      </c>
      <c r="R207" s="84"/>
      <c r="S207" s="132" t="s">
        <v>926</v>
      </c>
      <c r="T207" s="107" t="str">
        <f t="shared" si="106"/>
        <v>ninguno</v>
      </c>
      <c r="U207" s="107">
        <f t="shared" si="107"/>
        <v>0</v>
      </c>
      <c r="V207" s="84"/>
    </row>
    <row r="208" spans="1:22" s="108" customFormat="1" ht="14.25" customHeight="1" x14ac:dyDescent="0.25">
      <c r="A208" s="119" t="s">
        <v>511</v>
      </c>
      <c r="B208" s="68" t="s">
        <v>510</v>
      </c>
      <c r="C208" s="99">
        <v>1</v>
      </c>
      <c r="D208" s="67"/>
      <c r="E208" s="61">
        <f t="shared" si="99"/>
        <v>211.50719999999998</v>
      </c>
      <c r="F208" s="188">
        <f t="shared" si="108"/>
        <v>35.26</v>
      </c>
      <c r="G208" s="118" t="s">
        <v>262</v>
      </c>
      <c r="H208" s="59" t="str">
        <f t="shared" si="100"/>
        <v>Magenta Wool</v>
      </c>
      <c r="I208" s="59">
        <f t="shared" si="101"/>
        <v>88.128</v>
      </c>
      <c r="J208" s="84">
        <v>2</v>
      </c>
      <c r="K208" s="132" t="s">
        <v>926</v>
      </c>
      <c r="L208" s="107" t="str">
        <f t="shared" si="102"/>
        <v>ninguno</v>
      </c>
      <c r="M208" s="107">
        <f t="shared" si="103"/>
        <v>0</v>
      </c>
      <c r="N208" s="84"/>
      <c r="O208" s="132" t="s">
        <v>926</v>
      </c>
      <c r="P208" s="59" t="str">
        <f t="shared" si="104"/>
        <v>ninguno</v>
      </c>
      <c r="Q208" s="59">
        <f t="shared" si="105"/>
        <v>0</v>
      </c>
      <c r="R208" s="84"/>
      <c r="S208" s="132" t="s">
        <v>926</v>
      </c>
      <c r="T208" s="107" t="str">
        <f t="shared" si="106"/>
        <v>ninguno</v>
      </c>
      <c r="U208" s="107">
        <f t="shared" si="107"/>
        <v>0</v>
      </c>
      <c r="V208" s="84"/>
    </row>
    <row r="209" spans="1:22" s="108" customFormat="1" ht="14.25" customHeight="1" x14ac:dyDescent="0.25">
      <c r="A209" s="119" t="s">
        <v>513</v>
      </c>
      <c r="B209" s="68" t="s">
        <v>512</v>
      </c>
      <c r="C209" s="99">
        <v>1</v>
      </c>
      <c r="D209" s="67"/>
      <c r="E209" s="61">
        <f t="shared" si="99"/>
        <v>124.41599999999998</v>
      </c>
      <c r="F209" s="188">
        <f t="shared" si="108"/>
        <v>20.740000000000002</v>
      </c>
      <c r="G209" s="118" t="s">
        <v>264</v>
      </c>
      <c r="H209" s="59" t="str">
        <f t="shared" si="100"/>
        <v>Light Blue Wool</v>
      </c>
      <c r="I209" s="59">
        <f t="shared" si="101"/>
        <v>51.839999999999996</v>
      </c>
      <c r="J209" s="84">
        <v>2</v>
      </c>
      <c r="K209" s="132" t="s">
        <v>926</v>
      </c>
      <c r="L209" s="107" t="str">
        <f t="shared" si="102"/>
        <v>ninguno</v>
      </c>
      <c r="M209" s="107">
        <f t="shared" si="103"/>
        <v>0</v>
      </c>
      <c r="N209" s="84"/>
      <c r="O209" s="132" t="s">
        <v>926</v>
      </c>
      <c r="P209" s="59" t="str">
        <f t="shared" si="104"/>
        <v>ninguno</v>
      </c>
      <c r="Q209" s="59">
        <f t="shared" si="105"/>
        <v>0</v>
      </c>
      <c r="R209" s="84"/>
      <c r="S209" s="132" t="s">
        <v>926</v>
      </c>
      <c r="T209" s="107" t="str">
        <f t="shared" si="106"/>
        <v>ninguno</v>
      </c>
      <c r="U209" s="107">
        <f t="shared" si="107"/>
        <v>0</v>
      </c>
      <c r="V209" s="84"/>
    </row>
    <row r="210" spans="1:22" s="108" customFormat="1" ht="14.25" customHeight="1" x14ac:dyDescent="0.25">
      <c r="A210" s="119" t="s">
        <v>515</v>
      </c>
      <c r="B210" s="68" t="s">
        <v>514</v>
      </c>
      <c r="C210" s="99">
        <v>1</v>
      </c>
      <c r="D210" s="67"/>
      <c r="E210" s="61">
        <f t="shared" si="99"/>
        <v>88.128</v>
      </c>
      <c r="F210" s="188">
        <f t="shared" si="108"/>
        <v>14.69</v>
      </c>
      <c r="G210" s="118" t="s">
        <v>265</v>
      </c>
      <c r="H210" s="59" t="str">
        <f t="shared" si="100"/>
        <v>Yellow Wool</v>
      </c>
      <c r="I210" s="59">
        <f t="shared" si="101"/>
        <v>36.72</v>
      </c>
      <c r="J210" s="84">
        <v>2</v>
      </c>
      <c r="K210" s="132" t="s">
        <v>926</v>
      </c>
      <c r="L210" s="107" t="str">
        <f t="shared" si="102"/>
        <v>ninguno</v>
      </c>
      <c r="M210" s="107">
        <f t="shared" si="103"/>
        <v>0</v>
      </c>
      <c r="N210" s="84"/>
      <c r="O210" s="132" t="s">
        <v>926</v>
      </c>
      <c r="P210" s="59" t="str">
        <f t="shared" si="104"/>
        <v>ninguno</v>
      </c>
      <c r="Q210" s="59">
        <f t="shared" si="105"/>
        <v>0</v>
      </c>
      <c r="R210" s="84"/>
      <c r="S210" s="132" t="s">
        <v>926</v>
      </c>
      <c r="T210" s="107" t="str">
        <f t="shared" si="106"/>
        <v>ninguno</v>
      </c>
      <c r="U210" s="107">
        <f t="shared" si="107"/>
        <v>0</v>
      </c>
      <c r="V210" s="84"/>
    </row>
    <row r="211" spans="1:22" s="108" customFormat="1" ht="14.25" customHeight="1" x14ac:dyDescent="0.25">
      <c r="A211" s="119" t="s">
        <v>517</v>
      </c>
      <c r="B211" s="68" t="s">
        <v>516</v>
      </c>
      <c r="C211" s="99">
        <v>1</v>
      </c>
      <c r="D211" s="67"/>
      <c r="E211" s="61">
        <f t="shared" si="99"/>
        <v>155.51999999999998</v>
      </c>
      <c r="F211" s="188">
        <f t="shared" si="108"/>
        <v>25.92</v>
      </c>
      <c r="G211" s="118" t="s">
        <v>267</v>
      </c>
      <c r="H211" s="59" t="str">
        <f t="shared" si="100"/>
        <v>Lime Wool</v>
      </c>
      <c r="I211" s="59">
        <f t="shared" si="101"/>
        <v>64.8</v>
      </c>
      <c r="J211" s="84">
        <v>2</v>
      </c>
      <c r="K211" s="132" t="s">
        <v>926</v>
      </c>
      <c r="L211" s="107" t="str">
        <f t="shared" si="102"/>
        <v>ninguno</v>
      </c>
      <c r="M211" s="107">
        <f t="shared" si="103"/>
        <v>0</v>
      </c>
      <c r="N211" s="84"/>
      <c r="O211" s="132" t="s">
        <v>926</v>
      </c>
      <c r="P211" s="59" t="str">
        <f t="shared" si="104"/>
        <v>ninguno</v>
      </c>
      <c r="Q211" s="59">
        <f t="shared" si="105"/>
        <v>0</v>
      </c>
      <c r="R211" s="84"/>
      <c r="S211" s="132" t="s">
        <v>926</v>
      </c>
      <c r="T211" s="107" t="str">
        <f t="shared" si="106"/>
        <v>ninguno</v>
      </c>
      <c r="U211" s="107">
        <f t="shared" si="107"/>
        <v>0</v>
      </c>
      <c r="V211" s="84"/>
    </row>
    <row r="212" spans="1:22" s="108" customFormat="1" ht="14.25" customHeight="1" x14ac:dyDescent="0.25">
      <c r="A212" s="119" t="s">
        <v>519</v>
      </c>
      <c r="B212" s="68" t="s">
        <v>518</v>
      </c>
      <c r="C212" s="99">
        <v>1</v>
      </c>
      <c r="D212" s="67"/>
      <c r="E212" s="61">
        <f t="shared" si="99"/>
        <v>124.41599999999998</v>
      </c>
      <c r="F212" s="188">
        <f t="shared" si="108"/>
        <v>20.740000000000002</v>
      </c>
      <c r="G212" s="118" t="s">
        <v>268</v>
      </c>
      <c r="H212" s="59" t="str">
        <f t="shared" si="100"/>
        <v>Pink Wool</v>
      </c>
      <c r="I212" s="59">
        <f t="shared" si="101"/>
        <v>51.839999999999996</v>
      </c>
      <c r="J212" s="84">
        <v>2</v>
      </c>
      <c r="K212" s="132" t="s">
        <v>926</v>
      </c>
      <c r="L212" s="107" t="str">
        <f t="shared" si="102"/>
        <v>ninguno</v>
      </c>
      <c r="M212" s="107">
        <f t="shared" si="103"/>
        <v>0</v>
      </c>
      <c r="N212" s="84"/>
      <c r="O212" s="132" t="s">
        <v>926</v>
      </c>
      <c r="P212" s="59" t="str">
        <f t="shared" si="104"/>
        <v>ninguno</v>
      </c>
      <c r="Q212" s="59">
        <f t="shared" si="105"/>
        <v>0</v>
      </c>
      <c r="R212" s="84"/>
      <c r="S212" s="132" t="s">
        <v>926</v>
      </c>
      <c r="T212" s="107" t="str">
        <f t="shared" si="106"/>
        <v>ninguno</v>
      </c>
      <c r="U212" s="107">
        <f t="shared" si="107"/>
        <v>0</v>
      </c>
      <c r="V212" s="84"/>
    </row>
    <row r="213" spans="1:22" s="108" customFormat="1" ht="14.25" customHeight="1" x14ac:dyDescent="0.25">
      <c r="A213" s="119" t="s">
        <v>521</v>
      </c>
      <c r="B213" s="68" t="s">
        <v>520</v>
      </c>
      <c r="C213" s="99">
        <v>1</v>
      </c>
      <c r="D213" s="67"/>
      <c r="E213" s="61">
        <f t="shared" si="99"/>
        <v>124.41599999999998</v>
      </c>
      <c r="F213" s="188">
        <f t="shared" si="108"/>
        <v>20.740000000000002</v>
      </c>
      <c r="G213" s="118" t="s">
        <v>269</v>
      </c>
      <c r="H213" s="59" t="str">
        <f t="shared" si="100"/>
        <v>Gray Wool</v>
      </c>
      <c r="I213" s="59">
        <f t="shared" si="101"/>
        <v>51.839999999999996</v>
      </c>
      <c r="J213" s="84">
        <v>2</v>
      </c>
      <c r="K213" s="132" t="s">
        <v>926</v>
      </c>
      <c r="L213" s="107" t="str">
        <f t="shared" si="102"/>
        <v>ninguno</v>
      </c>
      <c r="M213" s="107">
        <f t="shared" si="103"/>
        <v>0</v>
      </c>
      <c r="N213" s="84"/>
      <c r="O213" s="132" t="s">
        <v>926</v>
      </c>
      <c r="P213" s="59" t="str">
        <f t="shared" si="104"/>
        <v>ninguno</v>
      </c>
      <c r="Q213" s="59">
        <f t="shared" si="105"/>
        <v>0</v>
      </c>
      <c r="R213" s="84"/>
      <c r="S213" s="132" t="s">
        <v>926</v>
      </c>
      <c r="T213" s="107" t="str">
        <f t="shared" si="106"/>
        <v>ninguno</v>
      </c>
      <c r="U213" s="107">
        <f t="shared" si="107"/>
        <v>0</v>
      </c>
      <c r="V213" s="84"/>
    </row>
    <row r="214" spans="1:22" s="108" customFormat="1" ht="14.25" customHeight="1" x14ac:dyDescent="0.25">
      <c r="A214" s="119" t="s">
        <v>523</v>
      </c>
      <c r="B214" s="68" t="s">
        <v>522</v>
      </c>
      <c r="C214" s="99">
        <v>1</v>
      </c>
      <c r="D214" s="67"/>
      <c r="E214" s="61">
        <f t="shared" si="99"/>
        <v>167.96159999999998</v>
      </c>
      <c r="F214" s="188">
        <f t="shared" si="108"/>
        <v>28</v>
      </c>
      <c r="G214" s="118" t="s">
        <v>270</v>
      </c>
      <c r="H214" s="59" t="str">
        <f t="shared" si="100"/>
        <v>Light Gray Wool</v>
      </c>
      <c r="I214" s="59">
        <f t="shared" si="101"/>
        <v>69.983999999999995</v>
      </c>
      <c r="J214" s="84">
        <v>2</v>
      </c>
      <c r="K214" s="132" t="s">
        <v>926</v>
      </c>
      <c r="L214" s="107" t="str">
        <f t="shared" si="102"/>
        <v>ninguno</v>
      </c>
      <c r="M214" s="107">
        <f t="shared" si="103"/>
        <v>0</v>
      </c>
      <c r="N214" s="84"/>
      <c r="O214" s="132" t="s">
        <v>926</v>
      </c>
      <c r="P214" s="59" t="str">
        <f t="shared" si="104"/>
        <v>ninguno</v>
      </c>
      <c r="Q214" s="59">
        <f t="shared" si="105"/>
        <v>0</v>
      </c>
      <c r="R214" s="84"/>
      <c r="S214" s="132" t="s">
        <v>926</v>
      </c>
      <c r="T214" s="107" t="str">
        <f t="shared" si="106"/>
        <v>ninguno</v>
      </c>
      <c r="U214" s="107">
        <f t="shared" si="107"/>
        <v>0</v>
      </c>
      <c r="V214" s="84"/>
    </row>
    <row r="215" spans="1:22" s="108" customFormat="1" ht="14.25" customHeight="1" x14ac:dyDescent="0.25">
      <c r="A215" s="119" t="s">
        <v>525</v>
      </c>
      <c r="B215" s="68" t="s">
        <v>524</v>
      </c>
      <c r="C215" s="99">
        <v>1</v>
      </c>
      <c r="D215" s="67"/>
      <c r="E215" s="61">
        <f t="shared" si="99"/>
        <v>124.41599999999998</v>
      </c>
      <c r="F215" s="188">
        <f t="shared" si="108"/>
        <v>20.740000000000002</v>
      </c>
      <c r="G215" s="118" t="s">
        <v>271</v>
      </c>
      <c r="H215" s="59" t="str">
        <f t="shared" si="100"/>
        <v>Cyan Wool</v>
      </c>
      <c r="I215" s="59">
        <f t="shared" si="101"/>
        <v>51.839999999999996</v>
      </c>
      <c r="J215" s="84">
        <v>2</v>
      </c>
      <c r="K215" s="132" t="s">
        <v>926</v>
      </c>
      <c r="L215" s="107" t="str">
        <f t="shared" si="102"/>
        <v>ninguno</v>
      </c>
      <c r="M215" s="107">
        <f t="shared" si="103"/>
        <v>0</v>
      </c>
      <c r="N215" s="84"/>
      <c r="O215" s="132" t="s">
        <v>926</v>
      </c>
      <c r="P215" s="59" t="str">
        <f t="shared" si="104"/>
        <v>ninguno</v>
      </c>
      <c r="Q215" s="59">
        <f t="shared" si="105"/>
        <v>0</v>
      </c>
      <c r="R215" s="84"/>
      <c r="S215" s="132" t="s">
        <v>926</v>
      </c>
      <c r="T215" s="107" t="str">
        <f t="shared" si="106"/>
        <v>ninguno</v>
      </c>
      <c r="U215" s="107">
        <f t="shared" si="107"/>
        <v>0</v>
      </c>
      <c r="V215" s="84"/>
    </row>
    <row r="216" spans="1:22" s="108" customFormat="1" ht="14.25" customHeight="1" x14ac:dyDescent="0.25">
      <c r="A216" s="119" t="s">
        <v>527</v>
      </c>
      <c r="B216" s="68" t="s">
        <v>526</v>
      </c>
      <c r="C216" s="99">
        <v>1</v>
      </c>
      <c r="D216" s="67"/>
      <c r="E216" s="61">
        <f t="shared" si="99"/>
        <v>124.41599999999998</v>
      </c>
      <c r="F216" s="188">
        <f t="shared" si="108"/>
        <v>20.740000000000002</v>
      </c>
      <c r="G216" s="118" t="s">
        <v>273</v>
      </c>
      <c r="H216" s="59" t="str">
        <f t="shared" si="100"/>
        <v>Purple Wool</v>
      </c>
      <c r="I216" s="59">
        <f t="shared" si="101"/>
        <v>51.839999999999996</v>
      </c>
      <c r="J216" s="84">
        <v>2</v>
      </c>
      <c r="K216" s="132" t="s">
        <v>926</v>
      </c>
      <c r="L216" s="107" t="str">
        <f t="shared" si="102"/>
        <v>ninguno</v>
      </c>
      <c r="M216" s="107">
        <f t="shared" si="103"/>
        <v>0</v>
      </c>
      <c r="N216" s="84"/>
      <c r="O216" s="132" t="s">
        <v>926</v>
      </c>
      <c r="P216" s="59" t="str">
        <f t="shared" si="104"/>
        <v>ninguno</v>
      </c>
      <c r="Q216" s="59">
        <f t="shared" si="105"/>
        <v>0</v>
      </c>
      <c r="R216" s="84"/>
      <c r="S216" s="132" t="s">
        <v>926</v>
      </c>
      <c r="T216" s="107" t="str">
        <f t="shared" si="106"/>
        <v>ninguno</v>
      </c>
      <c r="U216" s="107">
        <f t="shared" si="107"/>
        <v>0</v>
      </c>
      <c r="V216" s="84"/>
    </row>
    <row r="217" spans="1:22" s="108" customFormat="1" ht="14.25" customHeight="1" x14ac:dyDescent="0.25">
      <c r="A217" s="119" t="s">
        <v>529</v>
      </c>
      <c r="B217" s="68" t="s">
        <v>528</v>
      </c>
      <c r="C217" s="99">
        <v>1</v>
      </c>
      <c r="D217" s="67"/>
      <c r="E217" s="61">
        <f t="shared" si="99"/>
        <v>88.128</v>
      </c>
      <c r="F217" s="188">
        <f t="shared" si="108"/>
        <v>14.69</v>
      </c>
      <c r="G217" s="118" t="s">
        <v>275</v>
      </c>
      <c r="H217" s="59" t="str">
        <f t="shared" si="100"/>
        <v>Blue Wool</v>
      </c>
      <c r="I217" s="59">
        <f t="shared" si="101"/>
        <v>36.72</v>
      </c>
      <c r="J217" s="84">
        <v>2</v>
      </c>
      <c r="K217" s="132" t="s">
        <v>926</v>
      </c>
      <c r="L217" s="107" t="str">
        <f t="shared" si="102"/>
        <v>ninguno</v>
      </c>
      <c r="M217" s="107">
        <f t="shared" si="103"/>
        <v>0</v>
      </c>
      <c r="N217" s="84"/>
      <c r="O217" s="132" t="s">
        <v>926</v>
      </c>
      <c r="P217" s="59" t="str">
        <f t="shared" si="104"/>
        <v>ninguno</v>
      </c>
      <c r="Q217" s="59">
        <f t="shared" si="105"/>
        <v>0</v>
      </c>
      <c r="R217" s="84"/>
      <c r="S217" s="132" t="s">
        <v>926</v>
      </c>
      <c r="T217" s="107" t="str">
        <f t="shared" si="106"/>
        <v>ninguno</v>
      </c>
      <c r="U217" s="107">
        <f t="shared" si="107"/>
        <v>0</v>
      </c>
      <c r="V217" s="84"/>
    </row>
    <row r="218" spans="1:22" s="108" customFormat="1" ht="14.25" customHeight="1" x14ac:dyDescent="0.25">
      <c r="A218" s="119" t="s">
        <v>531</v>
      </c>
      <c r="B218" s="68" t="s">
        <v>530</v>
      </c>
      <c r="C218" s="99">
        <v>1</v>
      </c>
      <c r="D218" s="67"/>
      <c r="E218" s="61">
        <f t="shared" si="99"/>
        <v>88.128</v>
      </c>
      <c r="F218" s="188">
        <f t="shared" si="108"/>
        <v>14.69</v>
      </c>
      <c r="G218" s="118" t="s">
        <v>277</v>
      </c>
      <c r="H218" s="59" t="str">
        <f t="shared" si="100"/>
        <v>Brown Wool</v>
      </c>
      <c r="I218" s="59">
        <f t="shared" si="101"/>
        <v>36.72</v>
      </c>
      <c r="J218" s="84">
        <v>2</v>
      </c>
      <c r="K218" s="132" t="s">
        <v>926</v>
      </c>
      <c r="L218" s="107" t="str">
        <f t="shared" si="102"/>
        <v>ninguno</v>
      </c>
      <c r="M218" s="107">
        <f t="shared" si="103"/>
        <v>0</v>
      </c>
      <c r="N218" s="84"/>
      <c r="O218" s="132" t="s">
        <v>926</v>
      </c>
      <c r="P218" s="59" t="str">
        <f t="shared" si="104"/>
        <v>ninguno</v>
      </c>
      <c r="Q218" s="59">
        <f t="shared" si="105"/>
        <v>0</v>
      </c>
      <c r="R218" s="84"/>
      <c r="S218" s="132" t="s">
        <v>926</v>
      </c>
      <c r="T218" s="107" t="str">
        <f t="shared" si="106"/>
        <v>ninguno</v>
      </c>
      <c r="U218" s="107">
        <f t="shared" si="107"/>
        <v>0</v>
      </c>
      <c r="V218" s="84"/>
    </row>
    <row r="219" spans="1:22" s="108" customFormat="1" ht="14.25" customHeight="1" x14ac:dyDescent="0.25">
      <c r="A219" s="119" t="s">
        <v>533</v>
      </c>
      <c r="B219" s="68" t="s">
        <v>532</v>
      </c>
      <c r="C219" s="99">
        <v>1</v>
      </c>
      <c r="D219" s="67"/>
      <c r="E219" s="61">
        <f t="shared" si="99"/>
        <v>88.128</v>
      </c>
      <c r="F219" s="188">
        <f t="shared" si="108"/>
        <v>14.69</v>
      </c>
      <c r="G219" s="118" t="s">
        <v>279</v>
      </c>
      <c r="H219" s="59" t="str">
        <f t="shared" si="100"/>
        <v>Green Wool</v>
      </c>
      <c r="I219" s="59">
        <f t="shared" si="101"/>
        <v>36.72</v>
      </c>
      <c r="J219" s="84">
        <v>2</v>
      </c>
      <c r="K219" s="132" t="s">
        <v>926</v>
      </c>
      <c r="L219" s="107" t="str">
        <f t="shared" si="102"/>
        <v>ninguno</v>
      </c>
      <c r="M219" s="107">
        <f t="shared" si="103"/>
        <v>0</v>
      </c>
      <c r="N219" s="84"/>
      <c r="O219" s="132" t="s">
        <v>926</v>
      </c>
      <c r="P219" s="59" t="str">
        <f t="shared" si="104"/>
        <v>ninguno</v>
      </c>
      <c r="Q219" s="59">
        <f t="shared" si="105"/>
        <v>0</v>
      </c>
      <c r="R219" s="84"/>
      <c r="S219" s="132" t="s">
        <v>926</v>
      </c>
      <c r="T219" s="107" t="str">
        <f t="shared" si="106"/>
        <v>ninguno</v>
      </c>
      <c r="U219" s="107">
        <f t="shared" si="107"/>
        <v>0</v>
      </c>
      <c r="V219" s="84"/>
    </row>
    <row r="220" spans="1:22" s="108" customFormat="1" ht="14.25" customHeight="1" x14ac:dyDescent="0.25">
      <c r="A220" s="119" t="s">
        <v>535</v>
      </c>
      <c r="B220" s="68" t="s">
        <v>534</v>
      </c>
      <c r="C220" s="99">
        <v>1</v>
      </c>
      <c r="D220" s="67"/>
      <c r="E220" s="61">
        <f t="shared" si="99"/>
        <v>88.128</v>
      </c>
      <c r="F220" s="188">
        <f t="shared" si="108"/>
        <v>14.69</v>
      </c>
      <c r="G220" s="118" t="s">
        <v>281</v>
      </c>
      <c r="H220" s="59" t="str">
        <f t="shared" si="100"/>
        <v>Red Wool</v>
      </c>
      <c r="I220" s="59">
        <f t="shared" si="101"/>
        <v>36.72</v>
      </c>
      <c r="J220" s="84">
        <v>2</v>
      </c>
      <c r="K220" s="132" t="s">
        <v>926</v>
      </c>
      <c r="L220" s="107" t="str">
        <f t="shared" si="102"/>
        <v>ninguno</v>
      </c>
      <c r="M220" s="107">
        <f t="shared" si="103"/>
        <v>0</v>
      </c>
      <c r="N220" s="84"/>
      <c r="O220" s="132" t="s">
        <v>926</v>
      </c>
      <c r="P220" s="59" t="str">
        <f t="shared" si="104"/>
        <v>ninguno</v>
      </c>
      <c r="Q220" s="59">
        <f t="shared" si="105"/>
        <v>0</v>
      </c>
      <c r="R220" s="84"/>
      <c r="S220" s="132" t="s">
        <v>926</v>
      </c>
      <c r="T220" s="107" t="str">
        <f t="shared" si="106"/>
        <v>ninguno</v>
      </c>
      <c r="U220" s="107">
        <f t="shared" si="107"/>
        <v>0</v>
      </c>
      <c r="V220" s="84"/>
    </row>
    <row r="221" spans="1:22" s="108" customFormat="1" ht="14.25" customHeight="1" x14ac:dyDescent="0.25">
      <c r="A221" s="119" t="s">
        <v>962</v>
      </c>
      <c r="B221" s="68" t="s">
        <v>536</v>
      </c>
      <c r="C221" s="99">
        <v>1</v>
      </c>
      <c r="D221" s="67"/>
      <c r="E221" s="61">
        <f t="shared" si="99"/>
        <v>88.128</v>
      </c>
      <c r="F221" s="188">
        <f t="shared" si="108"/>
        <v>14.69</v>
      </c>
      <c r="G221" s="118" t="s">
        <v>283</v>
      </c>
      <c r="H221" s="59" t="str">
        <f t="shared" si="100"/>
        <v>Black Wool</v>
      </c>
      <c r="I221" s="59">
        <f t="shared" si="101"/>
        <v>36.72</v>
      </c>
      <c r="J221" s="84">
        <v>2</v>
      </c>
      <c r="K221" s="132" t="s">
        <v>926</v>
      </c>
      <c r="L221" s="107" t="str">
        <f t="shared" si="102"/>
        <v>ninguno</v>
      </c>
      <c r="M221" s="107">
        <f t="shared" si="103"/>
        <v>0</v>
      </c>
      <c r="N221" s="84"/>
      <c r="O221" s="132" t="s">
        <v>926</v>
      </c>
      <c r="P221" s="59" t="str">
        <f t="shared" si="104"/>
        <v>ninguno</v>
      </c>
      <c r="Q221" s="59">
        <f t="shared" si="105"/>
        <v>0</v>
      </c>
      <c r="R221" s="84"/>
      <c r="S221" s="132" t="s">
        <v>926</v>
      </c>
      <c r="T221" s="107" t="str">
        <f t="shared" si="106"/>
        <v>ninguno</v>
      </c>
      <c r="U221" s="107">
        <f t="shared" si="107"/>
        <v>0</v>
      </c>
      <c r="V221" s="84"/>
    </row>
    <row r="222" spans="1:22" s="108" customFormat="1" ht="14.25" customHeight="1" x14ac:dyDescent="0.25">
      <c r="A222" s="119">
        <v>172</v>
      </c>
      <c r="B222" s="68" t="s">
        <v>537</v>
      </c>
      <c r="C222" s="99">
        <v>1</v>
      </c>
      <c r="D222" s="67"/>
      <c r="E222" s="61">
        <f t="shared" si="99"/>
        <v>86.399999999999991</v>
      </c>
      <c r="F222" s="188">
        <f t="shared" si="108"/>
        <v>14.4</v>
      </c>
      <c r="G222" s="118">
        <v>82</v>
      </c>
      <c r="H222" s="59" t="str">
        <f t="shared" si="100"/>
        <v>Clay Block</v>
      </c>
      <c r="I222" s="59">
        <f t="shared" si="101"/>
        <v>72</v>
      </c>
      <c r="J222" s="84">
        <v>1</v>
      </c>
      <c r="K222" s="132" t="s">
        <v>926</v>
      </c>
      <c r="L222" s="107" t="str">
        <f t="shared" si="102"/>
        <v>ninguno</v>
      </c>
      <c r="M222" s="107">
        <f t="shared" si="103"/>
        <v>0</v>
      </c>
      <c r="N222" s="84"/>
      <c r="O222" s="132" t="s">
        <v>926</v>
      </c>
      <c r="P222" s="59" t="str">
        <f t="shared" si="104"/>
        <v>ninguno</v>
      </c>
      <c r="Q222" s="59">
        <f t="shared" si="105"/>
        <v>0</v>
      </c>
      <c r="R222" s="84"/>
      <c r="S222" s="132" t="s">
        <v>926</v>
      </c>
      <c r="T222" s="107" t="str">
        <f t="shared" si="106"/>
        <v>ninguno</v>
      </c>
      <c r="U222" s="107">
        <f t="shared" si="107"/>
        <v>0</v>
      </c>
      <c r="V222" s="84"/>
    </row>
    <row r="223" spans="1:22" s="108" customFormat="1" ht="14.25" customHeight="1" x14ac:dyDescent="0.25">
      <c r="A223" s="119">
        <v>173</v>
      </c>
      <c r="B223" s="68" t="s">
        <v>538</v>
      </c>
      <c r="C223" s="99">
        <v>1</v>
      </c>
      <c r="D223" s="67"/>
      <c r="E223" s="61">
        <f t="shared" si="99"/>
        <v>75.599999999999994</v>
      </c>
      <c r="F223" s="188">
        <f t="shared" si="108"/>
        <v>12.6</v>
      </c>
      <c r="G223" s="118">
        <v>263</v>
      </c>
      <c r="H223" s="59" t="str">
        <f t="shared" si="100"/>
        <v>Coal</v>
      </c>
      <c r="I223" s="59">
        <f t="shared" si="101"/>
        <v>7</v>
      </c>
      <c r="J223" s="84">
        <v>9</v>
      </c>
      <c r="K223" s="132" t="s">
        <v>926</v>
      </c>
      <c r="L223" s="107" t="str">
        <f t="shared" si="102"/>
        <v>ninguno</v>
      </c>
      <c r="M223" s="107">
        <f t="shared" si="103"/>
        <v>0</v>
      </c>
      <c r="N223" s="84"/>
      <c r="O223" s="132" t="s">
        <v>926</v>
      </c>
      <c r="P223" s="59" t="str">
        <f t="shared" si="104"/>
        <v>ninguno</v>
      </c>
      <c r="Q223" s="59">
        <f t="shared" si="105"/>
        <v>0</v>
      </c>
      <c r="R223" s="84"/>
      <c r="S223" s="132" t="s">
        <v>926</v>
      </c>
      <c r="T223" s="107" t="str">
        <f t="shared" si="106"/>
        <v>ninguno</v>
      </c>
      <c r="U223" s="107">
        <f t="shared" si="107"/>
        <v>0</v>
      </c>
      <c r="V223" s="84"/>
    </row>
    <row r="224" spans="1:22" s="108" customFormat="1" ht="14.25" customHeight="1" x14ac:dyDescent="0.25">
      <c r="A224" s="123">
        <v>179</v>
      </c>
      <c r="B224" s="72" t="s">
        <v>539</v>
      </c>
      <c r="C224" s="99">
        <v>1</v>
      </c>
      <c r="D224" s="67"/>
      <c r="E224" s="61">
        <f t="shared" si="99"/>
        <v>72</v>
      </c>
      <c r="F224" s="188">
        <f t="shared" si="108"/>
        <v>12</v>
      </c>
      <c r="G224" s="118" t="s">
        <v>242</v>
      </c>
      <c r="H224" s="59" t="str">
        <f t="shared" si="100"/>
        <v>Red Sand</v>
      </c>
      <c r="I224" s="59">
        <f t="shared" si="101"/>
        <v>15</v>
      </c>
      <c r="J224" s="84">
        <v>4</v>
      </c>
      <c r="K224" s="132" t="s">
        <v>926</v>
      </c>
      <c r="L224" s="107" t="str">
        <f t="shared" si="102"/>
        <v>ninguno</v>
      </c>
      <c r="M224" s="107">
        <f t="shared" si="103"/>
        <v>0</v>
      </c>
      <c r="N224" s="84"/>
      <c r="O224" s="132" t="s">
        <v>926</v>
      </c>
      <c r="P224" s="59" t="str">
        <f t="shared" si="104"/>
        <v>ninguno</v>
      </c>
      <c r="Q224" s="59">
        <f t="shared" si="105"/>
        <v>0</v>
      </c>
      <c r="R224" s="84"/>
      <c r="S224" s="132" t="s">
        <v>926</v>
      </c>
      <c r="T224" s="107" t="str">
        <f t="shared" si="106"/>
        <v>ninguno</v>
      </c>
      <c r="U224" s="107">
        <f t="shared" si="107"/>
        <v>0</v>
      </c>
      <c r="V224" s="84"/>
    </row>
    <row r="225" spans="1:22" s="108" customFormat="1" ht="14.25" customHeight="1" x14ac:dyDescent="0.25">
      <c r="A225" s="123" t="s">
        <v>541</v>
      </c>
      <c r="B225" s="71" t="s">
        <v>540</v>
      </c>
      <c r="C225" s="99">
        <v>1</v>
      </c>
      <c r="D225" s="67"/>
      <c r="E225" s="61">
        <f t="shared" si="99"/>
        <v>103.67999999999999</v>
      </c>
      <c r="F225" s="188">
        <f t="shared" si="108"/>
        <v>17.28</v>
      </c>
      <c r="G225" s="118">
        <v>182</v>
      </c>
      <c r="H225" s="59" t="str">
        <f t="shared" si="100"/>
        <v>Red Sandstone Slab</v>
      </c>
      <c r="I225" s="59">
        <f t="shared" si="101"/>
        <v>43.199999999999996</v>
      </c>
      <c r="J225" s="84">
        <v>2</v>
      </c>
      <c r="K225" s="132" t="s">
        <v>926</v>
      </c>
      <c r="L225" s="107" t="str">
        <f t="shared" si="102"/>
        <v>ninguno</v>
      </c>
      <c r="M225" s="107">
        <f t="shared" si="103"/>
        <v>0</v>
      </c>
      <c r="N225" s="84"/>
      <c r="O225" s="132" t="s">
        <v>926</v>
      </c>
      <c r="P225" s="59" t="str">
        <f t="shared" si="104"/>
        <v>ninguno</v>
      </c>
      <c r="Q225" s="59">
        <f t="shared" si="105"/>
        <v>0</v>
      </c>
      <c r="R225" s="84"/>
      <c r="S225" s="132" t="s">
        <v>926</v>
      </c>
      <c r="T225" s="107" t="str">
        <f t="shared" si="106"/>
        <v>ninguno</v>
      </c>
      <c r="U225" s="107">
        <f t="shared" si="107"/>
        <v>0</v>
      </c>
      <c r="V225" s="84"/>
    </row>
    <row r="226" spans="1:22" s="108" customFormat="1" ht="14.25" customHeight="1" x14ac:dyDescent="0.25">
      <c r="A226" s="123">
        <v>180</v>
      </c>
      <c r="B226" s="72" t="s">
        <v>542</v>
      </c>
      <c r="C226" s="99">
        <v>4</v>
      </c>
      <c r="D226" s="67"/>
      <c r="E226" s="61">
        <f t="shared" si="99"/>
        <v>129.6</v>
      </c>
      <c r="F226" s="188">
        <f t="shared" si="108"/>
        <v>21.6</v>
      </c>
      <c r="G226" s="118">
        <v>179</v>
      </c>
      <c r="H226" s="59" t="str">
        <f t="shared" si="100"/>
        <v>Red Sandstone</v>
      </c>
      <c r="I226" s="59">
        <f t="shared" si="101"/>
        <v>72</v>
      </c>
      <c r="J226" s="84">
        <v>6</v>
      </c>
      <c r="K226" s="132" t="s">
        <v>926</v>
      </c>
      <c r="L226" s="107" t="str">
        <f t="shared" si="102"/>
        <v>ninguno</v>
      </c>
      <c r="M226" s="107">
        <f t="shared" si="103"/>
        <v>0</v>
      </c>
      <c r="N226" s="84"/>
      <c r="O226" s="132" t="s">
        <v>926</v>
      </c>
      <c r="P226" s="59" t="str">
        <f t="shared" si="104"/>
        <v>ninguno</v>
      </c>
      <c r="Q226" s="59">
        <f t="shared" si="105"/>
        <v>0</v>
      </c>
      <c r="R226" s="84"/>
      <c r="S226" s="132" t="s">
        <v>926</v>
      </c>
      <c r="T226" s="107" t="str">
        <f t="shared" si="106"/>
        <v>ninguno</v>
      </c>
      <c r="U226" s="107">
        <f t="shared" si="107"/>
        <v>0</v>
      </c>
      <c r="V226" s="84"/>
    </row>
    <row r="227" spans="1:22" s="108" customFormat="1" ht="14.25" customHeight="1" x14ac:dyDescent="0.25">
      <c r="A227" s="123">
        <v>182</v>
      </c>
      <c r="B227" s="72" t="s">
        <v>543</v>
      </c>
      <c r="C227" s="99">
        <v>6</v>
      </c>
      <c r="D227" s="67"/>
      <c r="E227" s="61">
        <f t="shared" si="99"/>
        <v>43.199999999999996</v>
      </c>
      <c r="F227" s="188">
        <f t="shared" si="108"/>
        <v>7.2</v>
      </c>
      <c r="G227" s="118">
        <v>179</v>
      </c>
      <c r="H227" s="59" t="str">
        <f t="shared" ref="H227:H264" si="109">VLOOKUP(G227,LISTAITEMS,2,FALSE)</f>
        <v>Red Sandstone</v>
      </c>
      <c r="I227" s="59">
        <f t="shared" ref="I227:I248" si="110">VLOOKUP(G227,LISTAITEMS,5,FALSE)</f>
        <v>72</v>
      </c>
      <c r="J227" s="84">
        <v>3</v>
      </c>
      <c r="K227" s="132" t="s">
        <v>926</v>
      </c>
      <c r="L227" s="107" t="str">
        <f t="shared" ref="L227:L264" si="111">VLOOKUP(K227,LISTAITEMS,2,FALSE)</f>
        <v>ninguno</v>
      </c>
      <c r="M227" s="107">
        <f t="shared" ref="M227:M248" si="112">VLOOKUP(K227,LISTAITEMS,5,FALSE)</f>
        <v>0</v>
      </c>
      <c r="N227" s="84"/>
      <c r="O227" s="132" t="s">
        <v>926</v>
      </c>
      <c r="P227" s="59" t="str">
        <f t="shared" ref="P227:P264" si="113">VLOOKUP(O227,LISTAITEMS,2,FALSE)</f>
        <v>ninguno</v>
      </c>
      <c r="Q227" s="59">
        <f t="shared" ref="Q227:Q248" si="114">VLOOKUP(O227,LISTAITEMS,5,FALSE)</f>
        <v>0</v>
      </c>
      <c r="R227" s="84"/>
      <c r="S227" s="132" t="s">
        <v>926</v>
      </c>
      <c r="T227" s="107" t="str">
        <f t="shared" ref="T227:T264" si="115">VLOOKUP(S227,LISTAITEMS,2,FALSE)</f>
        <v>ninguno</v>
      </c>
      <c r="U227" s="107">
        <f t="shared" ref="U227:U248" si="116">VLOOKUP(S227,LISTAITEMS,5,FALSE)</f>
        <v>0</v>
      </c>
      <c r="V227" s="84"/>
    </row>
    <row r="228" spans="1:22" s="108" customFormat="1" ht="14.25" customHeight="1" x14ac:dyDescent="0.25">
      <c r="A228" s="123">
        <v>183</v>
      </c>
      <c r="B228" s="71" t="s">
        <v>544</v>
      </c>
      <c r="C228" s="99">
        <v>1</v>
      </c>
      <c r="D228" s="67"/>
      <c r="E228" s="61">
        <f t="shared" si="99"/>
        <v>9.6479999999999979</v>
      </c>
      <c r="F228" s="188">
        <f t="shared" si="108"/>
        <v>1.61</v>
      </c>
      <c r="G228" s="118">
        <v>280</v>
      </c>
      <c r="H228" s="59" t="str">
        <f t="shared" si="109"/>
        <v>Stick</v>
      </c>
      <c r="I228" s="59">
        <f t="shared" si="110"/>
        <v>0.36</v>
      </c>
      <c r="J228" s="84">
        <v>4</v>
      </c>
      <c r="K228" s="132" t="s">
        <v>232</v>
      </c>
      <c r="L228" s="107" t="str">
        <f t="shared" si="111"/>
        <v>Spruce Planks</v>
      </c>
      <c r="M228" s="107">
        <f t="shared" si="112"/>
        <v>3.3</v>
      </c>
      <c r="N228" s="84">
        <v>2</v>
      </c>
      <c r="O228" s="132" t="s">
        <v>926</v>
      </c>
      <c r="P228" s="59" t="str">
        <f t="shared" si="113"/>
        <v>ninguno</v>
      </c>
      <c r="Q228" s="59">
        <f t="shared" si="114"/>
        <v>0</v>
      </c>
      <c r="R228" s="84"/>
      <c r="S228" s="132" t="s">
        <v>926</v>
      </c>
      <c r="T228" s="107" t="str">
        <f t="shared" si="115"/>
        <v>ninguno</v>
      </c>
      <c r="U228" s="107">
        <f t="shared" si="116"/>
        <v>0</v>
      </c>
      <c r="V228" s="84"/>
    </row>
    <row r="229" spans="1:22" s="108" customFormat="1" ht="14.25" customHeight="1" x14ac:dyDescent="0.25">
      <c r="A229" s="123">
        <v>184</v>
      </c>
      <c r="B229" s="71" t="s">
        <v>545</v>
      </c>
      <c r="C229" s="99">
        <v>1</v>
      </c>
      <c r="D229" s="67"/>
      <c r="E229" s="61">
        <f t="shared" ref="E229:E260" si="117">(((I229*J229)+(M229*N229)+(Q229*R229)+(U229*V229))/C229)*1.2</f>
        <v>13.967999999999998</v>
      </c>
      <c r="F229" s="188">
        <f t="shared" si="108"/>
        <v>2.3299999999999996</v>
      </c>
      <c r="G229" s="118">
        <v>280</v>
      </c>
      <c r="H229" s="59" t="str">
        <f t="shared" si="109"/>
        <v>Stick</v>
      </c>
      <c r="I229" s="59">
        <f t="shared" si="110"/>
        <v>0.36</v>
      </c>
      <c r="J229" s="84">
        <v>4</v>
      </c>
      <c r="K229" s="132" t="s">
        <v>234</v>
      </c>
      <c r="L229" s="107" t="str">
        <f t="shared" si="111"/>
        <v>Birch Planks</v>
      </c>
      <c r="M229" s="107">
        <f t="shared" si="112"/>
        <v>5.0999999999999996</v>
      </c>
      <c r="N229" s="84">
        <v>2</v>
      </c>
      <c r="O229" s="132" t="s">
        <v>926</v>
      </c>
      <c r="P229" s="59" t="str">
        <f t="shared" si="113"/>
        <v>ninguno</v>
      </c>
      <c r="Q229" s="59">
        <f t="shared" si="114"/>
        <v>0</v>
      </c>
      <c r="R229" s="84"/>
      <c r="S229" s="132" t="s">
        <v>926</v>
      </c>
      <c r="T229" s="107" t="str">
        <f t="shared" si="115"/>
        <v>ninguno</v>
      </c>
      <c r="U229" s="107">
        <f t="shared" si="116"/>
        <v>0</v>
      </c>
      <c r="V229" s="84"/>
    </row>
    <row r="230" spans="1:22" s="108" customFormat="1" ht="14.25" customHeight="1" x14ac:dyDescent="0.25">
      <c r="A230" s="123">
        <v>185</v>
      </c>
      <c r="B230" s="71" t="s">
        <v>546</v>
      </c>
      <c r="C230" s="99">
        <v>1</v>
      </c>
      <c r="D230" s="67"/>
      <c r="E230" s="61">
        <f t="shared" si="117"/>
        <v>19.007999999999996</v>
      </c>
      <c r="F230" s="188">
        <f t="shared" si="108"/>
        <v>3.17</v>
      </c>
      <c r="G230" s="118">
        <v>280</v>
      </c>
      <c r="H230" s="59" t="str">
        <f t="shared" si="109"/>
        <v>Stick</v>
      </c>
      <c r="I230" s="59">
        <f t="shared" si="110"/>
        <v>0.36</v>
      </c>
      <c r="J230" s="84">
        <v>4</v>
      </c>
      <c r="K230" s="132" t="s">
        <v>236</v>
      </c>
      <c r="L230" s="107" t="str">
        <f t="shared" si="111"/>
        <v>Jungle Planks</v>
      </c>
      <c r="M230" s="107">
        <f t="shared" si="112"/>
        <v>7.1999999999999993</v>
      </c>
      <c r="N230" s="84">
        <v>2</v>
      </c>
      <c r="O230" s="132" t="s">
        <v>926</v>
      </c>
      <c r="P230" s="59" t="str">
        <f t="shared" si="113"/>
        <v>ninguno</v>
      </c>
      <c r="Q230" s="59">
        <f t="shared" si="114"/>
        <v>0</v>
      </c>
      <c r="R230" s="84"/>
      <c r="S230" s="132" t="s">
        <v>926</v>
      </c>
      <c r="T230" s="107" t="str">
        <f t="shared" si="115"/>
        <v>ninguno</v>
      </c>
      <c r="U230" s="107">
        <f t="shared" si="116"/>
        <v>0</v>
      </c>
      <c r="V230" s="84"/>
    </row>
    <row r="231" spans="1:22" s="108" customFormat="1" ht="14.25" customHeight="1" x14ac:dyDescent="0.25">
      <c r="A231" s="123">
        <v>186</v>
      </c>
      <c r="B231" s="71" t="s">
        <v>547</v>
      </c>
      <c r="C231" s="99">
        <v>1</v>
      </c>
      <c r="D231" s="67"/>
      <c r="E231" s="61">
        <f t="shared" si="117"/>
        <v>28.367999999999999</v>
      </c>
      <c r="F231" s="188">
        <f t="shared" si="108"/>
        <v>4.7299999999999995</v>
      </c>
      <c r="G231" s="118">
        <v>280</v>
      </c>
      <c r="H231" s="59" t="str">
        <f t="shared" si="109"/>
        <v>Stick</v>
      </c>
      <c r="I231" s="59">
        <f t="shared" si="110"/>
        <v>0.36</v>
      </c>
      <c r="J231" s="84">
        <v>4</v>
      </c>
      <c r="K231" s="132" t="s">
        <v>240</v>
      </c>
      <c r="L231" s="107" t="str">
        <f t="shared" si="111"/>
        <v>Dark Oak Planks</v>
      </c>
      <c r="M231" s="107">
        <f t="shared" si="112"/>
        <v>11.1</v>
      </c>
      <c r="N231" s="84">
        <v>2</v>
      </c>
      <c r="O231" s="132" t="s">
        <v>926</v>
      </c>
      <c r="P231" s="59" t="str">
        <f t="shared" si="113"/>
        <v>ninguno</v>
      </c>
      <c r="Q231" s="59">
        <f t="shared" si="114"/>
        <v>0</v>
      </c>
      <c r="R231" s="84"/>
      <c r="S231" s="132" t="s">
        <v>926</v>
      </c>
      <c r="T231" s="107" t="str">
        <f t="shared" si="115"/>
        <v>ninguno</v>
      </c>
      <c r="U231" s="107">
        <f t="shared" si="116"/>
        <v>0</v>
      </c>
      <c r="V231" s="84"/>
    </row>
    <row r="232" spans="1:22" s="108" customFormat="1" ht="14.25" customHeight="1" x14ac:dyDescent="0.25">
      <c r="A232" s="123">
        <v>187</v>
      </c>
      <c r="B232" s="71" t="s">
        <v>548</v>
      </c>
      <c r="C232" s="99">
        <v>1</v>
      </c>
      <c r="D232" s="67"/>
      <c r="E232" s="61">
        <f t="shared" si="117"/>
        <v>24.047999999999998</v>
      </c>
      <c r="F232" s="188">
        <f t="shared" si="108"/>
        <v>4.01</v>
      </c>
      <c r="G232" s="118">
        <v>280</v>
      </c>
      <c r="H232" s="59" t="str">
        <f t="shared" si="109"/>
        <v>Stick</v>
      </c>
      <c r="I232" s="59">
        <f t="shared" si="110"/>
        <v>0.36</v>
      </c>
      <c r="J232" s="84">
        <v>4</v>
      </c>
      <c r="K232" s="132" t="s">
        <v>238</v>
      </c>
      <c r="L232" s="107" t="str">
        <f t="shared" si="111"/>
        <v>Acacia Planks</v>
      </c>
      <c r="M232" s="107">
        <f t="shared" si="112"/>
        <v>9.2999999999999989</v>
      </c>
      <c r="N232" s="84">
        <v>2</v>
      </c>
      <c r="O232" s="132" t="s">
        <v>926</v>
      </c>
      <c r="P232" s="59" t="str">
        <f t="shared" si="113"/>
        <v>ninguno</v>
      </c>
      <c r="Q232" s="59">
        <f t="shared" si="114"/>
        <v>0</v>
      </c>
      <c r="R232" s="84"/>
      <c r="S232" s="132" t="s">
        <v>926</v>
      </c>
      <c r="T232" s="107" t="str">
        <f t="shared" si="115"/>
        <v>ninguno</v>
      </c>
      <c r="U232" s="107">
        <f t="shared" si="116"/>
        <v>0</v>
      </c>
      <c r="V232" s="84"/>
    </row>
    <row r="233" spans="1:22" s="108" customFormat="1" ht="14.25" customHeight="1" x14ac:dyDescent="0.25">
      <c r="A233" s="123">
        <v>188</v>
      </c>
      <c r="B233" s="71" t="s">
        <v>549</v>
      </c>
      <c r="C233" s="99">
        <v>3</v>
      </c>
      <c r="D233" s="67"/>
      <c r="E233" s="61">
        <f t="shared" si="117"/>
        <v>5.5679999999999996</v>
      </c>
      <c r="F233" s="188">
        <f t="shared" si="108"/>
        <v>0.93</v>
      </c>
      <c r="G233" s="118">
        <v>280</v>
      </c>
      <c r="H233" s="59" t="str">
        <f t="shared" si="109"/>
        <v>Stick</v>
      </c>
      <c r="I233" s="59">
        <f t="shared" si="110"/>
        <v>0.36</v>
      </c>
      <c r="J233" s="84">
        <v>2</v>
      </c>
      <c r="K233" s="132" t="s">
        <v>232</v>
      </c>
      <c r="L233" s="107" t="str">
        <f t="shared" si="111"/>
        <v>Spruce Planks</v>
      </c>
      <c r="M233" s="107">
        <f t="shared" si="112"/>
        <v>3.3</v>
      </c>
      <c r="N233" s="84">
        <v>4</v>
      </c>
      <c r="O233" s="132" t="s">
        <v>926</v>
      </c>
      <c r="P233" s="59" t="str">
        <f t="shared" si="113"/>
        <v>ninguno</v>
      </c>
      <c r="Q233" s="59">
        <f t="shared" si="114"/>
        <v>0</v>
      </c>
      <c r="R233" s="84"/>
      <c r="S233" s="132" t="s">
        <v>926</v>
      </c>
      <c r="T233" s="107" t="str">
        <f t="shared" si="115"/>
        <v>ninguno</v>
      </c>
      <c r="U233" s="107">
        <f t="shared" si="116"/>
        <v>0</v>
      </c>
      <c r="V233" s="84"/>
    </row>
    <row r="234" spans="1:22" s="108" customFormat="1" ht="14.25" customHeight="1" x14ac:dyDescent="0.25">
      <c r="A234" s="123">
        <v>189</v>
      </c>
      <c r="B234" s="71" t="s">
        <v>550</v>
      </c>
      <c r="C234" s="99">
        <v>3</v>
      </c>
      <c r="D234" s="67"/>
      <c r="E234" s="61">
        <f t="shared" si="117"/>
        <v>8.4479999999999986</v>
      </c>
      <c r="F234" s="188">
        <f t="shared" si="108"/>
        <v>1.41</v>
      </c>
      <c r="G234" s="118">
        <v>280</v>
      </c>
      <c r="H234" s="59" t="str">
        <f t="shared" si="109"/>
        <v>Stick</v>
      </c>
      <c r="I234" s="59">
        <f t="shared" si="110"/>
        <v>0.36</v>
      </c>
      <c r="J234" s="84">
        <v>2</v>
      </c>
      <c r="K234" s="132" t="s">
        <v>234</v>
      </c>
      <c r="L234" s="107" t="str">
        <f t="shared" si="111"/>
        <v>Birch Planks</v>
      </c>
      <c r="M234" s="107">
        <f t="shared" si="112"/>
        <v>5.0999999999999996</v>
      </c>
      <c r="N234" s="84">
        <v>4</v>
      </c>
      <c r="O234" s="132" t="s">
        <v>926</v>
      </c>
      <c r="P234" s="59" t="str">
        <f t="shared" si="113"/>
        <v>ninguno</v>
      </c>
      <c r="Q234" s="59">
        <f t="shared" si="114"/>
        <v>0</v>
      </c>
      <c r="R234" s="84"/>
      <c r="S234" s="132" t="s">
        <v>926</v>
      </c>
      <c r="T234" s="107" t="str">
        <f t="shared" si="115"/>
        <v>ninguno</v>
      </c>
      <c r="U234" s="107">
        <f t="shared" si="116"/>
        <v>0</v>
      </c>
      <c r="V234" s="84"/>
    </row>
    <row r="235" spans="1:22" s="108" customFormat="1" ht="14.25" customHeight="1" x14ac:dyDescent="0.25">
      <c r="A235" s="123">
        <v>190</v>
      </c>
      <c r="B235" s="71" t="s">
        <v>551</v>
      </c>
      <c r="C235" s="99">
        <v>3</v>
      </c>
      <c r="D235" s="67"/>
      <c r="E235" s="61">
        <f t="shared" si="117"/>
        <v>11.807999999999998</v>
      </c>
      <c r="F235" s="188">
        <f t="shared" si="108"/>
        <v>1.97</v>
      </c>
      <c r="G235" s="118">
        <v>280</v>
      </c>
      <c r="H235" s="59" t="str">
        <f t="shared" si="109"/>
        <v>Stick</v>
      </c>
      <c r="I235" s="59">
        <f t="shared" si="110"/>
        <v>0.36</v>
      </c>
      <c r="J235" s="84">
        <v>2</v>
      </c>
      <c r="K235" s="132" t="s">
        <v>236</v>
      </c>
      <c r="L235" s="107" t="str">
        <f t="shared" si="111"/>
        <v>Jungle Planks</v>
      </c>
      <c r="M235" s="107">
        <f t="shared" si="112"/>
        <v>7.1999999999999993</v>
      </c>
      <c r="N235" s="84">
        <v>4</v>
      </c>
      <c r="O235" s="132" t="s">
        <v>926</v>
      </c>
      <c r="P235" s="59" t="str">
        <f t="shared" si="113"/>
        <v>ninguno</v>
      </c>
      <c r="Q235" s="59">
        <f t="shared" si="114"/>
        <v>0</v>
      </c>
      <c r="R235" s="84"/>
      <c r="S235" s="132" t="s">
        <v>926</v>
      </c>
      <c r="T235" s="107" t="str">
        <f t="shared" si="115"/>
        <v>ninguno</v>
      </c>
      <c r="U235" s="107">
        <f t="shared" si="116"/>
        <v>0</v>
      </c>
      <c r="V235" s="84"/>
    </row>
    <row r="236" spans="1:22" s="108" customFormat="1" ht="14.25" customHeight="1" x14ac:dyDescent="0.25">
      <c r="A236" s="123">
        <v>191</v>
      </c>
      <c r="B236" s="71" t="s">
        <v>552</v>
      </c>
      <c r="C236" s="99">
        <v>3</v>
      </c>
      <c r="D236" s="67"/>
      <c r="E236" s="61">
        <f t="shared" si="117"/>
        <v>18.047999999999998</v>
      </c>
      <c r="F236" s="188">
        <f t="shared" si="108"/>
        <v>3.01</v>
      </c>
      <c r="G236" s="118">
        <v>280</v>
      </c>
      <c r="H236" s="59" t="str">
        <f t="shared" si="109"/>
        <v>Stick</v>
      </c>
      <c r="I236" s="59">
        <f t="shared" si="110"/>
        <v>0.36</v>
      </c>
      <c r="J236" s="84">
        <v>2</v>
      </c>
      <c r="K236" s="132" t="s">
        <v>240</v>
      </c>
      <c r="L236" s="107" t="str">
        <f t="shared" si="111"/>
        <v>Dark Oak Planks</v>
      </c>
      <c r="M236" s="107">
        <f t="shared" si="112"/>
        <v>11.1</v>
      </c>
      <c r="N236" s="84">
        <v>4</v>
      </c>
      <c r="O236" s="132" t="s">
        <v>926</v>
      </c>
      <c r="P236" s="59" t="str">
        <f t="shared" si="113"/>
        <v>ninguno</v>
      </c>
      <c r="Q236" s="59">
        <f t="shared" si="114"/>
        <v>0</v>
      </c>
      <c r="R236" s="84"/>
      <c r="S236" s="132" t="s">
        <v>926</v>
      </c>
      <c r="T236" s="107" t="str">
        <f t="shared" si="115"/>
        <v>ninguno</v>
      </c>
      <c r="U236" s="107">
        <f t="shared" si="116"/>
        <v>0</v>
      </c>
      <c r="V236" s="84"/>
    </row>
    <row r="237" spans="1:22" s="108" customFormat="1" ht="14.25" customHeight="1" x14ac:dyDescent="0.25">
      <c r="A237" s="123">
        <v>192</v>
      </c>
      <c r="B237" s="71" t="s">
        <v>553</v>
      </c>
      <c r="C237" s="99">
        <v>3</v>
      </c>
      <c r="D237" s="67"/>
      <c r="E237" s="61">
        <f t="shared" si="117"/>
        <v>15.167999999999997</v>
      </c>
      <c r="F237" s="188">
        <f t="shared" si="108"/>
        <v>2.5299999999999998</v>
      </c>
      <c r="G237" s="118">
        <v>280</v>
      </c>
      <c r="H237" s="59" t="str">
        <f t="shared" si="109"/>
        <v>Stick</v>
      </c>
      <c r="I237" s="59">
        <f t="shared" si="110"/>
        <v>0.36</v>
      </c>
      <c r="J237" s="84">
        <v>2</v>
      </c>
      <c r="K237" s="132" t="s">
        <v>238</v>
      </c>
      <c r="L237" s="107" t="str">
        <f t="shared" si="111"/>
        <v>Acacia Planks</v>
      </c>
      <c r="M237" s="107">
        <f t="shared" si="112"/>
        <v>9.2999999999999989</v>
      </c>
      <c r="N237" s="84">
        <v>4</v>
      </c>
      <c r="O237" s="132" t="s">
        <v>926</v>
      </c>
      <c r="P237" s="59" t="str">
        <f t="shared" si="113"/>
        <v>ninguno</v>
      </c>
      <c r="Q237" s="59">
        <f t="shared" si="114"/>
        <v>0</v>
      </c>
      <c r="R237" s="84"/>
      <c r="S237" s="132" t="s">
        <v>926</v>
      </c>
      <c r="T237" s="107" t="str">
        <f t="shared" si="115"/>
        <v>ninguno</v>
      </c>
      <c r="U237" s="107">
        <f t="shared" si="116"/>
        <v>0</v>
      </c>
      <c r="V237" s="84"/>
    </row>
    <row r="238" spans="1:22" s="108" customFormat="1" ht="14.25" customHeight="1" x14ac:dyDescent="0.25">
      <c r="A238" s="125">
        <v>198</v>
      </c>
      <c r="B238" s="72" t="s">
        <v>933</v>
      </c>
      <c r="C238" s="99">
        <v>4</v>
      </c>
      <c r="D238" s="67"/>
      <c r="E238" s="61">
        <f t="shared" si="117"/>
        <v>343.16999999999996</v>
      </c>
      <c r="F238" s="188">
        <f t="shared" si="108"/>
        <v>57.199999999999996</v>
      </c>
      <c r="G238" s="118">
        <v>369</v>
      </c>
      <c r="H238" s="59" t="str">
        <f t="shared" si="109"/>
        <v>Blaze Rod</v>
      </c>
      <c r="I238" s="59">
        <f t="shared" si="110"/>
        <v>13.5</v>
      </c>
      <c r="J238" s="84">
        <v>1</v>
      </c>
      <c r="K238" s="132">
        <v>433</v>
      </c>
      <c r="L238" s="107" t="str">
        <f t="shared" si="111"/>
        <v>Chorus Fruit (poped)</v>
      </c>
      <c r="M238" s="107">
        <f t="shared" si="112"/>
        <v>1130.3999999999999</v>
      </c>
      <c r="N238" s="84">
        <v>1</v>
      </c>
      <c r="O238" s="132" t="s">
        <v>926</v>
      </c>
      <c r="P238" s="59" t="str">
        <f t="shared" si="113"/>
        <v>ninguno</v>
      </c>
      <c r="Q238" s="59">
        <f t="shared" si="114"/>
        <v>0</v>
      </c>
      <c r="R238" s="84"/>
      <c r="S238" s="132" t="s">
        <v>926</v>
      </c>
      <c r="T238" s="107" t="str">
        <f t="shared" si="115"/>
        <v>ninguno</v>
      </c>
      <c r="U238" s="107">
        <f t="shared" si="116"/>
        <v>0</v>
      </c>
      <c r="V238" s="84"/>
    </row>
    <row r="239" spans="1:22" s="108" customFormat="1" ht="14.25" customHeight="1" x14ac:dyDescent="0.25">
      <c r="A239" s="125">
        <v>201</v>
      </c>
      <c r="B239" s="72" t="s">
        <v>934</v>
      </c>
      <c r="C239" s="99">
        <v>4</v>
      </c>
      <c r="D239" s="67"/>
      <c r="E239" s="61">
        <f t="shared" si="117"/>
        <v>1356.4799999999998</v>
      </c>
      <c r="F239" s="188">
        <f t="shared" si="108"/>
        <v>226.08</v>
      </c>
      <c r="G239" s="118">
        <v>433</v>
      </c>
      <c r="H239" s="59" t="str">
        <f t="shared" si="109"/>
        <v>Chorus Fruit (poped)</v>
      </c>
      <c r="I239" s="59">
        <f t="shared" si="110"/>
        <v>1130.3999999999999</v>
      </c>
      <c r="J239" s="84">
        <v>4</v>
      </c>
      <c r="K239" s="132" t="s">
        <v>926</v>
      </c>
      <c r="L239" s="107" t="str">
        <f t="shared" si="111"/>
        <v>ninguno</v>
      </c>
      <c r="M239" s="107">
        <f t="shared" si="112"/>
        <v>0</v>
      </c>
      <c r="N239" s="84"/>
      <c r="O239" s="132" t="s">
        <v>926</v>
      </c>
      <c r="P239" s="59" t="str">
        <f t="shared" si="113"/>
        <v>ninguno</v>
      </c>
      <c r="Q239" s="59">
        <f t="shared" si="114"/>
        <v>0</v>
      </c>
      <c r="R239" s="84"/>
      <c r="S239" s="132" t="s">
        <v>926</v>
      </c>
      <c r="T239" s="107" t="str">
        <f t="shared" si="115"/>
        <v>ninguno</v>
      </c>
      <c r="U239" s="107">
        <f t="shared" si="116"/>
        <v>0</v>
      </c>
      <c r="V239" s="84"/>
    </row>
    <row r="240" spans="1:22" s="108" customFormat="1" ht="14.25" customHeight="1" x14ac:dyDescent="0.25">
      <c r="A240" s="125">
        <v>202</v>
      </c>
      <c r="B240" s="72" t="s">
        <v>935</v>
      </c>
      <c r="C240" s="99">
        <v>1</v>
      </c>
      <c r="D240" s="67"/>
      <c r="E240" s="61">
        <f t="shared" si="117"/>
        <v>1953.3311999999994</v>
      </c>
      <c r="F240" s="188">
        <f t="shared" si="108"/>
        <v>325.56</v>
      </c>
      <c r="G240" s="118">
        <v>205</v>
      </c>
      <c r="H240" s="59" t="str">
        <f t="shared" si="109"/>
        <v>Purpur Slab</v>
      </c>
      <c r="I240" s="59">
        <f t="shared" si="110"/>
        <v>813.88799999999981</v>
      </c>
      <c r="J240" s="84">
        <v>2</v>
      </c>
      <c r="K240" s="132" t="s">
        <v>926</v>
      </c>
      <c r="L240" s="107" t="str">
        <f t="shared" si="111"/>
        <v>ninguno</v>
      </c>
      <c r="M240" s="107">
        <f t="shared" si="112"/>
        <v>0</v>
      </c>
      <c r="N240" s="84"/>
      <c r="O240" s="132" t="s">
        <v>926</v>
      </c>
      <c r="P240" s="59" t="str">
        <f t="shared" si="113"/>
        <v>ninguno</v>
      </c>
      <c r="Q240" s="59">
        <f t="shared" si="114"/>
        <v>0</v>
      </c>
      <c r="R240" s="84"/>
      <c r="S240" s="132" t="s">
        <v>926</v>
      </c>
      <c r="T240" s="107" t="str">
        <f t="shared" si="115"/>
        <v>ninguno</v>
      </c>
      <c r="U240" s="107">
        <f t="shared" si="116"/>
        <v>0</v>
      </c>
      <c r="V240" s="84"/>
    </row>
    <row r="241" spans="1:22" s="108" customFormat="1" ht="14.25" customHeight="1" x14ac:dyDescent="0.25">
      <c r="A241" s="125">
        <v>203</v>
      </c>
      <c r="B241" s="72" t="s">
        <v>936</v>
      </c>
      <c r="C241" s="99">
        <v>4</v>
      </c>
      <c r="D241" s="67"/>
      <c r="E241" s="61">
        <f t="shared" si="117"/>
        <v>2441.6639999999998</v>
      </c>
      <c r="F241" s="188">
        <f t="shared" si="108"/>
        <v>406.95</v>
      </c>
      <c r="G241" s="118">
        <v>201</v>
      </c>
      <c r="H241" s="59" t="str">
        <f t="shared" si="109"/>
        <v>Purpur Block</v>
      </c>
      <c r="I241" s="59">
        <f t="shared" si="110"/>
        <v>1356.4799999999998</v>
      </c>
      <c r="J241" s="84">
        <v>6</v>
      </c>
      <c r="K241" s="132" t="s">
        <v>926</v>
      </c>
      <c r="L241" s="107" t="str">
        <f t="shared" si="111"/>
        <v>ninguno</v>
      </c>
      <c r="M241" s="107">
        <f t="shared" si="112"/>
        <v>0</v>
      </c>
      <c r="N241" s="84"/>
      <c r="O241" s="132" t="s">
        <v>926</v>
      </c>
      <c r="P241" s="59" t="str">
        <f t="shared" si="113"/>
        <v>ninguno</v>
      </c>
      <c r="Q241" s="59">
        <f t="shared" si="114"/>
        <v>0</v>
      </c>
      <c r="R241" s="84"/>
      <c r="S241" s="132" t="s">
        <v>926</v>
      </c>
      <c r="T241" s="107" t="str">
        <f t="shared" si="115"/>
        <v>ninguno</v>
      </c>
      <c r="U241" s="107">
        <f t="shared" si="116"/>
        <v>0</v>
      </c>
      <c r="V241" s="84"/>
    </row>
    <row r="242" spans="1:22" s="108" customFormat="1" ht="14.25" customHeight="1" x14ac:dyDescent="0.25">
      <c r="A242" s="125">
        <v>205</v>
      </c>
      <c r="B242" s="72" t="s">
        <v>937</v>
      </c>
      <c r="C242" s="99">
        <v>6</v>
      </c>
      <c r="D242" s="67"/>
      <c r="E242" s="61">
        <f t="shared" si="117"/>
        <v>813.88799999999981</v>
      </c>
      <c r="F242" s="188">
        <f t="shared" si="108"/>
        <v>135.64999999999998</v>
      </c>
      <c r="G242" s="118">
        <v>201</v>
      </c>
      <c r="H242" s="59" t="str">
        <f t="shared" si="109"/>
        <v>Purpur Block</v>
      </c>
      <c r="I242" s="59">
        <f t="shared" si="110"/>
        <v>1356.4799999999998</v>
      </c>
      <c r="J242" s="84">
        <v>3</v>
      </c>
      <c r="K242" s="132" t="s">
        <v>926</v>
      </c>
      <c r="L242" s="107" t="str">
        <f t="shared" si="111"/>
        <v>ninguno</v>
      </c>
      <c r="M242" s="107">
        <f t="shared" si="112"/>
        <v>0</v>
      </c>
      <c r="N242" s="84"/>
      <c r="O242" s="132" t="s">
        <v>926</v>
      </c>
      <c r="P242" s="59" t="str">
        <f t="shared" si="113"/>
        <v>ninguno</v>
      </c>
      <c r="Q242" s="59">
        <f t="shared" si="114"/>
        <v>0</v>
      </c>
      <c r="R242" s="84"/>
      <c r="S242" s="132" t="s">
        <v>926</v>
      </c>
      <c r="T242" s="107" t="str">
        <f t="shared" si="115"/>
        <v>ninguno</v>
      </c>
      <c r="U242" s="107">
        <f t="shared" si="116"/>
        <v>0</v>
      </c>
      <c r="V242" s="84"/>
    </row>
    <row r="243" spans="1:22" s="108" customFormat="1" ht="14.25" customHeight="1" x14ac:dyDescent="0.25">
      <c r="A243" s="125">
        <v>206</v>
      </c>
      <c r="B243" s="72" t="s">
        <v>938</v>
      </c>
      <c r="C243" s="99">
        <v>4</v>
      </c>
      <c r="D243" s="67"/>
      <c r="E243" s="61">
        <f t="shared" si="117"/>
        <v>27.599999999999998</v>
      </c>
      <c r="F243" s="188">
        <f t="shared" si="108"/>
        <v>4.5999999999999996</v>
      </c>
      <c r="G243" s="118">
        <v>121</v>
      </c>
      <c r="H243" s="59" t="str">
        <f t="shared" si="109"/>
        <v>End Stone</v>
      </c>
      <c r="I243" s="59">
        <f t="shared" si="110"/>
        <v>23</v>
      </c>
      <c r="J243" s="84">
        <v>4</v>
      </c>
      <c r="K243" s="132" t="s">
        <v>926</v>
      </c>
      <c r="L243" s="107" t="str">
        <f t="shared" si="111"/>
        <v>ninguno</v>
      </c>
      <c r="M243" s="107">
        <f t="shared" si="112"/>
        <v>0</v>
      </c>
      <c r="N243" s="84"/>
      <c r="O243" s="132" t="s">
        <v>926</v>
      </c>
      <c r="P243" s="59" t="str">
        <f t="shared" si="113"/>
        <v>ninguno</v>
      </c>
      <c r="Q243" s="59">
        <f t="shared" si="114"/>
        <v>0</v>
      </c>
      <c r="R243" s="84"/>
      <c r="S243" s="132" t="s">
        <v>926</v>
      </c>
      <c r="T243" s="107" t="str">
        <f t="shared" si="115"/>
        <v>ninguno</v>
      </c>
      <c r="U243" s="107">
        <f t="shared" si="116"/>
        <v>0</v>
      </c>
      <c r="V243" s="84"/>
    </row>
    <row r="244" spans="1:22" s="108" customFormat="1" ht="14.25" customHeight="1" x14ac:dyDescent="0.25">
      <c r="A244" s="125">
        <v>213</v>
      </c>
      <c r="B244" s="72" t="s">
        <v>939</v>
      </c>
      <c r="C244" s="99">
        <v>1</v>
      </c>
      <c r="D244" s="67"/>
      <c r="E244" s="61">
        <f t="shared" si="117"/>
        <v>55.872</v>
      </c>
      <c r="F244" s="188">
        <f t="shared" si="108"/>
        <v>9.32</v>
      </c>
      <c r="G244" s="118">
        <v>378</v>
      </c>
      <c r="H244" s="59" t="str">
        <f t="shared" si="109"/>
        <v>Magma Cream</v>
      </c>
      <c r="I244" s="59">
        <f t="shared" si="110"/>
        <v>11.64</v>
      </c>
      <c r="J244" s="84">
        <v>4</v>
      </c>
      <c r="K244" s="132" t="s">
        <v>926</v>
      </c>
      <c r="L244" s="107" t="str">
        <f t="shared" si="111"/>
        <v>ninguno</v>
      </c>
      <c r="M244" s="107">
        <f t="shared" si="112"/>
        <v>0</v>
      </c>
      <c r="N244" s="84"/>
      <c r="O244" s="132" t="s">
        <v>926</v>
      </c>
      <c r="P244" s="59" t="str">
        <f t="shared" si="113"/>
        <v>ninguno</v>
      </c>
      <c r="Q244" s="59">
        <f t="shared" si="114"/>
        <v>0</v>
      </c>
      <c r="R244" s="84"/>
      <c r="S244" s="132" t="s">
        <v>926</v>
      </c>
      <c r="T244" s="107" t="str">
        <f t="shared" si="115"/>
        <v>ninguno</v>
      </c>
      <c r="U244" s="107">
        <f t="shared" si="116"/>
        <v>0</v>
      </c>
      <c r="V244" s="84"/>
    </row>
    <row r="245" spans="1:22" s="108" customFormat="1" ht="14.25" customHeight="1" x14ac:dyDescent="0.25">
      <c r="A245" s="125">
        <v>214</v>
      </c>
      <c r="B245" s="72" t="s">
        <v>940</v>
      </c>
      <c r="C245" s="99">
        <v>1</v>
      </c>
      <c r="D245" s="67"/>
      <c r="E245" s="61">
        <f t="shared" si="117"/>
        <v>508.68</v>
      </c>
      <c r="F245" s="188">
        <f t="shared" si="108"/>
        <v>84.78</v>
      </c>
      <c r="G245" s="118">
        <v>372</v>
      </c>
      <c r="H245" s="59" t="str">
        <f t="shared" si="109"/>
        <v>Nether Wart Seed</v>
      </c>
      <c r="I245" s="59">
        <f t="shared" si="110"/>
        <v>47.1</v>
      </c>
      <c r="J245" s="84">
        <v>9</v>
      </c>
      <c r="K245" s="132" t="s">
        <v>926</v>
      </c>
      <c r="L245" s="107" t="str">
        <f t="shared" si="111"/>
        <v>ninguno</v>
      </c>
      <c r="M245" s="107">
        <f t="shared" si="112"/>
        <v>0</v>
      </c>
      <c r="N245" s="84"/>
      <c r="O245" s="132" t="s">
        <v>926</v>
      </c>
      <c r="P245" s="59" t="str">
        <f t="shared" si="113"/>
        <v>ninguno</v>
      </c>
      <c r="Q245" s="59">
        <f t="shared" si="114"/>
        <v>0</v>
      </c>
      <c r="R245" s="84"/>
      <c r="S245" s="132" t="s">
        <v>926</v>
      </c>
      <c r="T245" s="107" t="str">
        <f t="shared" si="115"/>
        <v>ninguno</v>
      </c>
      <c r="U245" s="107">
        <f t="shared" si="116"/>
        <v>0</v>
      </c>
      <c r="V245" s="84"/>
    </row>
    <row r="246" spans="1:22" s="108" customFormat="1" ht="14.25" customHeight="1" x14ac:dyDescent="0.25">
      <c r="A246" s="125">
        <v>215</v>
      </c>
      <c r="B246" s="72" t="s">
        <v>941</v>
      </c>
      <c r="C246" s="99">
        <v>1</v>
      </c>
      <c r="D246" s="67"/>
      <c r="E246" s="61">
        <f t="shared" si="117"/>
        <v>179.28</v>
      </c>
      <c r="F246" s="188">
        <f t="shared" si="108"/>
        <v>29.88</v>
      </c>
      <c r="G246" s="118">
        <v>372</v>
      </c>
      <c r="H246" s="59" t="str">
        <f t="shared" si="109"/>
        <v>Nether Wart Seed</v>
      </c>
      <c r="I246" s="59">
        <f t="shared" si="110"/>
        <v>47.1</v>
      </c>
      <c r="J246" s="84">
        <v>2</v>
      </c>
      <c r="K246" s="132">
        <v>405</v>
      </c>
      <c r="L246" s="107" t="str">
        <f t="shared" si="111"/>
        <v>Nether Brick (Item)</v>
      </c>
      <c r="M246" s="107">
        <f t="shared" si="112"/>
        <v>27.599999999999998</v>
      </c>
      <c r="N246" s="84">
        <v>2</v>
      </c>
      <c r="O246" s="132" t="s">
        <v>926</v>
      </c>
      <c r="P246" s="59" t="str">
        <f t="shared" si="113"/>
        <v>ninguno</v>
      </c>
      <c r="Q246" s="59">
        <f t="shared" si="114"/>
        <v>0</v>
      </c>
      <c r="R246" s="84"/>
      <c r="S246" s="132" t="s">
        <v>926</v>
      </c>
      <c r="T246" s="107" t="str">
        <f t="shared" si="115"/>
        <v>ninguno</v>
      </c>
      <c r="U246" s="107">
        <f t="shared" si="116"/>
        <v>0</v>
      </c>
      <c r="V246" s="84"/>
    </row>
    <row r="247" spans="1:22" s="108" customFormat="1" ht="14.25" customHeight="1" x14ac:dyDescent="0.25">
      <c r="A247" s="125">
        <v>216</v>
      </c>
      <c r="B247" s="72" t="s">
        <v>942</v>
      </c>
      <c r="C247" s="99">
        <v>1</v>
      </c>
      <c r="D247" s="67"/>
      <c r="E247" s="61">
        <f t="shared" si="117"/>
        <v>97.2</v>
      </c>
      <c r="F247" s="188">
        <f t="shared" si="108"/>
        <v>16.2</v>
      </c>
      <c r="G247" s="118" t="s">
        <v>678</v>
      </c>
      <c r="H247" s="59" t="str">
        <f t="shared" si="109"/>
        <v>Bone Meal</v>
      </c>
      <c r="I247" s="59">
        <f t="shared" si="110"/>
        <v>9</v>
      </c>
      <c r="J247" s="84">
        <v>9</v>
      </c>
      <c r="K247" s="132" t="s">
        <v>926</v>
      </c>
      <c r="L247" s="107" t="str">
        <f t="shared" si="111"/>
        <v>ninguno</v>
      </c>
      <c r="M247" s="107">
        <f t="shared" si="112"/>
        <v>0</v>
      </c>
      <c r="N247" s="84"/>
      <c r="O247" s="132" t="s">
        <v>926</v>
      </c>
      <c r="P247" s="59" t="str">
        <f t="shared" si="113"/>
        <v>ninguno</v>
      </c>
      <c r="Q247" s="59">
        <f t="shared" si="114"/>
        <v>0</v>
      </c>
      <c r="R247" s="84"/>
      <c r="S247" s="132" t="s">
        <v>926</v>
      </c>
      <c r="T247" s="107" t="str">
        <f t="shared" si="115"/>
        <v>ninguno</v>
      </c>
      <c r="U247" s="107">
        <f t="shared" si="116"/>
        <v>0</v>
      </c>
      <c r="V247" s="84"/>
    </row>
    <row r="248" spans="1:22" s="108" customFormat="1" ht="14.25" customHeight="1" x14ac:dyDescent="0.25">
      <c r="A248" s="125">
        <v>218</v>
      </c>
      <c r="B248" s="72" t="s">
        <v>943</v>
      </c>
      <c r="C248" s="99">
        <v>1</v>
      </c>
      <c r="D248" s="67"/>
      <c r="E248" s="61">
        <f t="shared" si="117"/>
        <v>80.399999999999991</v>
      </c>
      <c r="F248" s="188">
        <f t="shared" si="108"/>
        <v>13.4</v>
      </c>
      <c r="G248" s="118">
        <v>4</v>
      </c>
      <c r="H248" s="59" t="str">
        <f t="shared" si="109"/>
        <v>Cobblestone</v>
      </c>
      <c r="I248" s="59">
        <f t="shared" si="110"/>
        <v>3</v>
      </c>
      <c r="J248" s="84">
        <v>6</v>
      </c>
      <c r="K248" s="132">
        <v>331</v>
      </c>
      <c r="L248" s="107" t="str">
        <f t="shared" si="111"/>
        <v>Redstone Dust</v>
      </c>
      <c r="M248" s="107">
        <f t="shared" si="112"/>
        <v>15</v>
      </c>
      <c r="N248" s="84">
        <v>2</v>
      </c>
      <c r="O248" s="132">
        <v>406</v>
      </c>
      <c r="P248" s="59" t="str">
        <f t="shared" si="113"/>
        <v>Nether Quartz</v>
      </c>
      <c r="Q248" s="59">
        <f t="shared" si="114"/>
        <v>19</v>
      </c>
      <c r="R248" s="84">
        <v>1</v>
      </c>
      <c r="S248" s="132" t="s">
        <v>926</v>
      </c>
      <c r="T248" s="107" t="str">
        <f t="shared" si="115"/>
        <v>ninguno</v>
      </c>
      <c r="U248" s="107">
        <f t="shared" si="116"/>
        <v>0</v>
      </c>
      <c r="V248" s="84"/>
    </row>
    <row r="249" spans="1:22" s="108" customFormat="1" ht="14.25" customHeight="1" x14ac:dyDescent="0.25">
      <c r="A249" s="125">
        <v>219</v>
      </c>
      <c r="B249" s="72" t="s">
        <v>944</v>
      </c>
      <c r="C249" s="99">
        <v>1</v>
      </c>
      <c r="D249" s="67"/>
      <c r="E249" s="61" t="e">
        <f t="shared" si="117"/>
        <v>#N/A</v>
      </c>
      <c r="F249" s="188" t="e">
        <f t="shared" si="108"/>
        <v>#N/A</v>
      </c>
      <c r="G249" s="118">
        <v>450</v>
      </c>
      <c r="H249" s="59" t="e">
        <f t="shared" si="109"/>
        <v>#N/A</v>
      </c>
      <c r="I249" s="59" t="e">
        <f t="shared" ref="I249:I264" si="118">VLOOKUP(G249,LISTAITEMS,5,FALSE)</f>
        <v>#N/A</v>
      </c>
      <c r="J249" s="84"/>
      <c r="K249" s="132" t="s">
        <v>926</v>
      </c>
      <c r="L249" s="107" t="str">
        <f t="shared" si="111"/>
        <v>ninguno</v>
      </c>
      <c r="M249" s="107">
        <f t="shared" ref="M249:M264" si="119">VLOOKUP(K249,LISTAITEMS,5,FALSE)</f>
        <v>0</v>
      </c>
      <c r="N249" s="84"/>
      <c r="O249" s="132" t="s">
        <v>926</v>
      </c>
      <c r="P249" s="59" t="str">
        <f t="shared" si="113"/>
        <v>ninguno</v>
      </c>
      <c r="Q249" s="59">
        <f t="shared" ref="Q249:Q264" si="120">VLOOKUP(O249,LISTAITEMS,5,FALSE)</f>
        <v>0</v>
      </c>
      <c r="R249" s="84"/>
      <c r="S249" s="132" t="s">
        <v>926</v>
      </c>
      <c r="T249" s="107" t="str">
        <f t="shared" si="115"/>
        <v>ninguno</v>
      </c>
      <c r="U249" s="107">
        <f t="shared" ref="U249:U264" si="121">VLOOKUP(S249,LISTAITEMS,5,FALSE)</f>
        <v>0</v>
      </c>
      <c r="V249" s="84"/>
    </row>
    <row r="250" spans="1:22" s="108" customFormat="1" ht="14.25" customHeight="1" x14ac:dyDescent="0.25">
      <c r="A250" s="125">
        <v>220</v>
      </c>
      <c r="B250" s="72" t="s">
        <v>945</v>
      </c>
      <c r="C250" s="99">
        <v>1</v>
      </c>
      <c r="D250" s="67"/>
      <c r="E250" s="61">
        <f t="shared" si="117"/>
        <v>0</v>
      </c>
      <c r="F250" s="188">
        <f t="shared" si="108"/>
        <v>0</v>
      </c>
      <c r="G250" s="118" t="s">
        <v>926</v>
      </c>
      <c r="H250" s="59" t="str">
        <f t="shared" si="109"/>
        <v>ninguno</v>
      </c>
      <c r="I250" s="59">
        <f t="shared" si="118"/>
        <v>0</v>
      </c>
      <c r="J250" s="84"/>
      <c r="K250" s="132" t="s">
        <v>926</v>
      </c>
      <c r="L250" s="107" t="str">
        <f t="shared" si="111"/>
        <v>ninguno</v>
      </c>
      <c r="M250" s="107">
        <f t="shared" si="119"/>
        <v>0</v>
      </c>
      <c r="N250" s="84"/>
      <c r="O250" s="132" t="s">
        <v>926</v>
      </c>
      <c r="P250" s="59" t="str">
        <f t="shared" si="113"/>
        <v>ninguno</v>
      </c>
      <c r="Q250" s="59">
        <f t="shared" si="120"/>
        <v>0</v>
      </c>
      <c r="R250" s="84"/>
      <c r="S250" s="132" t="s">
        <v>926</v>
      </c>
      <c r="T250" s="107" t="str">
        <f t="shared" si="115"/>
        <v>ninguno</v>
      </c>
      <c r="U250" s="107">
        <f t="shared" si="121"/>
        <v>0</v>
      </c>
      <c r="V250" s="84"/>
    </row>
    <row r="251" spans="1:22" s="108" customFormat="1" ht="14.25" customHeight="1" x14ac:dyDescent="0.25">
      <c r="A251" s="125">
        <v>221</v>
      </c>
      <c r="B251" s="72" t="s">
        <v>946</v>
      </c>
      <c r="C251" s="99">
        <v>1</v>
      </c>
      <c r="D251" s="67"/>
      <c r="E251" s="61">
        <f t="shared" si="117"/>
        <v>0</v>
      </c>
      <c r="F251" s="188">
        <f t="shared" si="108"/>
        <v>0</v>
      </c>
      <c r="G251" s="118" t="s">
        <v>926</v>
      </c>
      <c r="H251" s="59" t="str">
        <f t="shared" si="109"/>
        <v>ninguno</v>
      </c>
      <c r="I251" s="59">
        <f t="shared" si="118"/>
        <v>0</v>
      </c>
      <c r="J251" s="84"/>
      <c r="K251" s="132" t="s">
        <v>926</v>
      </c>
      <c r="L251" s="107" t="str">
        <f t="shared" si="111"/>
        <v>ninguno</v>
      </c>
      <c r="M251" s="107">
        <f t="shared" si="119"/>
        <v>0</v>
      </c>
      <c r="N251" s="84"/>
      <c r="O251" s="132" t="s">
        <v>926</v>
      </c>
      <c r="P251" s="59" t="str">
        <f t="shared" si="113"/>
        <v>ninguno</v>
      </c>
      <c r="Q251" s="59">
        <f t="shared" si="120"/>
        <v>0</v>
      </c>
      <c r="R251" s="84"/>
      <c r="S251" s="132" t="s">
        <v>926</v>
      </c>
      <c r="T251" s="107" t="str">
        <f t="shared" si="115"/>
        <v>ninguno</v>
      </c>
      <c r="U251" s="107">
        <f t="shared" si="121"/>
        <v>0</v>
      </c>
      <c r="V251" s="84"/>
    </row>
    <row r="252" spans="1:22" s="108" customFormat="1" ht="14.25" customHeight="1" x14ac:dyDescent="0.25">
      <c r="A252" s="125">
        <v>222</v>
      </c>
      <c r="B252" s="72" t="s">
        <v>947</v>
      </c>
      <c r="C252" s="99">
        <v>1</v>
      </c>
      <c r="D252" s="67"/>
      <c r="E252" s="61">
        <f t="shared" si="117"/>
        <v>0</v>
      </c>
      <c r="F252" s="188">
        <f t="shared" si="108"/>
        <v>0</v>
      </c>
      <c r="G252" s="118" t="s">
        <v>926</v>
      </c>
      <c r="H252" s="59" t="str">
        <f t="shared" si="109"/>
        <v>ninguno</v>
      </c>
      <c r="I252" s="59">
        <f t="shared" si="118"/>
        <v>0</v>
      </c>
      <c r="J252" s="84"/>
      <c r="K252" s="132" t="s">
        <v>926</v>
      </c>
      <c r="L252" s="107" t="str">
        <f t="shared" si="111"/>
        <v>ninguno</v>
      </c>
      <c r="M252" s="107">
        <f t="shared" si="119"/>
        <v>0</v>
      </c>
      <c r="N252" s="84"/>
      <c r="O252" s="132" t="s">
        <v>926</v>
      </c>
      <c r="P252" s="59" t="str">
        <f t="shared" si="113"/>
        <v>ninguno</v>
      </c>
      <c r="Q252" s="59">
        <f t="shared" si="120"/>
        <v>0</v>
      </c>
      <c r="R252" s="84"/>
      <c r="S252" s="132" t="s">
        <v>926</v>
      </c>
      <c r="T252" s="107" t="str">
        <f t="shared" si="115"/>
        <v>ninguno</v>
      </c>
      <c r="U252" s="107">
        <f t="shared" si="121"/>
        <v>0</v>
      </c>
      <c r="V252" s="84"/>
    </row>
    <row r="253" spans="1:22" s="108" customFormat="1" ht="14.25" customHeight="1" x14ac:dyDescent="0.25">
      <c r="A253" s="125">
        <v>223</v>
      </c>
      <c r="B253" s="72" t="s">
        <v>948</v>
      </c>
      <c r="C253" s="99">
        <v>1</v>
      </c>
      <c r="D253" s="67"/>
      <c r="E253" s="61">
        <f t="shared" si="117"/>
        <v>0</v>
      </c>
      <c r="F253" s="188">
        <f t="shared" si="108"/>
        <v>0</v>
      </c>
      <c r="G253" s="118" t="s">
        <v>926</v>
      </c>
      <c r="H253" s="59" t="str">
        <f t="shared" si="109"/>
        <v>ninguno</v>
      </c>
      <c r="I253" s="59">
        <f t="shared" si="118"/>
        <v>0</v>
      </c>
      <c r="J253" s="84"/>
      <c r="K253" s="132" t="s">
        <v>926</v>
      </c>
      <c r="L253" s="107" t="str">
        <f t="shared" si="111"/>
        <v>ninguno</v>
      </c>
      <c r="M253" s="107">
        <f t="shared" si="119"/>
        <v>0</v>
      </c>
      <c r="N253" s="84"/>
      <c r="O253" s="132" t="s">
        <v>926</v>
      </c>
      <c r="P253" s="59" t="str">
        <f t="shared" si="113"/>
        <v>ninguno</v>
      </c>
      <c r="Q253" s="59">
        <f t="shared" si="120"/>
        <v>0</v>
      </c>
      <c r="R253" s="84"/>
      <c r="S253" s="132" t="s">
        <v>926</v>
      </c>
      <c r="T253" s="107" t="str">
        <f t="shared" si="115"/>
        <v>ninguno</v>
      </c>
      <c r="U253" s="107">
        <f t="shared" si="121"/>
        <v>0</v>
      </c>
      <c r="V253" s="84"/>
    </row>
    <row r="254" spans="1:22" s="108" customFormat="1" ht="14.25" customHeight="1" x14ac:dyDescent="0.25">
      <c r="A254" s="125">
        <v>224</v>
      </c>
      <c r="B254" s="72" t="s">
        <v>949</v>
      </c>
      <c r="C254" s="99">
        <v>1</v>
      </c>
      <c r="D254" s="67"/>
      <c r="E254" s="61">
        <f t="shared" si="117"/>
        <v>0</v>
      </c>
      <c r="F254" s="188">
        <f t="shared" si="108"/>
        <v>0</v>
      </c>
      <c r="G254" s="118" t="s">
        <v>926</v>
      </c>
      <c r="H254" s="59" t="str">
        <f t="shared" si="109"/>
        <v>ninguno</v>
      </c>
      <c r="I254" s="59">
        <f t="shared" si="118"/>
        <v>0</v>
      </c>
      <c r="J254" s="84"/>
      <c r="K254" s="132" t="s">
        <v>926</v>
      </c>
      <c r="L254" s="107" t="str">
        <f t="shared" si="111"/>
        <v>ninguno</v>
      </c>
      <c r="M254" s="107">
        <f t="shared" si="119"/>
        <v>0</v>
      </c>
      <c r="N254" s="84"/>
      <c r="O254" s="132" t="s">
        <v>926</v>
      </c>
      <c r="P254" s="59" t="str">
        <f t="shared" si="113"/>
        <v>ninguno</v>
      </c>
      <c r="Q254" s="59">
        <f t="shared" si="120"/>
        <v>0</v>
      </c>
      <c r="R254" s="84"/>
      <c r="S254" s="132" t="s">
        <v>926</v>
      </c>
      <c r="T254" s="107" t="str">
        <f t="shared" si="115"/>
        <v>ninguno</v>
      </c>
      <c r="U254" s="107">
        <f t="shared" si="121"/>
        <v>0</v>
      </c>
      <c r="V254" s="84"/>
    </row>
    <row r="255" spans="1:22" s="108" customFormat="1" ht="14.25" customHeight="1" x14ac:dyDescent="0.25">
      <c r="A255" s="125">
        <v>225</v>
      </c>
      <c r="B255" s="72" t="s">
        <v>950</v>
      </c>
      <c r="C255" s="99">
        <v>1</v>
      </c>
      <c r="D255" s="67"/>
      <c r="E255" s="61">
        <f t="shared" si="117"/>
        <v>0</v>
      </c>
      <c r="F255" s="188">
        <f t="shared" si="108"/>
        <v>0</v>
      </c>
      <c r="G255" s="118" t="s">
        <v>926</v>
      </c>
      <c r="H255" s="59" t="str">
        <f t="shared" si="109"/>
        <v>ninguno</v>
      </c>
      <c r="I255" s="59">
        <f t="shared" si="118"/>
        <v>0</v>
      </c>
      <c r="J255" s="84"/>
      <c r="K255" s="132" t="s">
        <v>926</v>
      </c>
      <c r="L255" s="107" t="str">
        <f t="shared" si="111"/>
        <v>ninguno</v>
      </c>
      <c r="M255" s="107">
        <f t="shared" si="119"/>
        <v>0</v>
      </c>
      <c r="N255" s="84"/>
      <c r="O255" s="132" t="s">
        <v>926</v>
      </c>
      <c r="P255" s="59" t="str">
        <f t="shared" si="113"/>
        <v>ninguno</v>
      </c>
      <c r="Q255" s="59">
        <f t="shared" si="120"/>
        <v>0</v>
      </c>
      <c r="R255" s="84"/>
      <c r="S255" s="132" t="s">
        <v>926</v>
      </c>
      <c r="T255" s="107" t="str">
        <f t="shared" si="115"/>
        <v>ninguno</v>
      </c>
      <c r="U255" s="107">
        <f t="shared" si="121"/>
        <v>0</v>
      </c>
      <c r="V255" s="84"/>
    </row>
    <row r="256" spans="1:22" s="108" customFormat="1" ht="14.25" customHeight="1" x14ac:dyDescent="0.25">
      <c r="A256" s="125">
        <v>226</v>
      </c>
      <c r="B256" s="72" t="s">
        <v>951</v>
      </c>
      <c r="C256" s="99">
        <v>1</v>
      </c>
      <c r="D256" s="67"/>
      <c r="E256" s="61">
        <f t="shared" si="117"/>
        <v>0</v>
      </c>
      <c r="F256" s="188">
        <f t="shared" si="108"/>
        <v>0</v>
      </c>
      <c r="G256" s="118" t="s">
        <v>926</v>
      </c>
      <c r="H256" s="59" t="str">
        <f t="shared" si="109"/>
        <v>ninguno</v>
      </c>
      <c r="I256" s="59">
        <f t="shared" si="118"/>
        <v>0</v>
      </c>
      <c r="J256" s="84"/>
      <c r="K256" s="132" t="s">
        <v>926</v>
      </c>
      <c r="L256" s="107" t="str">
        <f t="shared" si="111"/>
        <v>ninguno</v>
      </c>
      <c r="M256" s="107">
        <f t="shared" si="119"/>
        <v>0</v>
      </c>
      <c r="N256" s="84"/>
      <c r="O256" s="132" t="s">
        <v>926</v>
      </c>
      <c r="P256" s="59" t="str">
        <f t="shared" si="113"/>
        <v>ninguno</v>
      </c>
      <c r="Q256" s="59">
        <f t="shared" si="120"/>
        <v>0</v>
      </c>
      <c r="R256" s="84"/>
      <c r="S256" s="132" t="s">
        <v>926</v>
      </c>
      <c r="T256" s="107" t="str">
        <f t="shared" si="115"/>
        <v>ninguno</v>
      </c>
      <c r="U256" s="107">
        <f t="shared" si="121"/>
        <v>0</v>
      </c>
      <c r="V256" s="84"/>
    </row>
    <row r="257" spans="1:22" s="108" customFormat="1" ht="14.25" customHeight="1" x14ac:dyDescent="0.25">
      <c r="A257" s="125">
        <v>227</v>
      </c>
      <c r="B257" s="72" t="s">
        <v>952</v>
      </c>
      <c r="C257" s="99">
        <v>1</v>
      </c>
      <c r="D257" s="67"/>
      <c r="E257" s="61">
        <f t="shared" si="117"/>
        <v>0</v>
      </c>
      <c r="F257" s="188">
        <f t="shared" si="108"/>
        <v>0</v>
      </c>
      <c r="G257" s="118" t="s">
        <v>926</v>
      </c>
      <c r="H257" s="59" t="str">
        <f t="shared" si="109"/>
        <v>ninguno</v>
      </c>
      <c r="I257" s="59">
        <f t="shared" si="118"/>
        <v>0</v>
      </c>
      <c r="J257" s="84"/>
      <c r="K257" s="132" t="s">
        <v>926</v>
      </c>
      <c r="L257" s="107" t="str">
        <f t="shared" si="111"/>
        <v>ninguno</v>
      </c>
      <c r="M257" s="107">
        <f t="shared" si="119"/>
        <v>0</v>
      </c>
      <c r="N257" s="84"/>
      <c r="O257" s="132" t="s">
        <v>926</v>
      </c>
      <c r="P257" s="59" t="str">
        <f t="shared" si="113"/>
        <v>ninguno</v>
      </c>
      <c r="Q257" s="59">
        <f t="shared" si="120"/>
        <v>0</v>
      </c>
      <c r="R257" s="84"/>
      <c r="S257" s="132" t="s">
        <v>926</v>
      </c>
      <c r="T257" s="107" t="str">
        <f t="shared" si="115"/>
        <v>ninguno</v>
      </c>
      <c r="U257" s="107">
        <f t="shared" si="121"/>
        <v>0</v>
      </c>
      <c r="V257" s="84"/>
    </row>
    <row r="258" spans="1:22" s="108" customFormat="1" ht="14.25" customHeight="1" x14ac:dyDescent="0.25">
      <c r="A258" s="125">
        <v>228</v>
      </c>
      <c r="B258" s="72" t="s">
        <v>953</v>
      </c>
      <c r="C258" s="99">
        <v>1</v>
      </c>
      <c r="D258" s="67"/>
      <c r="E258" s="61">
        <f t="shared" si="117"/>
        <v>0</v>
      </c>
      <c r="F258" s="188">
        <f t="shared" si="108"/>
        <v>0</v>
      </c>
      <c r="G258" s="118" t="s">
        <v>926</v>
      </c>
      <c r="H258" s="59" t="str">
        <f t="shared" si="109"/>
        <v>ninguno</v>
      </c>
      <c r="I258" s="59">
        <f t="shared" si="118"/>
        <v>0</v>
      </c>
      <c r="J258" s="84"/>
      <c r="K258" s="132" t="s">
        <v>926</v>
      </c>
      <c r="L258" s="107" t="str">
        <f t="shared" si="111"/>
        <v>ninguno</v>
      </c>
      <c r="M258" s="107">
        <f t="shared" si="119"/>
        <v>0</v>
      </c>
      <c r="N258" s="84"/>
      <c r="O258" s="132" t="s">
        <v>926</v>
      </c>
      <c r="P258" s="59" t="str">
        <f t="shared" si="113"/>
        <v>ninguno</v>
      </c>
      <c r="Q258" s="59">
        <f t="shared" si="120"/>
        <v>0</v>
      </c>
      <c r="R258" s="84"/>
      <c r="S258" s="132" t="s">
        <v>926</v>
      </c>
      <c r="T258" s="107" t="str">
        <f t="shared" si="115"/>
        <v>ninguno</v>
      </c>
      <c r="U258" s="107">
        <f t="shared" si="121"/>
        <v>0</v>
      </c>
      <c r="V258" s="84"/>
    </row>
    <row r="259" spans="1:22" s="108" customFormat="1" ht="14.25" customHeight="1" x14ac:dyDescent="0.25">
      <c r="A259" s="125">
        <v>229</v>
      </c>
      <c r="B259" s="72" t="s">
        <v>954</v>
      </c>
      <c r="C259" s="99">
        <v>1</v>
      </c>
      <c r="D259" s="67"/>
      <c r="E259" s="61">
        <f t="shared" si="117"/>
        <v>0</v>
      </c>
      <c r="F259" s="188">
        <f t="shared" si="108"/>
        <v>0</v>
      </c>
      <c r="G259" s="118" t="s">
        <v>926</v>
      </c>
      <c r="H259" s="59" t="str">
        <f t="shared" si="109"/>
        <v>ninguno</v>
      </c>
      <c r="I259" s="59">
        <f t="shared" si="118"/>
        <v>0</v>
      </c>
      <c r="J259" s="84"/>
      <c r="K259" s="132" t="s">
        <v>926</v>
      </c>
      <c r="L259" s="107" t="str">
        <f t="shared" si="111"/>
        <v>ninguno</v>
      </c>
      <c r="M259" s="107">
        <f t="shared" si="119"/>
        <v>0</v>
      </c>
      <c r="N259" s="84"/>
      <c r="O259" s="132" t="s">
        <v>926</v>
      </c>
      <c r="P259" s="59" t="str">
        <f t="shared" si="113"/>
        <v>ninguno</v>
      </c>
      <c r="Q259" s="59">
        <f t="shared" si="120"/>
        <v>0</v>
      </c>
      <c r="R259" s="84"/>
      <c r="S259" s="132" t="s">
        <v>926</v>
      </c>
      <c r="T259" s="107" t="str">
        <f t="shared" si="115"/>
        <v>ninguno</v>
      </c>
      <c r="U259" s="107">
        <f t="shared" si="121"/>
        <v>0</v>
      </c>
      <c r="V259" s="84"/>
    </row>
    <row r="260" spans="1:22" s="108" customFormat="1" ht="14.25" customHeight="1" x14ac:dyDescent="0.25">
      <c r="A260" s="125">
        <v>230</v>
      </c>
      <c r="B260" s="72" t="s">
        <v>955</v>
      </c>
      <c r="C260" s="99">
        <v>1</v>
      </c>
      <c r="D260" s="67"/>
      <c r="E260" s="61">
        <f t="shared" si="117"/>
        <v>0</v>
      </c>
      <c r="F260" s="188">
        <f t="shared" si="108"/>
        <v>0</v>
      </c>
      <c r="G260" s="118" t="s">
        <v>926</v>
      </c>
      <c r="H260" s="59" t="str">
        <f t="shared" si="109"/>
        <v>ninguno</v>
      </c>
      <c r="I260" s="59">
        <f t="shared" si="118"/>
        <v>0</v>
      </c>
      <c r="J260" s="84"/>
      <c r="K260" s="132" t="s">
        <v>926</v>
      </c>
      <c r="L260" s="107" t="str">
        <f t="shared" si="111"/>
        <v>ninguno</v>
      </c>
      <c r="M260" s="107">
        <f t="shared" si="119"/>
        <v>0</v>
      </c>
      <c r="N260" s="84"/>
      <c r="O260" s="132" t="s">
        <v>926</v>
      </c>
      <c r="P260" s="59" t="str">
        <f t="shared" si="113"/>
        <v>ninguno</v>
      </c>
      <c r="Q260" s="59">
        <f t="shared" si="120"/>
        <v>0</v>
      </c>
      <c r="R260" s="84"/>
      <c r="S260" s="132" t="s">
        <v>926</v>
      </c>
      <c r="T260" s="107" t="str">
        <f t="shared" si="115"/>
        <v>ninguno</v>
      </c>
      <c r="U260" s="107">
        <f t="shared" si="121"/>
        <v>0</v>
      </c>
      <c r="V260" s="84"/>
    </row>
    <row r="261" spans="1:22" s="108" customFormat="1" ht="14.25" customHeight="1" x14ac:dyDescent="0.25">
      <c r="A261" s="125">
        <v>231</v>
      </c>
      <c r="B261" s="72" t="s">
        <v>956</v>
      </c>
      <c r="C261" s="99">
        <v>1</v>
      </c>
      <c r="D261" s="67"/>
      <c r="E261" s="61">
        <f t="shared" ref="E261:E300" si="122">(((I261*J261)+(M261*N261)+(Q261*R261)+(U261*V261))/C261)*1.2</f>
        <v>0</v>
      </c>
      <c r="F261" s="188">
        <f t="shared" si="108"/>
        <v>0</v>
      </c>
      <c r="G261" s="118" t="s">
        <v>926</v>
      </c>
      <c r="H261" s="59" t="str">
        <f t="shared" si="109"/>
        <v>ninguno</v>
      </c>
      <c r="I261" s="59">
        <f t="shared" si="118"/>
        <v>0</v>
      </c>
      <c r="J261" s="84"/>
      <c r="K261" s="132" t="s">
        <v>926</v>
      </c>
      <c r="L261" s="107" t="str">
        <f t="shared" si="111"/>
        <v>ninguno</v>
      </c>
      <c r="M261" s="107">
        <f t="shared" si="119"/>
        <v>0</v>
      </c>
      <c r="N261" s="84"/>
      <c r="O261" s="132" t="s">
        <v>926</v>
      </c>
      <c r="P261" s="59" t="str">
        <f t="shared" si="113"/>
        <v>ninguno</v>
      </c>
      <c r="Q261" s="59">
        <f t="shared" si="120"/>
        <v>0</v>
      </c>
      <c r="R261" s="84"/>
      <c r="S261" s="132" t="s">
        <v>926</v>
      </c>
      <c r="T261" s="107" t="str">
        <f t="shared" si="115"/>
        <v>ninguno</v>
      </c>
      <c r="U261" s="107">
        <f t="shared" si="121"/>
        <v>0</v>
      </c>
      <c r="V261" s="84"/>
    </row>
    <row r="262" spans="1:22" s="108" customFormat="1" ht="14.25" customHeight="1" x14ac:dyDescent="0.25">
      <c r="A262" s="125">
        <v>232</v>
      </c>
      <c r="B262" s="72" t="s">
        <v>957</v>
      </c>
      <c r="C262" s="99">
        <v>1</v>
      </c>
      <c r="D262" s="67"/>
      <c r="E262" s="61">
        <f t="shared" si="122"/>
        <v>0</v>
      </c>
      <c r="F262" s="188">
        <f t="shared" si="108"/>
        <v>0</v>
      </c>
      <c r="G262" s="118" t="s">
        <v>926</v>
      </c>
      <c r="H262" s="59" t="str">
        <f t="shared" si="109"/>
        <v>ninguno</v>
      </c>
      <c r="I262" s="59">
        <f t="shared" si="118"/>
        <v>0</v>
      </c>
      <c r="J262" s="84"/>
      <c r="K262" s="132" t="s">
        <v>926</v>
      </c>
      <c r="L262" s="107" t="str">
        <f t="shared" si="111"/>
        <v>ninguno</v>
      </c>
      <c r="M262" s="107">
        <f t="shared" si="119"/>
        <v>0</v>
      </c>
      <c r="N262" s="84"/>
      <c r="O262" s="132" t="s">
        <v>926</v>
      </c>
      <c r="P262" s="59" t="str">
        <f t="shared" si="113"/>
        <v>ninguno</v>
      </c>
      <c r="Q262" s="59">
        <f t="shared" si="120"/>
        <v>0</v>
      </c>
      <c r="R262" s="84"/>
      <c r="S262" s="132" t="s">
        <v>926</v>
      </c>
      <c r="T262" s="107" t="str">
        <f t="shared" si="115"/>
        <v>ninguno</v>
      </c>
      <c r="U262" s="107">
        <f t="shared" si="121"/>
        <v>0</v>
      </c>
      <c r="V262" s="84"/>
    </row>
    <row r="263" spans="1:22" s="108" customFormat="1" ht="14.25" customHeight="1" x14ac:dyDescent="0.25">
      <c r="A263" s="125">
        <v>233</v>
      </c>
      <c r="B263" s="72" t="s">
        <v>958</v>
      </c>
      <c r="C263" s="99">
        <v>1</v>
      </c>
      <c r="D263" s="67"/>
      <c r="E263" s="61">
        <f t="shared" si="122"/>
        <v>0</v>
      </c>
      <c r="F263" s="188">
        <f t="shared" ref="F263:F358" si="123">ROUNDUP(E263/6,2)</f>
        <v>0</v>
      </c>
      <c r="G263" s="118" t="s">
        <v>926</v>
      </c>
      <c r="H263" s="59" t="str">
        <f t="shared" si="109"/>
        <v>ninguno</v>
      </c>
      <c r="I263" s="59">
        <f t="shared" si="118"/>
        <v>0</v>
      </c>
      <c r="J263" s="84"/>
      <c r="K263" s="132" t="s">
        <v>926</v>
      </c>
      <c r="L263" s="107" t="str">
        <f t="shared" si="111"/>
        <v>ninguno</v>
      </c>
      <c r="M263" s="107">
        <f t="shared" si="119"/>
        <v>0</v>
      </c>
      <c r="N263" s="84"/>
      <c r="O263" s="132" t="s">
        <v>926</v>
      </c>
      <c r="P263" s="59" t="str">
        <f t="shared" si="113"/>
        <v>ninguno</v>
      </c>
      <c r="Q263" s="59">
        <f t="shared" si="120"/>
        <v>0</v>
      </c>
      <c r="R263" s="84"/>
      <c r="S263" s="132" t="s">
        <v>926</v>
      </c>
      <c r="T263" s="107" t="str">
        <f t="shared" si="115"/>
        <v>ninguno</v>
      </c>
      <c r="U263" s="107">
        <f t="shared" si="121"/>
        <v>0</v>
      </c>
      <c r="V263" s="84"/>
    </row>
    <row r="264" spans="1:22" s="108" customFormat="1" ht="14.25" customHeight="1" x14ac:dyDescent="0.25">
      <c r="A264" s="125">
        <v>234</v>
      </c>
      <c r="B264" s="72" t="s">
        <v>959</v>
      </c>
      <c r="C264" s="99">
        <v>1</v>
      </c>
      <c r="D264" s="67"/>
      <c r="E264" s="61">
        <f t="shared" si="122"/>
        <v>0</v>
      </c>
      <c r="F264" s="188">
        <f t="shared" si="123"/>
        <v>0</v>
      </c>
      <c r="G264" s="118" t="s">
        <v>926</v>
      </c>
      <c r="H264" s="59" t="str">
        <f t="shared" si="109"/>
        <v>ninguno</v>
      </c>
      <c r="I264" s="59">
        <f t="shared" si="118"/>
        <v>0</v>
      </c>
      <c r="J264" s="84"/>
      <c r="K264" s="132" t="s">
        <v>926</v>
      </c>
      <c r="L264" s="107" t="str">
        <f t="shared" si="111"/>
        <v>ninguno</v>
      </c>
      <c r="M264" s="107">
        <f t="shared" si="119"/>
        <v>0</v>
      </c>
      <c r="N264" s="84"/>
      <c r="O264" s="132" t="s">
        <v>926</v>
      </c>
      <c r="P264" s="59" t="str">
        <f t="shared" si="113"/>
        <v>ninguno</v>
      </c>
      <c r="Q264" s="59">
        <f t="shared" si="120"/>
        <v>0</v>
      </c>
      <c r="R264" s="84"/>
      <c r="S264" s="132" t="s">
        <v>926</v>
      </c>
      <c r="T264" s="107" t="str">
        <f t="shared" si="115"/>
        <v>ninguno</v>
      </c>
      <c r="U264" s="107">
        <f t="shared" si="121"/>
        <v>0</v>
      </c>
      <c r="V264" s="84"/>
    </row>
    <row r="265" spans="1:22" s="266" customFormat="1" ht="14.25" customHeight="1" x14ac:dyDescent="0.25">
      <c r="A265" s="269">
        <v>235</v>
      </c>
      <c r="B265" s="72" t="s">
        <v>1033</v>
      </c>
      <c r="C265" s="99">
        <v>1</v>
      </c>
      <c r="D265" s="67"/>
      <c r="E265" s="61">
        <f t="shared" ref="E265:E280" si="124">(((I265*J265)+(M265*N265)+(Q265*R265)+(U265*V265))/C265)*1.2</f>
        <v>134.43599999999998</v>
      </c>
      <c r="F265" s="188">
        <f t="shared" ref="F265:F280" si="125">ROUNDUP(E265/6,2)</f>
        <v>22.41</v>
      </c>
      <c r="G265" s="118">
        <v>159</v>
      </c>
      <c r="H265" s="59" t="str">
        <f t="shared" ref="H265:H280" si="126">VLOOKUP(G265,LISTAITEMS,2,FALSE)</f>
        <v>White Stained Clay</v>
      </c>
      <c r="I265" s="59">
        <f t="shared" ref="I265:I280" si="127">VLOOKUP(G265,LISTAITEMS,5,FALSE)</f>
        <v>105.02999999999999</v>
      </c>
      <c r="J265" s="84">
        <v>1</v>
      </c>
      <c r="K265" s="132">
        <v>263</v>
      </c>
      <c r="L265" s="264" t="str">
        <f t="shared" ref="L265" si="128">VLOOKUP(K265,LISTAITEMS,2,FALSE)</f>
        <v>Coal</v>
      </c>
      <c r="M265" s="264">
        <f t="shared" ref="M265" si="129">VLOOKUP(K265,LISTAITEMS,5,FALSE)</f>
        <v>7</v>
      </c>
      <c r="N265" s="84">
        <v>1</v>
      </c>
      <c r="O265" s="132" t="s">
        <v>926</v>
      </c>
      <c r="P265" s="59" t="str">
        <f t="shared" ref="P265:P280" si="130">VLOOKUP(O265,LISTAITEMS,2,FALSE)</f>
        <v>ninguno</v>
      </c>
      <c r="Q265" s="59">
        <f t="shared" ref="Q265:Q280" si="131">VLOOKUP(O265,LISTAITEMS,5,FALSE)</f>
        <v>0</v>
      </c>
      <c r="R265" s="84"/>
      <c r="S265" s="132" t="s">
        <v>926</v>
      </c>
      <c r="T265" s="264" t="str">
        <f t="shared" ref="T265:T280" si="132">VLOOKUP(S265,LISTAITEMS,2,FALSE)</f>
        <v>ninguno</v>
      </c>
      <c r="U265" s="264">
        <f t="shared" ref="U265:U280" si="133">VLOOKUP(S265,LISTAITEMS,5,FALSE)</f>
        <v>0</v>
      </c>
      <c r="V265" s="84"/>
    </row>
    <row r="266" spans="1:22" s="266" customFormat="1" ht="14.25" customHeight="1" x14ac:dyDescent="0.25">
      <c r="A266" s="269">
        <v>236</v>
      </c>
      <c r="B266" s="72" t="s">
        <v>1034</v>
      </c>
      <c r="C266" s="99">
        <v>1</v>
      </c>
      <c r="D266" s="67"/>
      <c r="E266" s="61">
        <f t="shared" si="124"/>
        <v>136.70399999999998</v>
      </c>
      <c r="F266" s="188">
        <f t="shared" si="125"/>
        <v>22.790000000000003</v>
      </c>
      <c r="G266" s="118" t="s">
        <v>433</v>
      </c>
      <c r="H266" s="59" t="str">
        <f t="shared" si="126"/>
        <v>Orange Stained Clay</v>
      </c>
      <c r="I266" s="59">
        <f t="shared" si="127"/>
        <v>106.91999999999999</v>
      </c>
      <c r="J266" s="84">
        <v>1</v>
      </c>
      <c r="K266" s="132">
        <v>263</v>
      </c>
      <c r="L266" s="264" t="str">
        <f t="shared" ref="L266:L280" si="134">VLOOKUP(K266,LISTAITEMS,2,FALSE)</f>
        <v>Coal</v>
      </c>
      <c r="M266" s="264">
        <f t="shared" ref="M266:M280" si="135">VLOOKUP(K266,LISTAITEMS,5,FALSE)</f>
        <v>7</v>
      </c>
      <c r="N266" s="84">
        <v>1</v>
      </c>
      <c r="O266" s="132" t="s">
        <v>926</v>
      </c>
      <c r="P266" s="59" t="str">
        <f t="shared" si="130"/>
        <v>ninguno</v>
      </c>
      <c r="Q266" s="59">
        <f t="shared" si="131"/>
        <v>0</v>
      </c>
      <c r="R266" s="84"/>
      <c r="S266" s="132" t="s">
        <v>926</v>
      </c>
      <c r="T266" s="264" t="str">
        <f t="shared" si="132"/>
        <v>ninguno</v>
      </c>
      <c r="U266" s="264">
        <f t="shared" si="133"/>
        <v>0</v>
      </c>
      <c r="V266" s="84"/>
    </row>
    <row r="267" spans="1:22" s="266" customFormat="1" ht="14.25" customHeight="1" x14ac:dyDescent="0.25">
      <c r="A267" s="269">
        <v>237</v>
      </c>
      <c r="B267" s="72" t="s">
        <v>1035</v>
      </c>
      <c r="C267" s="99">
        <v>1</v>
      </c>
      <c r="D267" s="67"/>
      <c r="E267" s="61">
        <f t="shared" si="124"/>
        <v>142.14719999999997</v>
      </c>
      <c r="F267" s="188">
        <f t="shared" si="125"/>
        <v>23.700000000000003</v>
      </c>
      <c r="G267" s="118" t="s">
        <v>435</v>
      </c>
      <c r="H267" s="59" t="str">
        <f t="shared" si="126"/>
        <v>Magenta Stained Clay</v>
      </c>
      <c r="I267" s="59">
        <f t="shared" si="127"/>
        <v>111.45599999999999</v>
      </c>
      <c r="J267" s="84">
        <v>1</v>
      </c>
      <c r="K267" s="132">
        <v>263</v>
      </c>
      <c r="L267" s="264" t="str">
        <f t="shared" si="134"/>
        <v>Coal</v>
      </c>
      <c r="M267" s="264">
        <f t="shared" si="135"/>
        <v>7</v>
      </c>
      <c r="N267" s="84">
        <v>1</v>
      </c>
      <c r="O267" s="132" t="s">
        <v>926</v>
      </c>
      <c r="P267" s="59" t="str">
        <f t="shared" si="130"/>
        <v>ninguno</v>
      </c>
      <c r="Q267" s="59">
        <f t="shared" si="131"/>
        <v>0</v>
      </c>
      <c r="R267" s="84"/>
      <c r="S267" s="132" t="s">
        <v>926</v>
      </c>
      <c r="T267" s="264" t="str">
        <f t="shared" si="132"/>
        <v>ninguno</v>
      </c>
      <c r="U267" s="264">
        <f t="shared" si="133"/>
        <v>0</v>
      </c>
      <c r="V267" s="84"/>
    </row>
    <row r="268" spans="1:22" s="266" customFormat="1" ht="14.25" customHeight="1" x14ac:dyDescent="0.25">
      <c r="A268" s="269">
        <v>238</v>
      </c>
      <c r="B268" s="72" t="s">
        <v>1044</v>
      </c>
      <c r="C268" s="99">
        <v>1</v>
      </c>
      <c r="D268" s="67"/>
      <c r="E268" s="61">
        <f t="shared" si="124"/>
        <v>136.70399999999998</v>
      </c>
      <c r="F268" s="188">
        <f t="shared" si="125"/>
        <v>22.790000000000003</v>
      </c>
      <c r="G268" s="118" t="s">
        <v>437</v>
      </c>
      <c r="H268" s="59" t="str">
        <f t="shared" si="126"/>
        <v>Light Blue Stained Clay</v>
      </c>
      <c r="I268" s="59">
        <f t="shared" si="127"/>
        <v>106.91999999999999</v>
      </c>
      <c r="J268" s="84">
        <v>1</v>
      </c>
      <c r="K268" s="132">
        <v>263</v>
      </c>
      <c r="L268" s="264" t="str">
        <f t="shared" si="134"/>
        <v>Coal</v>
      </c>
      <c r="M268" s="264">
        <f t="shared" si="135"/>
        <v>7</v>
      </c>
      <c r="N268" s="84">
        <v>1</v>
      </c>
      <c r="O268" s="132" t="s">
        <v>926</v>
      </c>
      <c r="P268" s="59" t="str">
        <f t="shared" si="130"/>
        <v>ninguno</v>
      </c>
      <c r="Q268" s="59">
        <f t="shared" si="131"/>
        <v>0</v>
      </c>
      <c r="R268" s="84"/>
      <c r="S268" s="132" t="s">
        <v>926</v>
      </c>
      <c r="T268" s="264" t="str">
        <f t="shared" si="132"/>
        <v>ninguno</v>
      </c>
      <c r="U268" s="264">
        <f t="shared" si="133"/>
        <v>0</v>
      </c>
      <c r="V268" s="84"/>
    </row>
    <row r="269" spans="1:22" s="266" customFormat="1" ht="14.25" customHeight="1" x14ac:dyDescent="0.25">
      <c r="A269" s="269">
        <v>239</v>
      </c>
      <c r="B269" s="72" t="s">
        <v>1037</v>
      </c>
      <c r="C269" s="99">
        <v>1</v>
      </c>
      <c r="D269" s="67"/>
      <c r="E269" s="61">
        <f t="shared" si="124"/>
        <v>134.43599999999998</v>
      </c>
      <c r="F269" s="188">
        <f t="shared" si="125"/>
        <v>22.41</v>
      </c>
      <c r="G269" s="118" t="s">
        <v>439</v>
      </c>
      <c r="H269" s="59" t="str">
        <f t="shared" si="126"/>
        <v>Yellow Stained Clay</v>
      </c>
      <c r="I269" s="59">
        <f t="shared" si="127"/>
        <v>105.02999999999999</v>
      </c>
      <c r="J269" s="84">
        <v>1</v>
      </c>
      <c r="K269" s="132">
        <v>263</v>
      </c>
      <c r="L269" s="264" t="str">
        <f t="shared" si="134"/>
        <v>Coal</v>
      </c>
      <c r="M269" s="264">
        <f t="shared" si="135"/>
        <v>7</v>
      </c>
      <c r="N269" s="84">
        <v>1</v>
      </c>
      <c r="O269" s="132" t="s">
        <v>926</v>
      </c>
      <c r="P269" s="59" t="str">
        <f t="shared" si="130"/>
        <v>ninguno</v>
      </c>
      <c r="Q269" s="59">
        <f t="shared" si="131"/>
        <v>0</v>
      </c>
      <c r="R269" s="84"/>
      <c r="S269" s="132" t="s">
        <v>926</v>
      </c>
      <c r="T269" s="264" t="str">
        <f t="shared" si="132"/>
        <v>ninguno</v>
      </c>
      <c r="U269" s="264">
        <f t="shared" si="133"/>
        <v>0</v>
      </c>
      <c r="V269" s="84"/>
    </row>
    <row r="270" spans="1:22" s="266" customFormat="1" ht="14.25" customHeight="1" x14ac:dyDescent="0.25">
      <c r="A270" s="269">
        <v>240</v>
      </c>
      <c r="B270" s="72" t="s">
        <v>1038</v>
      </c>
      <c r="C270" s="99">
        <v>1</v>
      </c>
      <c r="D270" s="67"/>
      <c r="E270" s="61">
        <f t="shared" si="124"/>
        <v>138.64799999999997</v>
      </c>
      <c r="F270" s="188">
        <f t="shared" si="125"/>
        <v>23.110000000000003</v>
      </c>
      <c r="G270" s="118" t="s">
        <v>441</v>
      </c>
      <c r="H270" s="59" t="str">
        <f t="shared" si="126"/>
        <v>Lime Stained Clay</v>
      </c>
      <c r="I270" s="59">
        <f t="shared" si="127"/>
        <v>108.53999999999998</v>
      </c>
      <c r="J270" s="84">
        <v>1</v>
      </c>
      <c r="K270" s="132">
        <v>263</v>
      </c>
      <c r="L270" s="264" t="str">
        <f t="shared" si="134"/>
        <v>Coal</v>
      </c>
      <c r="M270" s="264">
        <f t="shared" si="135"/>
        <v>7</v>
      </c>
      <c r="N270" s="84">
        <v>1</v>
      </c>
      <c r="O270" s="132" t="s">
        <v>926</v>
      </c>
      <c r="P270" s="59" t="str">
        <f t="shared" si="130"/>
        <v>ninguno</v>
      </c>
      <c r="Q270" s="59">
        <f t="shared" si="131"/>
        <v>0</v>
      </c>
      <c r="R270" s="84"/>
      <c r="S270" s="132" t="s">
        <v>926</v>
      </c>
      <c r="T270" s="264" t="str">
        <f t="shared" si="132"/>
        <v>ninguno</v>
      </c>
      <c r="U270" s="264">
        <f t="shared" si="133"/>
        <v>0</v>
      </c>
      <c r="V270" s="84"/>
    </row>
    <row r="271" spans="1:22" s="266" customFormat="1" ht="14.25" customHeight="1" x14ac:dyDescent="0.25">
      <c r="A271" s="269">
        <v>241</v>
      </c>
      <c r="B271" s="72" t="s">
        <v>1039</v>
      </c>
      <c r="C271" s="99">
        <v>1</v>
      </c>
      <c r="D271" s="67"/>
      <c r="E271" s="61">
        <f t="shared" si="124"/>
        <v>136.70399999999998</v>
      </c>
      <c r="F271" s="188">
        <f t="shared" si="125"/>
        <v>22.790000000000003</v>
      </c>
      <c r="G271" s="118" t="s">
        <v>443</v>
      </c>
      <c r="H271" s="59" t="str">
        <f t="shared" si="126"/>
        <v>Pink Stained Clay</v>
      </c>
      <c r="I271" s="59">
        <f t="shared" si="127"/>
        <v>106.91999999999999</v>
      </c>
      <c r="J271" s="84">
        <v>1</v>
      </c>
      <c r="K271" s="132">
        <v>263</v>
      </c>
      <c r="L271" s="264" t="str">
        <f t="shared" si="134"/>
        <v>Coal</v>
      </c>
      <c r="M271" s="264">
        <f t="shared" si="135"/>
        <v>7</v>
      </c>
      <c r="N271" s="84">
        <v>1</v>
      </c>
      <c r="O271" s="132" t="s">
        <v>926</v>
      </c>
      <c r="P271" s="59" t="str">
        <f t="shared" si="130"/>
        <v>ninguno</v>
      </c>
      <c r="Q271" s="59">
        <f t="shared" si="131"/>
        <v>0</v>
      </c>
      <c r="R271" s="84"/>
      <c r="S271" s="132" t="s">
        <v>926</v>
      </c>
      <c r="T271" s="264" t="str">
        <f t="shared" si="132"/>
        <v>ninguno</v>
      </c>
      <c r="U271" s="264">
        <f t="shared" si="133"/>
        <v>0</v>
      </c>
      <c r="V271" s="84"/>
    </row>
    <row r="272" spans="1:22" s="266" customFormat="1" ht="14.25" customHeight="1" x14ac:dyDescent="0.25">
      <c r="A272" s="269">
        <v>242</v>
      </c>
      <c r="B272" s="72" t="s">
        <v>1040</v>
      </c>
      <c r="C272" s="99">
        <v>1</v>
      </c>
      <c r="D272" s="67"/>
      <c r="E272" s="61">
        <f t="shared" si="124"/>
        <v>136.70399999999998</v>
      </c>
      <c r="F272" s="188">
        <f t="shared" si="125"/>
        <v>22.790000000000003</v>
      </c>
      <c r="G272" s="118" t="s">
        <v>445</v>
      </c>
      <c r="H272" s="59" t="str">
        <f t="shared" si="126"/>
        <v>Gray Stained Clay</v>
      </c>
      <c r="I272" s="59">
        <f t="shared" si="127"/>
        <v>106.91999999999999</v>
      </c>
      <c r="J272" s="84">
        <v>1</v>
      </c>
      <c r="K272" s="132">
        <v>263</v>
      </c>
      <c r="L272" s="264" t="str">
        <f t="shared" si="134"/>
        <v>Coal</v>
      </c>
      <c r="M272" s="264">
        <f t="shared" si="135"/>
        <v>7</v>
      </c>
      <c r="N272" s="84">
        <v>1</v>
      </c>
      <c r="O272" s="132" t="s">
        <v>926</v>
      </c>
      <c r="P272" s="59" t="str">
        <f t="shared" si="130"/>
        <v>ninguno</v>
      </c>
      <c r="Q272" s="59">
        <f t="shared" si="131"/>
        <v>0</v>
      </c>
      <c r="R272" s="84"/>
      <c r="S272" s="132" t="s">
        <v>926</v>
      </c>
      <c r="T272" s="264" t="str">
        <f t="shared" si="132"/>
        <v>ninguno</v>
      </c>
      <c r="U272" s="264">
        <f t="shared" si="133"/>
        <v>0</v>
      </c>
      <c r="V272" s="84"/>
    </row>
    <row r="273" spans="1:22" s="266" customFormat="1" ht="14.25" customHeight="1" x14ac:dyDescent="0.25">
      <c r="A273" s="269">
        <v>243</v>
      </c>
      <c r="B273" s="72" t="s">
        <v>1041</v>
      </c>
      <c r="C273" s="99">
        <v>1</v>
      </c>
      <c r="D273" s="67"/>
      <c r="E273" s="61">
        <f t="shared" si="124"/>
        <v>139.42559999999997</v>
      </c>
      <c r="F273" s="188">
        <f t="shared" si="125"/>
        <v>23.240000000000002</v>
      </c>
      <c r="G273" s="118" t="s">
        <v>447</v>
      </c>
      <c r="H273" s="59" t="str">
        <f t="shared" si="126"/>
        <v>Light Gray Stained Clay</v>
      </c>
      <c r="I273" s="59">
        <f t="shared" si="127"/>
        <v>109.18799999999999</v>
      </c>
      <c r="J273" s="84">
        <v>1</v>
      </c>
      <c r="K273" s="132">
        <v>263</v>
      </c>
      <c r="L273" s="264" t="str">
        <f t="shared" si="134"/>
        <v>Coal</v>
      </c>
      <c r="M273" s="264">
        <f t="shared" si="135"/>
        <v>7</v>
      </c>
      <c r="N273" s="84">
        <v>1</v>
      </c>
      <c r="O273" s="132" t="s">
        <v>926</v>
      </c>
      <c r="P273" s="59" t="str">
        <f t="shared" si="130"/>
        <v>ninguno</v>
      </c>
      <c r="Q273" s="59">
        <f t="shared" si="131"/>
        <v>0</v>
      </c>
      <c r="R273" s="84"/>
      <c r="S273" s="132" t="s">
        <v>926</v>
      </c>
      <c r="T273" s="264" t="str">
        <f t="shared" si="132"/>
        <v>ninguno</v>
      </c>
      <c r="U273" s="264">
        <f t="shared" si="133"/>
        <v>0</v>
      </c>
      <c r="V273" s="84"/>
    </row>
    <row r="274" spans="1:22" s="266" customFormat="1" ht="14.25" customHeight="1" x14ac:dyDescent="0.25">
      <c r="A274" s="269">
        <v>244</v>
      </c>
      <c r="B274" s="72" t="s">
        <v>1042</v>
      </c>
      <c r="C274" s="99">
        <v>1</v>
      </c>
      <c r="D274" s="67"/>
      <c r="E274" s="61">
        <f t="shared" si="124"/>
        <v>136.70399999999998</v>
      </c>
      <c r="F274" s="188">
        <f t="shared" si="125"/>
        <v>22.790000000000003</v>
      </c>
      <c r="G274" s="118" t="s">
        <v>449</v>
      </c>
      <c r="H274" s="59" t="str">
        <f t="shared" si="126"/>
        <v>Cyan Stained Clay</v>
      </c>
      <c r="I274" s="59">
        <f t="shared" si="127"/>
        <v>106.91999999999999</v>
      </c>
      <c r="J274" s="84">
        <v>1</v>
      </c>
      <c r="K274" s="132">
        <v>263</v>
      </c>
      <c r="L274" s="264" t="str">
        <f t="shared" si="134"/>
        <v>Coal</v>
      </c>
      <c r="M274" s="264">
        <f t="shared" si="135"/>
        <v>7</v>
      </c>
      <c r="N274" s="84">
        <v>1</v>
      </c>
      <c r="O274" s="132" t="s">
        <v>926</v>
      </c>
      <c r="P274" s="59" t="str">
        <f t="shared" si="130"/>
        <v>ninguno</v>
      </c>
      <c r="Q274" s="59">
        <f t="shared" si="131"/>
        <v>0</v>
      </c>
      <c r="R274" s="84"/>
      <c r="S274" s="132" t="s">
        <v>926</v>
      </c>
      <c r="T274" s="264" t="str">
        <f t="shared" si="132"/>
        <v>ninguno</v>
      </c>
      <c r="U274" s="264">
        <f t="shared" si="133"/>
        <v>0</v>
      </c>
      <c r="V274" s="84"/>
    </row>
    <row r="275" spans="1:22" s="266" customFormat="1" ht="14.25" customHeight="1" x14ac:dyDescent="0.25">
      <c r="A275" s="269">
        <v>245</v>
      </c>
      <c r="B275" s="72" t="s">
        <v>1043</v>
      </c>
      <c r="C275" s="99">
        <v>1</v>
      </c>
      <c r="D275" s="67"/>
      <c r="E275" s="61">
        <f t="shared" si="124"/>
        <v>136.70399999999998</v>
      </c>
      <c r="F275" s="188">
        <f t="shared" si="125"/>
        <v>22.790000000000003</v>
      </c>
      <c r="G275" s="118" t="s">
        <v>451</v>
      </c>
      <c r="H275" s="59" t="str">
        <f t="shared" si="126"/>
        <v>Purple Stained Clay</v>
      </c>
      <c r="I275" s="59">
        <f t="shared" si="127"/>
        <v>106.91999999999999</v>
      </c>
      <c r="J275" s="84">
        <v>1</v>
      </c>
      <c r="K275" s="132">
        <v>263</v>
      </c>
      <c r="L275" s="264" t="str">
        <f t="shared" si="134"/>
        <v>Coal</v>
      </c>
      <c r="M275" s="264">
        <f t="shared" si="135"/>
        <v>7</v>
      </c>
      <c r="N275" s="84">
        <v>1</v>
      </c>
      <c r="O275" s="132" t="s">
        <v>926</v>
      </c>
      <c r="P275" s="59" t="str">
        <f t="shared" si="130"/>
        <v>ninguno</v>
      </c>
      <c r="Q275" s="59">
        <f t="shared" si="131"/>
        <v>0</v>
      </c>
      <c r="R275" s="84"/>
      <c r="S275" s="132" t="s">
        <v>926</v>
      </c>
      <c r="T275" s="264" t="str">
        <f t="shared" si="132"/>
        <v>ninguno</v>
      </c>
      <c r="U275" s="264">
        <f t="shared" si="133"/>
        <v>0</v>
      </c>
      <c r="V275" s="84"/>
    </row>
    <row r="276" spans="1:22" s="266" customFormat="1" ht="14.25" customHeight="1" x14ac:dyDescent="0.25">
      <c r="A276" s="269">
        <v>246</v>
      </c>
      <c r="B276" s="72" t="s">
        <v>1036</v>
      </c>
      <c r="C276" s="99">
        <v>1</v>
      </c>
      <c r="D276" s="67"/>
      <c r="E276" s="61">
        <f t="shared" si="124"/>
        <v>134.43599999999998</v>
      </c>
      <c r="F276" s="188">
        <f t="shared" si="125"/>
        <v>22.41</v>
      </c>
      <c r="G276" s="118" t="s">
        <v>453</v>
      </c>
      <c r="H276" s="59" t="str">
        <f t="shared" si="126"/>
        <v>Blue Stained Clay</v>
      </c>
      <c r="I276" s="59">
        <f t="shared" si="127"/>
        <v>105.02999999999999</v>
      </c>
      <c r="J276" s="84">
        <v>1</v>
      </c>
      <c r="K276" s="132">
        <v>263</v>
      </c>
      <c r="L276" s="264" t="str">
        <f t="shared" si="134"/>
        <v>Coal</v>
      </c>
      <c r="M276" s="264">
        <f t="shared" si="135"/>
        <v>7</v>
      </c>
      <c r="N276" s="84">
        <v>1</v>
      </c>
      <c r="O276" s="132" t="s">
        <v>926</v>
      </c>
      <c r="P276" s="59" t="str">
        <f t="shared" si="130"/>
        <v>ninguno</v>
      </c>
      <c r="Q276" s="59">
        <f t="shared" si="131"/>
        <v>0</v>
      </c>
      <c r="R276" s="84"/>
      <c r="S276" s="132" t="s">
        <v>926</v>
      </c>
      <c r="T276" s="264" t="str">
        <f t="shared" si="132"/>
        <v>ninguno</v>
      </c>
      <c r="U276" s="264">
        <f t="shared" si="133"/>
        <v>0</v>
      </c>
      <c r="V276" s="84"/>
    </row>
    <row r="277" spans="1:22" s="266" customFormat="1" ht="14.25" customHeight="1" x14ac:dyDescent="0.25">
      <c r="A277" s="269">
        <v>247</v>
      </c>
      <c r="B277" s="72" t="s">
        <v>1045</v>
      </c>
      <c r="C277" s="99">
        <v>1</v>
      </c>
      <c r="D277" s="67"/>
      <c r="E277" s="61">
        <f t="shared" si="124"/>
        <v>134.43599999999998</v>
      </c>
      <c r="F277" s="188">
        <f t="shared" si="125"/>
        <v>22.41</v>
      </c>
      <c r="G277" s="118" t="s">
        <v>455</v>
      </c>
      <c r="H277" s="59" t="str">
        <f t="shared" si="126"/>
        <v>Brown Stained Clay</v>
      </c>
      <c r="I277" s="59">
        <f t="shared" si="127"/>
        <v>105.02999999999999</v>
      </c>
      <c r="J277" s="84">
        <v>1</v>
      </c>
      <c r="K277" s="132">
        <v>263</v>
      </c>
      <c r="L277" s="264" t="str">
        <f t="shared" si="134"/>
        <v>Coal</v>
      </c>
      <c r="M277" s="264">
        <f t="shared" si="135"/>
        <v>7</v>
      </c>
      <c r="N277" s="84">
        <v>1</v>
      </c>
      <c r="O277" s="132" t="s">
        <v>926</v>
      </c>
      <c r="P277" s="59" t="str">
        <f t="shared" si="130"/>
        <v>ninguno</v>
      </c>
      <c r="Q277" s="59">
        <f t="shared" si="131"/>
        <v>0</v>
      </c>
      <c r="R277" s="84"/>
      <c r="S277" s="132" t="s">
        <v>926</v>
      </c>
      <c r="T277" s="264" t="str">
        <f t="shared" si="132"/>
        <v>ninguno</v>
      </c>
      <c r="U277" s="264">
        <f t="shared" si="133"/>
        <v>0</v>
      </c>
      <c r="V277" s="84"/>
    </row>
    <row r="278" spans="1:22" s="266" customFormat="1" ht="14.25" customHeight="1" x14ac:dyDescent="0.25">
      <c r="A278" s="269">
        <v>248</v>
      </c>
      <c r="B278" s="72" t="s">
        <v>1046</v>
      </c>
      <c r="C278" s="99">
        <v>1</v>
      </c>
      <c r="D278" s="67"/>
      <c r="E278" s="61">
        <f t="shared" si="124"/>
        <v>134.43599999999998</v>
      </c>
      <c r="F278" s="188">
        <f t="shared" si="125"/>
        <v>22.41</v>
      </c>
      <c r="G278" s="118" t="s">
        <v>457</v>
      </c>
      <c r="H278" s="59" t="str">
        <f t="shared" si="126"/>
        <v>Green Stained Clay</v>
      </c>
      <c r="I278" s="59">
        <f t="shared" si="127"/>
        <v>105.02999999999999</v>
      </c>
      <c r="J278" s="84">
        <v>1</v>
      </c>
      <c r="K278" s="132">
        <v>263</v>
      </c>
      <c r="L278" s="264" t="str">
        <f t="shared" si="134"/>
        <v>Coal</v>
      </c>
      <c r="M278" s="264">
        <f t="shared" si="135"/>
        <v>7</v>
      </c>
      <c r="N278" s="84">
        <v>1</v>
      </c>
      <c r="O278" s="132" t="s">
        <v>926</v>
      </c>
      <c r="P278" s="59" t="str">
        <f t="shared" si="130"/>
        <v>ninguno</v>
      </c>
      <c r="Q278" s="59">
        <f t="shared" si="131"/>
        <v>0</v>
      </c>
      <c r="R278" s="84"/>
      <c r="S278" s="132" t="s">
        <v>926</v>
      </c>
      <c r="T278" s="264" t="str">
        <f t="shared" si="132"/>
        <v>ninguno</v>
      </c>
      <c r="U278" s="264">
        <f t="shared" si="133"/>
        <v>0</v>
      </c>
      <c r="V278" s="84"/>
    </row>
    <row r="279" spans="1:22" s="266" customFormat="1" ht="14.25" customHeight="1" x14ac:dyDescent="0.25">
      <c r="A279" s="269">
        <v>249</v>
      </c>
      <c r="B279" s="72" t="s">
        <v>1047</v>
      </c>
      <c r="C279" s="99">
        <v>1</v>
      </c>
      <c r="D279" s="67"/>
      <c r="E279" s="61">
        <f t="shared" si="124"/>
        <v>134.43599999999998</v>
      </c>
      <c r="F279" s="188">
        <f t="shared" si="125"/>
        <v>22.41</v>
      </c>
      <c r="G279" s="118" t="s">
        <v>459</v>
      </c>
      <c r="H279" s="59" t="str">
        <f t="shared" si="126"/>
        <v>Red Stained Clay</v>
      </c>
      <c r="I279" s="59">
        <f t="shared" si="127"/>
        <v>105.02999999999999</v>
      </c>
      <c r="J279" s="84">
        <v>1</v>
      </c>
      <c r="K279" s="132">
        <v>263</v>
      </c>
      <c r="L279" s="264" t="str">
        <f t="shared" si="134"/>
        <v>Coal</v>
      </c>
      <c r="M279" s="264">
        <f t="shared" si="135"/>
        <v>7</v>
      </c>
      <c r="N279" s="84">
        <v>1</v>
      </c>
      <c r="O279" s="132" t="s">
        <v>926</v>
      </c>
      <c r="P279" s="59" t="str">
        <f t="shared" si="130"/>
        <v>ninguno</v>
      </c>
      <c r="Q279" s="59">
        <f t="shared" si="131"/>
        <v>0</v>
      </c>
      <c r="R279" s="84"/>
      <c r="S279" s="132" t="s">
        <v>926</v>
      </c>
      <c r="T279" s="264" t="str">
        <f t="shared" si="132"/>
        <v>ninguno</v>
      </c>
      <c r="U279" s="264">
        <f t="shared" si="133"/>
        <v>0</v>
      </c>
      <c r="V279" s="84"/>
    </row>
    <row r="280" spans="1:22" s="266" customFormat="1" ht="14.25" customHeight="1" x14ac:dyDescent="0.25">
      <c r="A280" s="269">
        <v>250</v>
      </c>
      <c r="B280" s="72" t="s">
        <v>1048</v>
      </c>
      <c r="C280" s="99">
        <v>1</v>
      </c>
      <c r="D280" s="67"/>
      <c r="E280" s="61">
        <f t="shared" si="124"/>
        <v>134.43599999999998</v>
      </c>
      <c r="F280" s="188">
        <f t="shared" si="125"/>
        <v>22.41</v>
      </c>
      <c r="G280" s="118" t="s">
        <v>461</v>
      </c>
      <c r="H280" s="59" t="str">
        <f t="shared" si="126"/>
        <v>Black Stained Clay</v>
      </c>
      <c r="I280" s="59">
        <f t="shared" si="127"/>
        <v>105.02999999999999</v>
      </c>
      <c r="J280" s="84">
        <v>1</v>
      </c>
      <c r="K280" s="132">
        <v>263</v>
      </c>
      <c r="L280" s="264" t="str">
        <f t="shared" si="134"/>
        <v>Coal</v>
      </c>
      <c r="M280" s="264">
        <f t="shared" si="135"/>
        <v>7</v>
      </c>
      <c r="N280" s="84">
        <v>1</v>
      </c>
      <c r="O280" s="132" t="s">
        <v>926</v>
      </c>
      <c r="P280" s="59" t="str">
        <f t="shared" si="130"/>
        <v>ninguno</v>
      </c>
      <c r="Q280" s="59">
        <f t="shared" si="131"/>
        <v>0</v>
      </c>
      <c r="R280" s="84"/>
      <c r="S280" s="132" t="s">
        <v>926</v>
      </c>
      <c r="T280" s="264" t="str">
        <f t="shared" si="132"/>
        <v>ninguno</v>
      </c>
      <c r="U280" s="264">
        <f t="shared" si="133"/>
        <v>0</v>
      </c>
      <c r="V280" s="84"/>
    </row>
    <row r="281" spans="1:22" s="274" customFormat="1" ht="14.25" customHeight="1" x14ac:dyDescent="0.25">
      <c r="A281" s="269">
        <v>252</v>
      </c>
      <c r="B281" s="72" t="s">
        <v>1095</v>
      </c>
      <c r="C281" s="99">
        <v>1</v>
      </c>
      <c r="D281" s="67"/>
      <c r="E281" s="61">
        <f t="shared" ref="E281:E296" si="136">(((I281*J281)+(M281*N281)+(Q281*R281)+(U281*V281))/C281)*1.2</f>
        <v>78</v>
      </c>
      <c r="F281" s="188">
        <f t="shared" ref="F281:F296" si="137">ROUNDUP(E281/6,2)</f>
        <v>13</v>
      </c>
      <c r="G281" s="118">
        <v>13</v>
      </c>
      <c r="H281" s="59" t="str">
        <f t="shared" ref="H281:H296" si="138">VLOOKUP(G281,LISTAITEMS,2,FALSE)</f>
        <v>Gravel</v>
      </c>
      <c r="I281" s="59">
        <f t="shared" ref="I281:I296" si="139">VLOOKUP(G281,LISTAITEMS,5,FALSE)</f>
        <v>3</v>
      </c>
      <c r="J281" s="84">
        <v>4</v>
      </c>
      <c r="K281" s="132">
        <v>12</v>
      </c>
      <c r="L281" s="272" t="str">
        <f t="shared" ref="L281:L296" si="140">VLOOKUP(K281,LISTAITEMS,2,FALSE)</f>
        <v>Sand</v>
      </c>
      <c r="M281" s="272">
        <f t="shared" ref="M281:M296" si="141">VLOOKUP(K281,LISTAITEMS,5,FALSE)</f>
        <v>11</v>
      </c>
      <c r="N281" s="84">
        <v>4</v>
      </c>
      <c r="O281" s="132" t="s">
        <v>678</v>
      </c>
      <c r="P281" s="59" t="str">
        <f t="shared" ref="P281:P296" si="142">VLOOKUP(O281,LISTAITEMS,2,FALSE)</f>
        <v>Bone Meal</v>
      </c>
      <c r="Q281" s="59">
        <f t="shared" ref="Q281:Q296" si="143">VLOOKUP(O281,LISTAITEMS,5,FALSE)</f>
        <v>9</v>
      </c>
      <c r="R281" s="84">
        <v>1</v>
      </c>
      <c r="S281" s="132" t="s">
        <v>926</v>
      </c>
      <c r="T281" s="272" t="str">
        <f t="shared" ref="T281:T296" si="144">VLOOKUP(S281,LISTAITEMS,2,FALSE)</f>
        <v>ninguno</v>
      </c>
      <c r="U281" s="272">
        <f t="shared" ref="U281:U296" si="145">VLOOKUP(S281,LISTAITEMS,5,FALSE)</f>
        <v>0</v>
      </c>
      <c r="V281" s="84"/>
    </row>
    <row r="282" spans="1:22" s="274" customFormat="1" ht="14.25" customHeight="1" x14ac:dyDescent="0.25">
      <c r="A282" s="269" t="s">
        <v>1080</v>
      </c>
      <c r="B282" s="72" t="s">
        <v>1096</v>
      </c>
      <c r="C282" s="99">
        <v>1</v>
      </c>
      <c r="D282" s="67"/>
      <c r="E282" s="61">
        <f t="shared" si="136"/>
        <v>93.11999999999999</v>
      </c>
      <c r="F282" s="188">
        <f t="shared" si="137"/>
        <v>15.52</v>
      </c>
      <c r="G282" s="118">
        <v>13</v>
      </c>
      <c r="H282" s="59" t="str">
        <f t="shared" si="138"/>
        <v>Gravel</v>
      </c>
      <c r="I282" s="59">
        <f t="shared" si="139"/>
        <v>3</v>
      </c>
      <c r="J282" s="84">
        <v>4</v>
      </c>
      <c r="K282" s="132">
        <v>12</v>
      </c>
      <c r="L282" s="272" t="str">
        <f t="shared" si="140"/>
        <v>Sand</v>
      </c>
      <c r="M282" s="272">
        <f t="shared" si="141"/>
        <v>11</v>
      </c>
      <c r="N282" s="84">
        <v>4</v>
      </c>
      <c r="O282" s="132" t="s">
        <v>676</v>
      </c>
      <c r="P282" s="59" t="str">
        <f t="shared" si="142"/>
        <v>Orange Dye</v>
      </c>
      <c r="Q282" s="59">
        <f t="shared" si="143"/>
        <v>21.599999999999998</v>
      </c>
      <c r="R282" s="84">
        <v>1</v>
      </c>
      <c r="S282" s="132" t="s">
        <v>926</v>
      </c>
      <c r="T282" s="272" t="str">
        <f t="shared" si="144"/>
        <v>ninguno</v>
      </c>
      <c r="U282" s="272">
        <f t="shared" si="145"/>
        <v>0</v>
      </c>
      <c r="V282" s="84"/>
    </row>
    <row r="283" spans="1:22" s="274" customFormat="1" ht="14.25" customHeight="1" x14ac:dyDescent="0.25">
      <c r="A283" s="269" t="s">
        <v>1081</v>
      </c>
      <c r="B283" s="72" t="s">
        <v>1097</v>
      </c>
      <c r="C283" s="99">
        <v>1</v>
      </c>
      <c r="D283" s="67"/>
      <c r="E283" s="61">
        <f t="shared" si="136"/>
        <v>129.40799999999999</v>
      </c>
      <c r="F283" s="188">
        <f t="shared" si="137"/>
        <v>21.57</v>
      </c>
      <c r="G283" s="118">
        <v>13</v>
      </c>
      <c r="H283" s="59" t="str">
        <f t="shared" si="138"/>
        <v>Gravel</v>
      </c>
      <c r="I283" s="59">
        <f t="shared" si="139"/>
        <v>3</v>
      </c>
      <c r="J283" s="84">
        <v>4</v>
      </c>
      <c r="K283" s="132">
        <v>12</v>
      </c>
      <c r="L283" s="272" t="str">
        <f t="shared" si="140"/>
        <v>Sand</v>
      </c>
      <c r="M283" s="272">
        <f t="shared" si="141"/>
        <v>11</v>
      </c>
      <c r="N283" s="84">
        <v>4</v>
      </c>
      <c r="O283" s="132" t="s">
        <v>674</v>
      </c>
      <c r="P283" s="59" t="str">
        <f t="shared" si="142"/>
        <v>Magenta Dye</v>
      </c>
      <c r="Q283" s="59">
        <f t="shared" si="143"/>
        <v>51.839999999999996</v>
      </c>
      <c r="R283" s="84">
        <v>1</v>
      </c>
      <c r="S283" s="132" t="s">
        <v>926</v>
      </c>
      <c r="T283" s="272" t="str">
        <f t="shared" si="144"/>
        <v>ninguno</v>
      </c>
      <c r="U283" s="272">
        <f t="shared" si="145"/>
        <v>0</v>
      </c>
      <c r="V283" s="84"/>
    </row>
    <row r="284" spans="1:22" s="274" customFormat="1" ht="14.25" customHeight="1" x14ac:dyDescent="0.25">
      <c r="A284" s="269" t="s">
        <v>1082</v>
      </c>
      <c r="B284" s="72" t="s">
        <v>1098</v>
      </c>
      <c r="C284" s="99">
        <v>1</v>
      </c>
      <c r="D284" s="67"/>
      <c r="E284" s="61">
        <f t="shared" si="136"/>
        <v>93.11999999999999</v>
      </c>
      <c r="F284" s="188">
        <f t="shared" si="137"/>
        <v>15.52</v>
      </c>
      <c r="G284" s="118">
        <v>13</v>
      </c>
      <c r="H284" s="59" t="str">
        <f t="shared" si="138"/>
        <v>Gravel</v>
      </c>
      <c r="I284" s="59">
        <f t="shared" si="139"/>
        <v>3</v>
      </c>
      <c r="J284" s="84">
        <v>4</v>
      </c>
      <c r="K284" s="132">
        <v>12</v>
      </c>
      <c r="L284" s="272" t="str">
        <f t="shared" si="140"/>
        <v>Sand</v>
      </c>
      <c r="M284" s="272">
        <f t="shared" si="141"/>
        <v>11</v>
      </c>
      <c r="N284" s="84">
        <v>4</v>
      </c>
      <c r="O284" s="132" t="s">
        <v>672</v>
      </c>
      <c r="P284" s="59" t="str">
        <f t="shared" si="142"/>
        <v>Light Blue Dye</v>
      </c>
      <c r="Q284" s="59">
        <f t="shared" si="143"/>
        <v>21.599999999999998</v>
      </c>
      <c r="R284" s="84">
        <v>1</v>
      </c>
      <c r="S284" s="132" t="s">
        <v>926</v>
      </c>
      <c r="T284" s="272" t="str">
        <f t="shared" si="144"/>
        <v>ninguno</v>
      </c>
      <c r="U284" s="272">
        <f t="shared" si="145"/>
        <v>0</v>
      </c>
      <c r="V284" s="84"/>
    </row>
    <row r="285" spans="1:22" s="274" customFormat="1" ht="14.25" customHeight="1" x14ac:dyDescent="0.25">
      <c r="A285" s="269" t="s">
        <v>1083</v>
      </c>
      <c r="B285" s="72" t="s">
        <v>1099</v>
      </c>
      <c r="C285" s="99">
        <v>1</v>
      </c>
      <c r="D285" s="67"/>
      <c r="E285" s="61">
        <f t="shared" si="136"/>
        <v>78</v>
      </c>
      <c r="F285" s="188">
        <f t="shared" si="137"/>
        <v>13</v>
      </c>
      <c r="G285" s="118">
        <v>13</v>
      </c>
      <c r="H285" s="59" t="str">
        <f t="shared" si="138"/>
        <v>Gravel</v>
      </c>
      <c r="I285" s="59">
        <f t="shared" si="139"/>
        <v>3</v>
      </c>
      <c r="J285" s="84">
        <v>4</v>
      </c>
      <c r="K285" s="132">
        <v>12</v>
      </c>
      <c r="L285" s="272" t="str">
        <f t="shared" si="140"/>
        <v>Sand</v>
      </c>
      <c r="M285" s="272">
        <f t="shared" si="141"/>
        <v>11</v>
      </c>
      <c r="N285" s="84">
        <v>4</v>
      </c>
      <c r="O285" s="132" t="s">
        <v>670</v>
      </c>
      <c r="P285" s="59" t="str">
        <f t="shared" si="142"/>
        <v>Yellow Dye</v>
      </c>
      <c r="Q285" s="59">
        <f t="shared" si="143"/>
        <v>9</v>
      </c>
      <c r="R285" s="84">
        <v>1</v>
      </c>
      <c r="S285" s="132" t="s">
        <v>926</v>
      </c>
      <c r="T285" s="272" t="str">
        <f t="shared" si="144"/>
        <v>ninguno</v>
      </c>
      <c r="U285" s="272">
        <f t="shared" si="145"/>
        <v>0</v>
      </c>
      <c r="V285" s="84"/>
    </row>
    <row r="286" spans="1:22" s="274" customFormat="1" ht="14.25" customHeight="1" x14ac:dyDescent="0.25">
      <c r="A286" s="269" t="s">
        <v>1084</v>
      </c>
      <c r="B286" s="72" t="s">
        <v>1100</v>
      </c>
      <c r="C286" s="99">
        <v>1</v>
      </c>
      <c r="D286" s="67"/>
      <c r="E286" s="61">
        <f t="shared" si="136"/>
        <v>106.08</v>
      </c>
      <c r="F286" s="188">
        <f t="shared" si="137"/>
        <v>17.68</v>
      </c>
      <c r="G286" s="118">
        <v>13</v>
      </c>
      <c r="H286" s="59" t="str">
        <f t="shared" si="138"/>
        <v>Gravel</v>
      </c>
      <c r="I286" s="59">
        <f t="shared" si="139"/>
        <v>3</v>
      </c>
      <c r="J286" s="84">
        <v>4</v>
      </c>
      <c r="K286" s="132">
        <v>12</v>
      </c>
      <c r="L286" s="272" t="str">
        <f t="shared" si="140"/>
        <v>Sand</v>
      </c>
      <c r="M286" s="272">
        <f t="shared" si="141"/>
        <v>11</v>
      </c>
      <c r="N286" s="84">
        <v>4</v>
      </c>
      <c r="O286" s="132" t="s">
        <v>668</v>
      </c>
      <c r="P286" s="59" t="str">
        <f t="shared" si="142"/>
        <v>Lime Dye</v>
      </c>
      <c r="Q286" s="59">
        <f t="shared" si="143"/>
        <v>32.4</v>
      </c>
      <c r="R286" s="84">
        <v>1</v>
      </c>
      <c r="S286" s="132" t="s">
        <v>926</v>
      </c>
      <c r="T286" s="272" t="str">
        <f t="shared" si="144"/>
        <v>ninguno</v>
      </c>
      <c r="U286" s="272">
        <f t="shared" si="145"/>
        <v>0</v>
      </c>
      <c r="V286" s="84"/>
    </row>
    <row r="287" spans="1:22" s="274" customFormat="1" ht="14.25" customHeight="1" x14ac:dyDescent="0.25">
      <c r="A287" s="269" t="s">
        <v>1085</v>
      </c>
      <c r="B287" s="72" t="s">
        <v>1101</v>
      </c>
      <c r="C287" s="99">
        <v>1</v>
      </c>
      <c r="D287" s="67"/>
      <c r="E287" s="61">
        <f t="shared" si="136"/>
        <v>93.11999999999999</v>
      </c>
      <c r="F287" s="188">
        <f t="shared" si="137"/>
        <v>15.52</v>
      </c>
      <c r="G287" s="118">
        <v>13</v>
      </c>
      <c r="H287" s="59" t="str">
        <f t="shared" si="138"/>
        <v>Gravel</v>
      </c>
      <c r="I287" s="59">
        <f t="shared" si="139"/>
        <v>3</v>
      </c>
      <c r="J287" s="84">
        <v>4</v>
      </c>
      <c r="K287" s="132">
        <v>12</v>
      </c>
      <c r="L287" s="272" t="str">
        <f t="shared" si="140"/>
        <v>Sand</v>
      </c>
      <c r="M287" s="272">
        <f t="shared" si="141"/>
        <v>11</v>
      </c>
      <c r="N287" s="84">
        <v>4</v>
      </c>
      <c r="O287" s="132" t="s">
        <v>666</v>
      </c>
      <c r="P287" s="59" t="str">
        <f t="shared" si="142"/>
        <v>Pink Dye</v>
      </c>
      <c r="Q287" s="59">
        <f t="shared" si="143"/>
        <v>21.599999999999998</v>
      </c>
      <c r="R287" s="84">
        <v>1</v>
      </c>
      <c r="S287" s="132" t="s">
        <v>926</v>
      </c>
      <c r="T287" s="272" t="str">
        <f t="shared" si="144"/>
        <v>ninguno</v>
      </c>
      <c r="U287" s="272">
        <f t="shared" si="145"/>
        <v>0</v>
      </c>
      <c r="V287" s="84"/>
    </row>
    <row r="288" spans="1:22" s="274" customFormat="1" ht="14.25" customHeight="1" x14ac:dyDescent="0.25">
      <c r="A288" s="269" t="s">
        <v>1086</v>
      </c>
      <c r="B288" s="72" t="s">
        <v>1102</v>
      </c>
      <c r="C288" s="99">
        <v>1</v>
      </c>
      <c r="D288" s="67"/>
      <c r="E288" s="61">
        <f t="shared" si="136"/>
        <v>93.11999999999999</v>
      </c>
      <c r="F288" s="188">
        <f t="shared" si="137"/>
        <v>15.52</v>
      </c>
      <c r="G288" s="118">
        <v>13</v>
      </c>
      <c r="H288" s="59" t="str">
        <f t="shared" si="138"/>
        <v>Gravel</v>
      </c>
      <c r="I288" s="59">
        <f t="shared" si="139"/>
        <v>3</v>
      </c>
      <c r="J288" s="84">
        <v>4</v>
      </c>
      <c r="K288" s="132">
        <v>12</v>
      </c>
      <c r="L288" s="272" t="str">
        <f t="shared" si="140"/>
        <v>Sand</v>
      </c>
      <c r="M288" s="272">
        <f t="shared" si="141"/>
        <v>11</v>
      </c>
      <c r="N288" s="84">
        <v>4</v>
      </c>
      <c r="O288" s="132" t="s">
        <v>664</v>
      </c>
      <c r="P288" s="59" t="str">
        <f t="shared" si="142"/>
        <v>Gray Dye</v>
      </c>
      <c r="Q288" s="59">
        <f t="shared" si="143"/>
        <v>21.599999999999998</v>
      </c>
      <c r="R288" s="84">
        <v>1</v>
      </c>
      <c r="S288" s="132" t="s">
        <v>926</v>
      </c>
      <c r="T288" s="272" t="str">
        <f t="shared" si="144"/>
        <v>ninguno</v>
      </c>
      <c r="U288" s="272">
        <f t="shared" si="145"/>
        <v>0</v>
      </c>
      <c r="V288" s="84"/>
    </row>
    <row r="289" spans="1:22" s="274" customFormat="1" ht="14.25" customHeight="1" x14ac:dyDescent="0.25">
      <c r="A289" s="269" t="s">
        <v>1087</v>
      </c>
      <c r="B289" s="72" t="s">
        <v>1103</v>
      </c>
      <c r="C289" s="99">
        <v>1</v>
      </c>
      <c r="D289" s="67"/>
      <c r="E289" s="61">
        <f t="shared" si="136"/>
        <v>111.264</v>
      </c>
      <c r="F289" s="188">
        <f t="shared" si="137"/>
        <v>18.55</v>
      </c>
      <c r="G289" s="118">
        <v>13</v>
      </c>
      <c r="H289" s="59" t="str">
        <f t="shared" si="138"/>
        <v>Gravel</v>
      </c>
      <c r="I289" s="59">
        <f t="shared" si="139"/>
        <v>3</v>
      </c>
      <c r="J289" s="84">
        <v>4</v>
      </c>
      <c r="K289" s="132">
        <v>12</v>
      </c>
      <c r="L289" s="272" t="str">
        <f t="shared" si="140"/>
        <v>Sand</v>
      </c>
      <c r="M289" s="272">
        <f t="shared" si="141"/>
        <v>11</v>
      </c>
      <c r="N289" s="84">
        <v>4</v>
      </c>
      <c r="O289" s="132" t="s">
        <v>662</v>
      </c>
      <c r="P289" s="59" t="str">
        <f t="shared" si="142"/>
        <v>Light Gray Dye</v>
      </c>
      <c r="Q289" s="59">
        <f t="shared" si="143"/>
        <v>36.72</v>
      </c>
      <c r="R289" s="84">
        <v>1</v>
      </c>
      <c r="S289" s="132" t="s">
        <v>926</v>
      </c>
      <c r="T289" s="272" t="str">
        <f t="shared" si="144"/>
        <v>ninguno</v>
      </c>
      <c r="U289" s="272">
        <f t="shared" si="145"/>
        <v>0</v>
      </c>
      <c r="V289" s="84"/>
    </row>
    <row r="290" spans="1:22" s="274" customFormat="1" ht="14.25" customHeight="1" x14ac:dyDescent="0.25">
      <c r="A290" s="269" t="s">
        <v>1088</v>
      </c>
      <c r="B290" s="72" t="s">
        <v>1104</v>
      </c>
      <c r="C290" s="99">
        <v>1</v>
      </c>
      <c r="D290" s="67"/>
      <c r="E290" s="61">
        <f t="shared" si="136"/>
        <v>93.11999999999999</v>
      </c>
      <c r="F290" s="188">
        <f t="shared" si="137"/>
        <v>15.52</v>
      </c>
      <c r="G290" s="118">
        <v>13</v>
      </c>
      <c r="H290" s="59" t="str">
        <f t="shared" si="138"/>
        <v>Gravel</v>
      </c>
      <c r="I290" s="59">
        <f t="shared" si="139"/>
        <v>3</v>
      </c>
      <c r="J290" s="84">
        <v>4</v>
      </c>
      <c r="K290" s="132">
        <v>12</v>
      </c>
      <c r="L290" s="272" t="str">
        <f t="shared" si="140"/>
        <v>Sand</v>
      </c>
      <c r="M290" s="272">
        <f t="shared" si="141"/>
        <v>11</v>
      </c>
      <c r="N290" s="84">
        <v>4</v>
      </c>
      <c r="O290" s="132" t="s">
        <v>660</v>
      </c>
      <c r="P290" s="59" t="str">
        <f t="shared" si="142"/>
        <v>Cyan Dye</v>
      </c>
      <c r="Q290" s="59">
        <f t="shared" si="143"/>
        <v>21.599999999999998</v>
      </c>
      <c r="R290" s="84">
        <v>1</v>
      </c>
      <c r="S290" s="132" t="s">
        <v>926</v>
      </c>
      <c r="T290" s="272" t="str">
        <f t="shared" si="144"/>
        <v>ninguno</v>
      </c>
      <c r="U290" s="272">
        <f t="shared" si="145"/>
        <v>0</v>
      </c>
      <c r="V290" s="84"/>
    </row>
    <row r="291" spans="1:22" s="274" customFormat="1" ht="14.25" customHeight="1" x14ac:dyDescent="0.25">
      <c r="A291" s="269" t="s">
        <v>1089</v>
      </c>
      <c r="B291" s="72" t="s">
        <v>1105</v>
      </c>
      <c r="C291" s="99">
        <v>1</v>
      </c>
      <c r="D291" s="67"/>
      <c r="E291" s="61">
        <f t="shared" si="136"/>
        <v>93.11999999999999</v>
      </c>
      <c r="F291" s="188">
        <f t="shared" si="137"/>
        <v>15.52</v>
      </c>
      <c r="G291" s="118">
        <v>13</v>
      </c>
      <c r="H291" s="59" t="str">
        <f t="shared" si="138"/>
        <v>Gravel</v>
      </c>
      <c r="I291" s="59">
        <f t="shared" si="139"/>
        <v>3</v>
      </c>
      <c r="J291" s="84">
        <v>4</v>
      </c>
      <c r="K291" s="132">
        <v>12</v>
      </c>
      <c r="L291" s="272" t="str">
        <f t="shared" si="140"/>
        <v>Sand</v>
      </c>
      <c r="M291" s="272">
        <f t="shared" si="141"/>
        <v>11</v>
      </c>
      <c r="N291" s="84">
        <v>4</v>
      </c>
      <c r="O291" s="132" t="s">
        <v>658</v>
      </c>
      <c r="P291" s="59" t="str">
        <f t="shared" si="142"/>
        <v>Purple Dye</v>
      </c>
      <c r="Q291" s="59">
        <f t="shared" si="143"/>
        <v>21.599999999999998</v>
      </c>
      <c r="R291" s="84">
        <v>1</v>
      </c>
      <c r="S291" s="132" t="s">
        <v>926</v>
      </c>
      <c r="T291" s="272" t="str">
        <f t="shared" si="144"/>
        <v>ninguno</v>
      </c>
      <c r="U291" s="272">
        <f t="shared" si="145"/>
        <v>0</v>
      </c>
      <c r="V291" s="84"/>
    </row>
    <row r="292" spans="1:22" s="274" customFormat="1" ht="14.25" customHeight="1" x14ac:dyDescent="0.25">
      <c r="A292" s="269" t="s">
        <v>1090</v>
      </c>
      <c r="B292" s="72" t="s">
        <v>1106</v>
      </c>
      <c r="C292" s="99">
        <v>1</v>
      </c>
      <c r="D292" s="67"/>
      <c r="E292" s="61">
        <f t="shared" si="136"/>
        <v>78</v>
      </c>
      <c r="F292" s="188">
        <f t="shared" si="137"/>
        <v>13</v>
      </c>
      <c r="G292" s="118">
        <v>13</v>
      </c>
      <c r="H292" s="59" t="str">
        <f t="shared" si="138"/>
        <v>Gravel</v>
      </c>
      <c r="I292" s="59">
        <f t="shared" si="139"/>
        <v>3</v>
      </c>
      <c r="J292" s="84">
        <v>4</v>
      </c>
      <c r="K292" s="132">
        <v>12</v>
      </c>
      <c r="L292" s="272" t="str">
        <f t="shared" si="140"/>
        <v>Sand</v>
      </c>
      <c r="M292" s="272">
        <f t="shared" si="141"/>
        <v>11</v>
      </c>
      <c r="N292" s="84">
        <v>4</v>
      </c>
      <c r="O292" s="132" t="s">
        <v>656</v>
      </c>
      <c r="P292" s="59" t="str">
        <f t="shared" si="142"/>
        <v>Lapis Lazuli</v>
      </c>
      <c r="Q292" s="59">
        <f t="shared" si="143"/>
        <v>9</v>
      </c>
      <c r="R292" s="84">
        <v>1</v>
      </c>
      <c r="S292" s="132" t="s">
        <v>926</v>
      </c>
      <c r="T292" s="272" t="str">
        <f t="shared" si="144"/>
        <v>ninguno</v>
      </c>
      <c r="U292" s="272">
        <f t="shared" si="145"/>
        <v>0</v>
      </c>
      <c r="V292" s="84"/>
    </row>
    <row r="293" spans="1:22" s="274" customFormat="1" ht="14.25" customHeight="1" x14ac:dyDescent="0.25">
      <c r="A293" s="269" t="s">
        <v>1091</v>
      </c>
      <c r="B293" s="72" t="s">
        <v>1107</v>
      </c>
      <c r="C293" s="99">
        <v>1</v>
      </c>
      <c r="D293" s="67"/>
      <c r="E293" s="61">
        <f t="shared" si="136"/>
        <v>78</v>
      </c>
      <c r="F293" s="188">
        <f t="shared" si="137"/>
        <v>13</v>
      </c>
      <c r="G293" s="118">
        <v>13</v>
      </c>
      <c r="H293" s="59" t="str">
        <f t="shared" si="138"/>
        <v>Gravel</v>
      </c>
      <c r="I293" s="59">
        <f t="shared" si="139"/>
        <v>3</v>
      </c>
      <c r="J293" s="84">
        <v>4</v>
      </c>
      <c r="K293" s="132">
        <v>12</v>
      </c>
      <c r="L293" s="272" t="str">
        <f t="shared" si="140"/>
        <v>Sand</v>
      </c>
      <c r="M293" s="272">
        <f t="shared" si="141"/>
        <v>11</v>
      </c>
      <c r="N293" s="84">
        <v>4</v>
      </c>
      <c r="O293" s="132" t="s">
        <v>654</v>
      </c>
      <c r="P293" s="59" t="str">
        <f t="shared" si="142"/>
        <v>Cocoa Bean</v>
      </c>
      <c r="Q293" s="59">
        <f t="shared" si="143"/>
        <v>9</v>
      </c>
      <c r="R293" s="84">
        <v>1</v>
      </c>
      <c r="S293" s="132" t="s">
        <v>926</v>
      </c>
      <c r="T293" s="272" t="str">
        <f t="shared" si="144"/>
        <v>ninguno</v>
      </c>
      <c r="U293" s="272">
        <f t="shared" si="145"/>
        <v>0</v>
      </c>
      <c r="V293" s="84"/>
    </row>
    <row r="294" spans="1:22" s="274" customFormat="1" ht="14.25" customHeight="1" x14ac:dyDescent="0.25">
      <c r="A294" s="269" t="s">
        <v>1092</v>
      </c>
      <c r="B294" s="72" t="s">
        <v>1108</v>
      </c>
      <c r="C294" s="99">
        <v>1</v>
      </c>
      <c r="D294" s="67"/>
      <c r="E294" s="61">
        <f t="shared" si="136"/>
        <v>78</v>
      </c>
      <c r="F294" s="188">
        <f t="shared" si="137"/>
        <v>13</v>
      </c>
      <c r="G294" s="118">
        <v>13</v>
      </c>
      <c r="H294" s="59" t="str">
        <f t="shared" si="138"/>
        <v>Gravel</v>
      </c>
      <c r="I294" s="59">
        <f t="shared" si="139"/>
        <v>3</v>
      </c>
      <c r="J294" s="84">
        <v>4</v>
      </c>
      <c r="K294" s="132">
        <v>12</v>
      </c>
      <c r="L294" s="272" t="str">
        <f t="shared" si="140"/>
        <v>Sand</v>
      </c>
      <c r="M294" s="272">
        <f t="shared" si="141"/>
        <v>11</v>
      </c>
      <c r="N294" s="84">
        <v>4</v>
      </c>
      <c r="O294" s="132" t="s">
        <v>652</v>
      </c>
      <c r="P294" s="59" t="str">
        <f t="shared" si="142"/>
        <v>Cactus Green Dye</v>
      </c>
      <c r="Q294" s="59">
        <f t="shared" si="143"/>
        <v>9</v>
      </c>
      <c r="R294" s="84">
        <v>1</v>
      </c>
      <c r="S294" s="132" t="s">
        <v>926</v>
      </c>
      <c r="T294" s="272" t="str">
        <f t="shared" si="144"/>
        <v>ninguno</v>
      </c>
      <c r="U294" s="272">
        <f t="shared" si="145"/>
        <v>0</v>
      </c>
      <c r="V294" s="84"/>
    </row>
    <row r="295" spans="1:22" s="274" customFormat="1" ht="14.25" customHeight="1" x14ac:dyDescent="0.25">
      <c r="A295" s="269" t="s">
        <v>1093</v>
      </c>
      <c r="B295" s="72" t="s">
        <v>1109</v>
      </c>
      <c r="C295" s="99">
        <v>1</v>
      </c>
      <c r="D295" s="67"/>
      <c r="E295" s="61">
        <f t="shared" si="136"/>
        <v>78</v>
      </c>
      <c r="F295" s="188">
        <f t="shared" si="137"/>
        <v>13</v>
      </c>
      <c r="G295" s="118">
        <v>13</v>
      </c>
      <c r="H295" s="59" t="str">
        <f t="shared" si="138"/>
        <v>Gravel</v>
      </c>
      <c r="I295" s="59">
        <f t="shared" si="139"/>
        <v>3</v>
      </c>
      <c r="J295" s="84">
        <v>4</v>
      </c>
      <c r="K295" s="132">
        <v>12</v>
      </c>
      <c r="L295" s="272" t="str">
        <f t="shared" si="140"/>
        <v>Sand</v>
      </c>
      <c r="M295" s="272">
        <f t="shared" si="141"/>
        <v>11</v>
      </c>
      <c r="N295" s="84">
        <v>4</v>
      </c>
      <c r="O295" s="132" t="s">
        <v>650</v>
      </c>
      <c r="P295" s="59" t="str">
        <f t="shared" si="142"/>
        <v>Rose Red Dye</v>
      </c>
      <c r="Q295" s="59">
        <f t="shared" si="143"/>
        <v>9</v>
      </c>
      <c r="R295" s="84">
        <v>1</v>
      </c>
      <c r="S295" s="132" t="s">
        <v>926</v>
      </c>
      <c r="T295" s="272" t="str">
        <f t="shared" si="144"/>
        <v>ninguno</v>
      </c>
      <c r="U295" s="272">
        <f t="shared" si="145"/>
        <v>0</v>
      </c>
      <c r="V295" s="84"/>
    </row>
    <row r="296" spans="1:22" s="274" customFormat="1" ht="14.25" customHeight="1" x14ac:dyDescent="0.25">
      <c r="A296" s="269" t="s">
        <v>1094</v>
      </c>
      <c r="B296" s="72" t="s">
        <v>1110</v>
      </c>
      <c r="C296" s="99">
        <v>1</v>
      </c>
      <c r="D296" s="67"/>
      <c r="E296" s="61">
        <f t="shared" si="136"/>
        <v>78</v>
      </c>
      <c r="F296" s="188">
        <f t="shared" si="137"/>
        <v>13</v>
      </c>
      <c r="G296" s="118">
        <v>13</v>
      </c>
      <c r="H296" s="59" t="str">
        <f t="shared" si="138"/>
        <v>Gravel</v>
      </c>
      <c r="I296" s="59">
        <f t="shared" si="139"/>
        <v>3</v>
      </c>
      <c r="J296" s="84">
        <v>4</v>
      </c>
      <c r="K296" s="132">
        <v>12</v>
      </c>
      <c r="L296" s="272" t="str">
        <f t="shared" si="140"/>
        <v>Sand</v>
      </c>
      <c r="M296" s="272">
        <f t="shared" si="141"/>
        <v>11</v>
      </c>
      <c r="N296" s="84">
        <v>4</v>
      </c>
      <c r="O296" s="132">
        <v>351</v>
      </c>
      <c r="P296" s="59" t="str">
        <f t="shared" si="142"/>
        <v>Ink Sack</v>
      </c>
      <c r="Q296" s="59">
        <f t="shared" si="143"/>
        <v>9</v>
      </c>
      <c r="R296" s="84">
        <v>1</v>
      </c>
      <c r="S296" s="132" t="s">
        <v>926</v>
      </c>
      <c r="T296" s="272" t="str">
        <f t="shared" si="144"/>
        <v>ninguno</v>
      </c>
      <c r="U296" s="272">
        <f t="shared" si="145"/>
        <v>0</v>
      </c>
      <c r="V296" s="84"/>
    </row>
    <row r="297" spans="1:22" s="108" customFormat="1" ht="14.25" customHeight="1" x14ac:dyDescent="0.25">
      <c r="A297" s="119">
        <v>256</v>
      </c>
      <c r="B297" s="68" t="s">
        <v>554</v>
      </c>
      <c r="C297" s="99">
        <v>1</v>
      </c>
      <c r="D297" s="67"/>
      <c r="E297" s="61">
        <f t="shared" si="122"/>
        <v>960.86400000000003</v>
      </c>
      <c r="F297" s="188">
        <f>ROUNDUP(E297/6,2)</f>
        <v>160.14999999999998</v>
      </c>
      <c r="G297" s="118">
        <v>265</v>
      </c>
      <c r="H297" s="59" t="str">
        <f>VLOOKUP(G297,LISTAITEMS,2,FALSE)</f>
        <v>Iron Ingot</v>
      </c>
      <c r="I297" s="59">
        <f>VLOOKUP(G297,LISTAITEMS,5,FALSE)</f>
        <v>800</v>
      </c>
      <c r="J297" s="84">
        <v>1</v>
      </c>
      <c r="K297" s="132">
        <v>280</v>
      </c>
      <c r="L297" s="107" t="str">
        <f>VLOOKUP(K297,LISTAITEMS,2,FALSE)</f>
        <v>Stick</v>
      </c>
      <c r="M297" s="107">
        <f>VLOOKUP(K297,LISTAITEMS,5,FALSE)</f>
        <v>0.36</v>
      </c>
      <c r="N297" s="84">
        <v>2</v>
      </c>
      <c r="O297" s="132" t="s">
        <v>926</v>
      </c>
      <c r="P297" s="59" t="str">
        <f>VLOOKUP(O297,LISTAITEMS,2,FALSE)</f>
        <v>ninguno</v>
      </c>
      <c r="Q297" s="59">
        <f>VLOOKUP(O297,LISTAITEMS,5,FALSE)</f>
        <v>0</v>
      </c>
      <c r="R297" s="84"/>
      <c r="S297" s="132" t="s">
        <v>926</v>
      </c>
      <c r="T297" s="107" t="str">
        <f>VLOOKUP(S297,LISTAITEMS,2,FALSE)</f>
        <v>ninguno</v>
      </c>
      <c r="U297" s="107">
        <f>VLOOKUP(S297,LISTAITEMS,5,FALSE)</f>
        <v>0</v>
      </c>
      <c r="V297" s="84"/>
    </row>
    <row r="298" spans="1:22" s="108" customFormat="1" ht="14.25" customHeight="1" x14ac:dyDescent="0.25">
      <c r="A298" s="119">
        <v>257</v>
      </c>
      <c r="B298" s="68" t="s">
        <v>555</v>
      </c>
      <c r="C298" s="99">
        <v>1</v>
      </c>
      <c r="D298" s="67"/>
      <c r="E298" s="61">
        <f t="shared" si="122"/>
        <v>2880.8639999999996</v>
      </c>
      <c r="F298" s="188">
        <f t="shared" si="123"/>
        <v>480.15</v>
      </c>
      <c r="G298" s="118">
        <v>265</v>
      </c>
      <c r="H298" s="59" t="str">
        <f>VLOOKUP(G298,LISTAITEMS,2,FALSE)</f>
        <v>Iron Ingot</v>
      </c>
      <c r="I298" s="59">
        <f>VLOOKUP(G298,LISTAITEMS,5,FALSE)</f>
        <v>800</v>
      </c>
      <c r="J298" s="84">
        <v>3</v>
      </c>
      <c r="K298" s="132">
        <v>280</v>
      </c>
      <c r="L298" s="107" t="str">
        <f>VLOOKUP(K298,LISTAITEMS,2,FALSE)</f>
        <v>Stick</v>
      </c>
      <c r="M298" s="107">
        <f>VLOOKUP(K298,LISTAITEMS,5,FALSE)</f>
        <v>0.36</v>
      </c>
      <c r="N298" s="84">
        <v>2</v>
      </c>
      <c r="O298" s="132" t="s">
        <v>926</v>
      </c>
      <c r="P298" s="59" t="str">
        <f>VLOOKUP(O298,LISTAITEMS,2,FALSE)</f>
        <v>ninguno</v>
      </c>
      <c r="Q298" s="59">
        <f>VLOOKUP(O298,LISTAITEMS,5,FALSE)</f>
        <v>0</v>
      </c>
      <c r="R298" s="84"/>
      <c r="S298" s="132" t="s">
        <v>926</v>
      </c>
      <c r="T298" s="107" t="str">
        <f>VLOOKUP(S298,LISTAITEMS,2,FALSE)</f>
        <v>ninguno</v>
      </c>
      <c r="U298" s="107">
        <f>VLOOKUP(S298,LISTAITEMS,5,FALSE)</f>
        <v>0</v>
      </c>
      <c r="V298" s="84"/>
    </row>
    <row r="299" spans="1:22" s="108" customFormat="1" ht="14.25" customHeight="1" x14ac:dyDescent="0.25">
      <c r="A299" s="119">
        <v>258</v>
      </c>
      <c r="B299" s="68" t="s">
        <v>556</v>
      </c>
      <c r="C299" s="99">
        <v>1</v>
      </c>
      <c r="D299" s="67"/>
      <c r="E299" s="61">
        <f t="shared" si="122"/>
        <v>2880.8639999999996</v>
      </c>
      <c r="F299" s="188">
        <f t="shared" si="123"/>
        <v>480.15</v>
      </c>
      <c r="G299" s="118">
        <v>265</v>
      </c>
      <c r="H299" s="59" t="str">
        <f>VLOOKUP(G299,LISTAITEMS,2,FALSE)</f>
        <v>Iron Ingot</v>
      </c>
      <c r="I299" s="59">
        <f>VLOOKUP(G299,LISTAITEMS,5,FALSE)</f>
        <v>800</v>
      </c>
      <c r="J299" s="84">
        <v>3</v>
      </c>
      <c r="K299" s="132">
        <v>280</v>
      </c>
      <c r="L299" s="107" t="str">
        <f>VLOOKUP(K299,LISTAITEMS,2,FALSE)</f>
        <v>Stick</v>
      </c>
      <c r="M299" s="107">
        <f>VLOOKUP(K299,LISTAITEMS,5,FALSE)</f>
        <v>0.36</v>
      </c>
      <c r="N299" s="84">
        <v>2</v>
      </c>
      <c r="O299" s="132" t="s">
        <v>926</v>
      </c>
      <c r="P299" s="59" t="str">
        <f>VLOOKUP(O299,LISTAITEMS,2,FALSE)</f>
        <v>ninguno</v>
      </c>
      <c r="Q299" s="59">
        <f>VLOOKUP(O299,LISTAITEMS,5,FALSE)</f>
        <v>0</v>
      </c>
      <c r="R299" s="84"/>
      <c r="S299" s="132" t="s">
        <v>926</v>
      </c>
      <c r="T299" s="107" t="str">
        <f>VLOOKUP(S299,LISTAITEMS,2,FALSE)</f>
        <v>ninguno</v>
      </c>
      <c r="U299" s="107">
        <f>VLOOKUP(S299,LISTAITEMS,5,FALSE)</f>
        <v>0</v>
      </c>
      <c r="V299" s="84"/>
    </row>
    <row r="300" spans="1:22" s="108" customFormat="1" ht="14.25" customHeight="1" x14ac:dyDescent="0.25">
      <c r="A300" s="119">
        <v>259</v>
      </c>
      <c r="B300" s="68" t="s">
        <v>557</v>
      </c>
      <c r="C300" s="99">
        <v>1</v>
      </c>
      <c r="D300" s="67"/>
      <c r="E300" s="61">
        <f t="shared" si="122"/>
        <v>964.31999999999994</v>
      </c>
      <c r="F300" s="188">
        <f t="shared" si="123"/>
        <v>160.72</v>
      </c>
      <c r="G300" s="118">
        <v>265</v>
      </c>
      <c r="H300" s="59" t="str">
        <f>VLOOKUP(G300,LISTAITEMS,2,FALSE)</f>
        <v>Iron Ingot</v>
      </c>
      <c r="I300" s="59">
        <f>VLOOKUP(G300,LISTAITEMS,5,FALSE)</f>
        <v>800</v>
      </c>
      <c r="J300" s="84">
        <v>1</v>
      </c>
      <c r="K300" s="132">
        <v>318</v>
      </c>
      <c r="L300" s="107" t="str">
        <f>VLOOKUP(K300,LISTAITEMS,2,FALSE)</f>
        <v>Flint</v>
      </c>
      <c r="M300" s="107">
        <f>VLOOKUP(K300,LISTAITEMS,5,FALSE)</f>
        <v>3.5999999999999996</v>
      </c>
      <c r="N300" s="84">
        <v>1</v>
      </c>
      <c r="O300" s="132" t="s">
        <v>926</v>
      </c>
      <c r="P300" s="59" t="str">
        <f>VLOOKUP(O300,LISTAITEMS,2,FALSE)</f>
        <v>ninguno</v>
      </c>
      <c r="Q300" s="59">
        <f>VLOOKUP(O300,LISTAITEMS,5,FALSE)</f>
        <v>0</v>
      </c>
      <c r="R300" s="84"/>
      <c r="S300" s="132" t="s">
        <v>926</v>
      </c>
      <c r="T300" s="107" t="str">
        <f>VLOOKUP(S300,LISTAITEMS,2,FALSE)</f>
        <v>ninguno</v>
      </c>
      <c r="U300" s="107">
        <f>VLOOKUP(S300,LISTAITEMS,5,FALSE)</f>
        <v>0</v>
      </c>
      <c r="V300" s="84"/>
    </row>
    <row r="301" spans="1:22" s="90" customFormat="1" ht="14.25" customHeight="1" x14ac:dyDescent="0.25">
      <c r="A301" s="115">
        <v>260</v>
      </c>
      <c r="B301" s="89" t="s">
        <v>558</v>
      </c>
      <c r="C301" s="100"/>
      <c r="D301" s="85"/>
      <c r="E301" s="85">
        <f>'ECONOMIA &amp; PROFESIONES'!G27</f>
        <v>4</v>
      </c>
      <c r="F301" s="188">
        <f t="shared" si="123"/>
        <v>0.67</v>
      </c>
      <c r="G301" s="118" t="s">
        <v>926</v>
      </c>
      <c r="H301" s="85"/>
      <c r="I301" s="85"/>
      <c r="J301" s="87"/>
      <c r="K301" s="134"/>
      <c r="L301" s="85"/>
      <c r="M301" s="85"/>
      <c r="N301" s="87"/>
      <c r="O301" s="134"/>
      <c r="P301" s="85"/>
      <c r="Q301" s="85"/>
      <c r="R301" s="87"/>
      <c r="S301" s="134"/>
      <c r="T301" s="85"/>
      <c r="U301" s="85"/>
      <c r="V301" s="87"/>
    </row>
    <row r="302" spans="1:22" s="108" customFormat="1" ht="14.25" customHeight="1" x14ac:dyDescent="0.25">
      <c r="A302" s="119">
        <v>261</v>
      </c>
      <c r="B302" s="68" t="s">
        <v>559</v>
      </c>
      <c r="C302" s="99">
        <v>1</v>
      </c>
      <c r="D302" s="67"/>
      <c r="E302" s="61">
        <f>(((I302*J302)+(M302*N302)+(Q302*R302)+(U302*V302))/C302)*1.2</f>
        <v>17.495999999999999</v>
      </c>
      <c r="F302" s="188">
        <f t="shared" si="123"/>
        <v>2.92</v>
      </c>
      <c r="G302" s="118">
        <v>280</v>
      </c>
      <c r="H302" s="59" t="str">
        <f>VLOOKUP(G302,LISTAITEMS,2,FALSE)</f>
        <v>Stick</v>
      </c>
      <c r="I302" s="59">
        <f>VLOOKUP(G302,LISTAITEMS,5,FALSE)</f>
        <v>0.36</v>
      </c>
      <c r="J302" s="84">
        <v>3</v>
      </c>
      <c r="K302" s="132">
        <v>287</v>
      </c>
      <c r="L302" s="107" t="str">
        <f>VLOOKUP(K302,LISTAITEMS,2,FALSE)</f>
        <v>String</v>
      </c>
      <c r="M302" s="107">
        <f>VLOOKUP(K302,LISTAITEMS,5,FALSE)</f>
        <v>4.5</v>
      </c>
      <c r="N302" s="84">
        <v>3</v>
      </c>
      <c r="O302" s="132" t="s">
        <v>926</v>
      </c>
      <c r="P302" s="59" t="str">
        <f>VLOOKUP(O302,LISTAITEMS,2,FALSE)</f>
        <v>ninguno</v>
      </c>
      <c r="Q302" s="59">
        <f>VLOOKUP(O302,LISTAITEMS,5,FALSE)</f>
        <v>0</v>
      </c>
      <c r="R302" s="84"/>
      <c r="S302" s="132" t="s">
        <v>926</v>
      </c>
      <c r="T302" s="107" t="str">
        <f>VLOOKUP(S302,LISTAITEMS,2,FALSE)</f>
        <v>ninguno</v>
      </c>
      <c r="U302" s="107">
        <f>VLOOKUP(S302,LISTAITEMS,5,FALSE)</f>
        <v>0</v>
      </c>
      <c r="V302" s="84"/>
    </row>
    <row r="303" spans="1:22" s="108" customFormat="1" ht="14.25" customHeight="1" x14ac:dyDescent="0.25">
      <c r="A303" s="119">
        <v>262</v>
      </c>
      <c r="B303" s="68" t="s">
        <v>560</v>
      </c>
      <c r="C303" s="99">
        <v>4</v>
      </c>
      <c r="D303" s="67"/>
      <c r="E303" s="61">
        <f>(((I303*J303)+(M303*N303)+(Q303*R303)+(U303*V303))/C303)*1.2</f>
        <v>9.798</v>
      </c>
      <c r="F303" s="188">
        <f t="shared" si="123"/>
        <v>1.64</v>
      </c>
      <c r="G303" s="118">
        <v>280</v>
      </c>
      <c r="H303" s="59" t="str">
        <f>VLOOKUP(G303,LISTAITEMS,2,FALSE)</f>
        <v>Stick</v>
      </c>
      <c r="I303" s="59">
        <f>VLOOKUP(G303,LISTAITEMS,5,FALSE)</f>
        <v>0.36</v>
      </c>
      <c r="J303" s="84">
        <v>1</v>
      </c>
      <c r="K303" s="132">
        <v>318</v>
      </c>
      <c r="L303" s="107" t="str">
        <f>VLOOKUP(K303,LISTAITEMS,2,FALSE)</f>
        <v>Flint</v>
      </c>
      <c r="M303" s="107">
        <f>VLOOKUP(K303,LISTAITEMS,5,FALSE)</f>
        <v>3.5999999999999996</v>
      </c>
      <c r="N303" s="84">
        <v>1</v>
      </c>
      <c r="O303" s="132">
        <v>288</v>
      </c>
      <c r="P303" s="59" t="str">
        <f>VLOOKUP(O303,LISTAITEMS,2,FALSE)</f>
        <v>Feather</v>
      </c>
      <c r="Q303" s="59">
        <f>VLOOKUP(O303,LISTAITEMS,5,FALSE)</f>
        <v>28.700000000000003</v>
      </c>
      <c r="R303" s="84">
        <v>1</v>
      </c>
      <c r="S303" s="132" t="s">
        <v>926</v>
      </c>
      <c r="T303" s="107" t="str">
        <f>VLOOKUP(S303,LISTAITEMS,2,FALSE)</f>
        <v>ninguno</v>
      </c>
      <c r="U303" s="107">
        <f>VLOOKUP(S303,LISTAITEMS,5,FALSE)</f>
        <v>0</v>
      </c>
      <c r="V303" s="84"/>
    </row>
    <row r="304" spans="1:22" s="90" customFormat="1" ht="14.25" customHeight="1" x14ac:dyDescent="0.25">
      <c r="A304" s="115">
        <v>263</v>
      </c>
      <c r="B304" s="89" t="s">
        <v>561</v>
      </c>
      <c r="C304" s="100"/>
      <c r="D304" s="85"/>
      <c r="E304" s="85">
        <f>'ECONOMIA &amp; PROFESIONES'!$E$28</f>
        <v>7</v>
      </c>
      <c r="F304" s="188">
        <f t="shared" si="123"/>
        <v>1.17</v>
      </c>
      <c r="G304" s="118" t="s">
        <v>926</v>
      </c>
      <c r="H304" s="85"/>
      <c r="I304" s="85"/>
      <c r="J304" s="87"/>
      <c r="K304" s="134"/>
      <c r="L304" s="85"/>
      <c r="M304" s="85"/>
      <c r="N304" s="87"/>
      <c r="O304" s="134"/>
      <c r="P304" s="85"/>
      <c r="Q304" s="85"/>
      <c r="R304" s="87"/>
      <c r="S304" s="134"/>
      <c r="T304" s="85"/>
      <c r="U304" s="85"/>
      <c r="V304" s="87"/>
    </row>
    <row r="305" spans="1:22" s="90" customFormat="1" ht="14.25" customHeight="1" x14ac:dyDescent="0.25">
      <c r="A305" s="115" t="s">
        <v>563</v>
      </c>
      <c r="B305" s="89" t="s">
        <v>562</v>
      </c>
      <c r="C305" s="100"/>
      <c r="D305" s="85"/>
      <c r="E305" s="85">
        <f>$E$304/2</f>
        <v>3.5</v>
      </c>
      <c r="F305" s="188">
        <f t="shared" si="123"/>
        <v>0.59</v>
      </c>
      <c r="G305" s="118" t="s">
        <v>926</v>
      </c>
      <c r="H305" s="85"/>
      <c r="I305" s="85"/>
      <c r="J305" s="87"/>
      <c r="K305" s="134"/>
      <c r="L305" s="85"/>
      <c r="M305" s="85"/>
      <c r="N305" s="87"/>
      <c r="O305" s="134"/>
      <c r="P305" s="85"/>
      <c r="Q305" s="85"/>
      <c r="R305" s="87"/>
      <c r="S305" s="134"/>
      <c r="T305" s="85"/>
      <c r="U305" s="85"/>
      <c r="V305" s="87"/>
    </row>
    <row r="306" spans="1:22" s="90" customFormat="1" ht="14.25" customHeight="1" x14ac:dyDescent="0.25">
      <c r="A306" s="115">
        <v>264</v>
      </c>
      <c r="B306" s="89" t="s">
        <v>960</v>
      </c>
      <c r="C306" s="100"/>
      <c r="D306" s="85"/>
      <c r="E306" s="85">
        <f>'ECONOMIA &amp; PROFESIONES'!$B$20</f>
        <v>3200</v>
      </c>
      <c r="F306" s="188">
        <f t="shared" si="123"/>
        <v>533.34</v>
      </c>
      <c r="G306" s="118" t="s">
        <v>926</v>
      </c>
      <c r="H306" s="85"/>
      <c r="I306" s="85"/>
      <c r="J306" s="87"/>
      <c r="K306" s="134"/>
      <c r="L306" s="85"/>
      <c r="M306" s="85"/>
      <c r="N306" s="87"/>
      <c r="O306" s="134"/>
      <c r="P306" s="85"/>
      <c r="Q306" s="85"/>
      <c r="R306" s="87"/>
      <c r="S306" s="134"/>
      <c r="T306" s="85"/>
      <c r="U306" s="85"/>
      <c r="V306" s="87"/>
    </row>
    <row r="307" spans="1:22" s="90" customFormat="1" ht="14.25" customHeight="1" x14ac:dyDescent="0.25">
      <c r="A307" s="115">
        <v>265</v>
      </c>
      <c r="B307" s="89" t="s">
        <v>564</v>
      </c>
      <c r="C307" s="100"/>
      <c r="D307" s="85"/>
      <c r="E307" s="85">
        <f>'ECONOMIA &amp; PROFESIONES'!$B$18</f>
        <v>800</v>
      </c>
      <c r="F307" s="188">
        <f t="shared" si="123"/>
        <v>133.34</v>
      </c>
      <c r="G307" s="118" t="s">
        <v>926</v>
      </c>
      <c r="H307" s="85"/>
      <c r="I307" s="85"/>
      <c r="J307" s="87"/>
      <c r="K307" s="134"/>
      <c r="L307" s="85"/>
      <c r="M307" s="85"/>
      <c r="N307" s="87"/>
      <c r="O307" s="134"/>
      <c r="P307" s="85"/>
      <c r="Q307" s="85"/>
      <c r="R307" s="87"/>
      <c r="S307" s="134"/>
      <c r="T307" s="85"/>
      <c r="U307" s="85"/>
      <c r="V307" s="87"/>
    </row>
    <row r="308" spans="1:22" s="90" customFormat="1" ht="14.25" customHeight="1" x14ac:dyDescent="0.25">
      <c r="A308" s="115">
        <v>266</v>
      </c>
      <c r="B308" s="89" t="s">
        <v>565</v>
      </c>
      <c r="C308" s="100"/>
      <c r="D308" s="85"/>
      <c r="E308" s="85">
        <f>'ECONOMIA &amp; PROFESIONES'!$B$19</f>
        <v>1600</v>
      </c>
      <c r="F308" s="188">
        <f t="shared" si="123"/>
        <v>266.67</v>
      </c>
      <c r="G308" s="118" t="s">
        <v>926</v>
      </c>
      <c r="H308" s="85"/>
      <c r="I308" s="85"/>
      <c r="J308" s="87"/>
      <c r="K308" s="134"/>
      <c r="L308" s="85"/>
      <c r="M308" s="85"/>
      <c r="N308" s="87"/>
      <c r="O308" s="134"/>
      <c r="P308" s="85"/>
      <c r="Q308" s="85"/>
      <c r="R308" s="87"/>
      <c r="S308" s="134"/>
      <c r="T308" s="85"/>
      <c r="U308" s="85"/>
      <c r="V308" s="87"/>
    </row>
    <row r="309" spans="1:22" s="108" customFormat="1" ht="14.25" customHeight="1" x14ac:dyDescent="0.25">
      <c r="A309" s="119">
        <v>267</v>
      </c>
      <c r="B309" s="68" t="s">
        <v>566</v>
      </c>
      <c r="C309" s="99">
        <v>1</v>
      </c>
      <c r="D309" s="67"/>
      <c r="E309" s="61">
        <f t="shared" ref="E309:E328" si="146">(((I309*J309)+(M309*N309)+(Q309*R309)+(U309*V309))/C309)*1.2</f>
        <v>1920.4319999999998</v>
      </c>
      <c r="F309" s="188">
        <f t="shared" si="123"/>
        <v>320.08</v>
      </c>
      <c r="G309" s="118">
        <v>265</v>
      </c>
      <c r="H309" s="59" t="str">
        <f t="shared" ref="H309:H328" si="147">VLOOKUP(G309,LISTAITEMS,2,FALSE)</f>
        <v>Iron Ingot</v>
      </c>
      <c r="I309" s="59">
        <f t="shared" ref="I309:I328" si="148">VLOOKUP(G309,LISTAITEMS,5,FALSE)</f>
        <v>800</v>
      </c>
      <c r="J309" s="84">
        <v>2</v>
      </c>
      <c r="K309" s="132">
        <v>280</v>
      </c>
      <c r="L309" s="107" t="str">
        <f t="shared" ref="L309:L328" si="149">VLOOKUP(K309,LISTAITEMS,2,FALSE)</f>
        <v>Stick</v>
      </c>
      <c r="M309" s="107">
        <f t="shared" ref="M309:M328" si="150">VLOOKUP(K309,LISTAITEMS,5,FALSE)</f>
        <v>0.36</v>
      </c>
      <c r="N309" s="84">
        <v>1</v>
      </c>
      <c r="O309" s="132" t="s">
        <v>926</v>
      </c>
      <c r="P309" s="59" t="str">
        <f t="shared" ref="P309:P328" si="151">VLOOKUP(O309,LISTAITEMS,2,FALSE)</f>
        <v>ninguno</v>
      </c>
      <c r="Q309" s="59">
        <f t="shared" ref="Q309:Q328" si="152">VLOOKUP(O309,LISTAITEMS,5,FALSE)</f>
        <v>0</v>
      </c>
      <c r="R309" s="84"/>
      <c r="S309" s="132" t="s">
        <v>926</v>
      </c>
      <c r="T309" s="107" t="str">
        <f t="shared" ref="T309:T328" si="153">VLOOKUP(S309,LISTAITEMS,2,FALSE)</f>
        <v>ninguno</v>
      </c>
      <c r="U309" s="107">
        <f t="shared" ref="U309:U328" si="154">VLOOKUP(S309,LISTAITEMS,5,FALSE)</f>
        <v>0</v>
      </c>
      <c r="V309" s="84"/>
    </row>
    <row r="310" spans="1:22" s="108" customFormat="1" ht="14.25" customHeight="1" x14ac:dyDescent="0.25">
      <c r="A310" s="119">
        <v>268</v>
      </c>
      <c r="B310" s="68" t="s">
        <v>567</v>
      </c>
      <c r="C310" s="99">
        <v>1</v>
      </c>
      <c r="D310" s="67"/>
      <c r="E310" s="61">
        <f t="shared" si="146"/>
        <v>3.3119999999999998</v>
      </c>
      <c r="F310" s="188">
        <f t="shared" si="123"/>
        <v>0.56000000000000005</v>
      </c>
      <c r="G310" s="118">
        <v>5</v>
      </c>
      <c r="H310" s="59" t="str">
        <f t="shared" si="147"/>
        <v>Oak Planks</v>
      </c>
      <c r="I310" s="59">
        <f t="shared" si="148"/>
        <v>1.2</v>
      </c>
      <c r="J310" s="84">
        <v>2</v>
      </c>
      <c r="K310" s="132">
        <v>280</v>
      </c>
      <c r="L310" s="107" t="str">
        <f t="shared" si="149"/>
        <v>Stick</v>
      </c>
      <c r="M310" s="107">
        <f t="shared" si="150"/>
        <v>0.36</v>
      </c>
      <c r="N310" s="84">
        <v>1</v>
      </c>
      <c r="O310" s="132" t="s">
        <v>926</v>
      </c>
      <c r="P310" s="59" t="str">
        <f t="shared" si="151"/>
        <v>ninguno</v>
      </c>
      <c r="Q310" s="59">
        <f t="shared" si="152"/>
        <v>0</v>
      </c>
      <c r="R310" s="84"/>
      <c r="S310" s="132" t="s">
        <v>926</v>
      </c>
      <c r="T310" s="107" t="str">
        <f t="shared" si="153"/>
        <v>ninguno</v>
      </c>
      <c r="U310" s="107">
        <f t="shared" si="154"/>
        <v>0</v>
      </c>
      <c r="V310" s="84"/>
    </row>
    <row r="311" spans="1:22" s="108" customFormat="1" ht="14.25" customHeight="1" x14ac:dyDescent="0.25">
      <c r="A311" s="119">
        <v>269</v>
      </c>
      <c r="B311" s="68" t="s">
        <v>568</v>
      </c>
      <c r="C311" s="99">
        <v>1</v>
      </c>
      <c r="D311" s="67"/>
      <c r="E311" s="61">
        <f t="shared" si="146"/>
        <v>2.3039999999999998</v>
      </c>
      <c r="F311" s="188">
        <f t="shared" si="123"/>
        <v>0.39</v>
      </c>
      <c r="G311" s="118">
        <v>5</v>
      </c>
      <c r="H311" s="59" t="str">
        <f t="shared" si="147"/>
        <v>Oak Planks</v>
      </c>
      <c r="I311" s="59">
        <f t="shared" si="148"/>
        <v>1.2</v>
      </c>
      <c r="J311" s="84">
        <v>1</v>
      </c>
      <c r="K311" s="132">
        <v>280</v>
      </c>
      <c r="L311" s="107" t="str">
        <f t="shared" si="149"/>
        <v>Stick</v>
      </c>
      <c r="M311" s="107">
        <f t="shared" si="150"/>
        <v>0.36</v>
      </c>
      <c r="N311" s="84">
        <v>2</v>
      </c>
      <c r="O311" s="132" t="s">
        <v>926</v>
      </c>
      <c r="P311" s="59" t="str">
        <f t="shared" si="151"/>
        <v>ninguno</v>
      </c>
      <c r="Q311" s="59">
        <f t="shared" si="152"/>
        <v>0</v>
      </c>
      <c r="R311" s="84"/>
      <c r="S311" s="132" t="s">
        <v>926</v>
      </c>
      <c r="T311" s="107" t="str">
        <f t="shared" si="153"/>
        <v>ninguno</v>
      </c>
      <c r="U311" s="107">
        <f t="shared" si="154"/>
        <v>0</v>
      </c>
      <c r="V311" s="84"/>
    </row>
    <row r="312" spans="1:22" s="108" customFormat="1" ht="14.25" customHeight="1" x14ac:dyDescent="0.25">
      <c r="A312" s="119">
        <v>270</v>
      </c>
      <c r="B312" s="68" t="s">
        <v>569</v>
      </c>
      <c r="C312" s="99">
        <v>1</v>
      </c>
      <c r="D312" s="67"/>
      <c r="E312" s="61">
        <f t="shared" si="146"/>
        <v>5.1839999999999993</v>
      </c>
      <c r="F312" s="188">
        <f t="shared" si="123"/>
        <v>0.87</v>
      </c>
      <c r="G312" s="118">
        <v>5</v>
      </c>
      <c r="H312" s="59" t="str">
        <f t="shared" si="147"/>
        <v>Oak Planks</v>
      </c>
      <c r="I312" s="59">
        <f t="shared" si="148"/>
        <v>1.2</v>
      </c>
      <c r="J312" s="84">
        <v>3</v>
      </c>
      <c r="K312" s="132">
        <v>280</v>
      </c>
      <c r="L312" s="107" t="str">
        <f t="shared" si="149"/>
        <v>Stick</v>
      </c>
      <c r="M312" s="107">
        <f t="shared" si="150"/>
        <v>0.36</v>
      </c>
      <c r="N312" s="84">
        <v>2</v>
      </c>
      <c r="O312" s="132" t="s">
        <v>926</v>
      </c>
      <c r="P312" s="59" t="str">
        <f t="shared" si="151"/>
        <v>ninguno</v>
      </c>
      <c r="Q312" s="59">
        <f t="shared" si="152"/>
        <v>0</v>
      </c>
      <c r="R312" s="84"/>
      <c r="S312" s="132" t="s">
        <v>926</v>
      </c>
      <c r="T312" s="107" t="str">
        <f t="shared" si="153"/>
        <v>ninguno</v>
      </c>
      <c r="U312" s="107">
        <f t="shared" si="154"/>
        <v>0</v>
      </c>
      <c r="V312" s="84"/>
    </row>
    <row r="313" spans="1:22" s="108" customFormat="1" ht="14.25" customHeight="1" x14ac:dyDescent="0.25">
      <c r="A313" s="119">
        <v>271</v>
      </c>
      <c r="B313" s="68" t="s">
        <v>570</v>
      </c>
      <c r="C313" s="99">
        <v>1</v>
      </c>
      <c r="D313" s="67"/>
      <c r="E313" s="61">
        <f t="shared" si="146"/>
        <v>5.1839999999999993</v>
      </c>
      <c r="F313" s="188">
        <f t="shared" si="123"/>
        <v>0.87</v>
      </c>
      <c r="G313" s="118">
        <v>5</v>
      </c>
      <c r="H313" s="59" t="str">
        <f t="shared" si="147"/>
        <v>Oak Planks</v>
      </c>
      <c r="I313" s="59">
        <f t="shared" si="148"/>
        <v>1.2</v>
      </c>
      <c r="J313" s="84">
        <v>3</v>
      </c>
      <c r="K313" s="132">
        <v>280</v>
      </c>
      <c r="L313" s="107" t="str">
        <f t="shared" si="149"/>
        <v>Stick</v>
      </c>
      <c r="M313" s="107">
        <f t="shared" si="150"/>
        <v>0.36</v>
      </c>
      <c r="N313" s="84">
        <v>2</v>
      </c>
      <c r="O313" s="132" t="s">
        <v>926</v>
      </c>
      <c r="P313" s="59" t="str">
        <f t="shared" si="151"/>
        <v>ninguno</v>
      </c>
      <c r="Q313" s="59">
        <f t="shared" si="152"/>
        <v>0</v>
      </c>
      <c r="R313" s="84"/>
      <c r="S313" s="132" t="s">
        <v>926</v>
      </c>
      <c r="T313" s="107" t="str">
        <f t="shared" si="153"/>
        <v>ninguno</v>
      </c>
      <c r="U313" s="107">
        <f t="shared" si="154"/>
        <v>0</v>
      </c>
      <c r="V313" s="84"/>
    </row>
    <row r="314" spans="1:22" s="108" customFormat="1" ht="14.25" customHeight="1" x14ac:dyDescent="0.25">
      <c r="A314" s="119">
        <v>272</v>
      </c>
      <c r="B314" s="68" t="s">
        <v>571</v>
      </c>
      <c r="C314" s="99">
        <v>1</v>
      </c>
      <c r="D314" s="67"/>
      <c r="E314" s="61">
        <f t="shared" si="146"/>
        <v>7.6319999999999997</v>
      </c>
      <c r="F314" s="188">
        <f t="shared" si="123"/>
        <v>1.28</v>
      </c>
      <c r="G314" s="118">
        <v>4</v>
      </c>
      <c r="H314" s="59" t="str">
        <f t="shared" si="147"/>
        <v>Cobblestone</v>
      </c>
      <c r="I314" s="59">
        <f t="shared" si="148"/>
        <v>3</v>
      </c>
      <c r="J314" s="84">
        <v>2</v>
      </c>
      <c r="K314" s="132">
        <v>280</v>
      </c>
      <c r="L314" s="107" t="str">
        <f t="shared" si="149"/>
        <v>Stick</v>
      </c>
      <c r="M314" s="107">
        <f t="shared" si="150"/>
        <v>0.36</v>
      </c>
      <c r="N314" s="84">
        <v>1</v>
      </c>
      <c r="O314" s="132" t="s">
        <v>926</v>
      </c>
      <c r="P314" s="59" t="str">
        <f t="shared" si="151"/>
        <v>ninguno</v>
      </c>
      <c r="Q314" s="59">
        <f t="shared" si="152"/>
        <v>0</v>
      </c>
      <c r="R314" s="84"/>
      <c r="S314" s="132" t="s">
        <v>926</v>
      </c>
      <c r="T314" s="107" t="str">
        <f t="shared" si="153"/>
        <v>ninguno</v>
      </c>
      <c r="U314" s="107">
        <f t="shared" si="154"/>
        <v>0</v>
      </c>
      <c r="V314" s="84"/>
    </row>
    <row r="315" spans="1:22" s="108" customFormat="1" ht="14.25" customHeight="1" x14ac:dyDescent="0.25">
      <c r="A315" s="119">
        <v>273</v>
      </c>
      <c r="B315" s="68" t="s">
        <v>572</v>
      </c>
      <c r="C315" s="99">
        <v>1</v>
      </c>
      <c r="D315" s="67"/>
      <c r="E315" s="61">
        <f t="shared" si="146"/>
        <v>4.4639999999999995</v>
      </c>
      <c r="F315" s="188">
        <f t="shared" si="123"/>
        <v>0.75</v>
      </c>
      <c r="G315" s="118">
        <v>4</v>
      </c>
      <c r="H315" s="59" t="str">
        <f t="shared" si="147"/>
        <v>Cobblestone</v>
      </c>
      <c r="I315" s="59">
        <f t="shared" si="148"/>
        <v>3</v>
      </c>
      <c r="J315" s="84">
        <v>1</v>
      </c>
      <c r="K315" s="132">
        <v>280</v>
      </c>
      <c r="L315" s="107" t="str">
        <f t="shared" si="149"/>
        <v>Stick</v>
      </c>
      <c r="M315" s="107">
        <f t="shared" si="150"/>
        <v>0.36</v>
      </c>
      <c r="N315" s="84">
        <v>2</v>
      </c>
      <c r="O315" s="132" t="s">
        <v>926</v>
      </c>
      <c r="P315" s="59" t="str">
        <f t="shared" si="151"/>
        <v>ninguno</v>
      </c>
      <c r="Q315" s="59">
        <f t="shared" si="152"/>
        <v>0</v>
      </c>
      <c r="R315" s="84"/>
      <c r="S315" s="132" t="s">
        <v>926</v>
      </c>
      <c r="T315" s="107" t="str">
        <f t="shared" si="153"/>
        <v>ninguno</v>
      </c>
      <c r="U315" s="107">
        <f t="shared" si="154"/>
        <v>0</v>
      </c>
      <c r="V315" s="84"/>
    </row>
    <row r="316" spans="1:22" s="108" customFormat="1" ht="14.25" customHeight="1" x14ac:dyDescent="0.25">
      <c r="A316" s="119">
        <v>274</v>
      </c>
      <c r="B316" s="68" t="s">
        <v>573</v>
      </c>
      <c r="C316" s="99">
        <v>1</v>
      </c>
      <c r="D316" s="67"/>
      <c r="E316" s="61">
        <f t="shared" si="146"/>
        <v>11.664</v>
      </c>
      <c r="F316" s="188">
        <f t="shared" si="123"/>
        <v>1.95</v>
      </c>
      <c r="G316" s="118">
        <v>4</v>
      </c>
      <c r="H316" s="59" t="str">
        <f t="shared" si="147"/>
        <v>Cobblestone</v>
      </c>
      <c r="I316" s="59">
        <f t="shared" si="148"/>
        <v>3</v>
      </c>
      <c r="J316" s="84">
        <v>3</v>
      </c>
      <c r="K316" s="132">
        <v>280</v>
      </c>
      <c r="L316" s="107" t="str">
        <f t="shared" si="149"/>
        <v>Stick</v>
      </c>
      <c r="M316" s="107">
        <f t="shared" si="150"/>
        <v>0.36</v>
      </c>
      <c r="N316" s="84">
        <v>2</v>
      </c>
      <c r="O316" s="132" t="s">
        <v>926</v>
      </c>
      <c r="P316" s="59" t="str">
        <f t="shared" si="151"/>
        <v>ninguno</v>
      </c>
      <c r="Q316" s="59">
        <f t="shared" si="152"/>
        <v>0</v>
      </c>
      <c r="R316" s="84"/>
      <c r="S316" s="132" t="s">
        <v>926</v>
      </c>
      <c r="T316" s="107" t="str">
        <f t="shared" si="153"/>
        <v>ninguno</v>
      </c>
      <c r="U316" s="107">
        <f t="shared" si="154"/>
        <v>0</v>
      </c>
      <c r="V316" s="84"/>
    </row>
    <row r="317" spans="1:22" s="108" customFormat="1" ht="14.25" customHeight="1" x14ac:dyDescent="0.25">
      <c r="A317" s="119">
        <v>275</v>
      </c>
      <c r="B317" s="68" t="s">
        <v>574</v>
      </c>
      <c r="C317" s="99">
        <v>1</v>
      </c>
      <c r="D317" s="67"/>
      <c r="E317" s="61">
        <f t="shared" si="146"/>
        <v>11.664</v>
      </c>
      <c r="F317" s="188">
        <f t="shared" si="123"/>
        <v>1.95</v>
      </c>
      <c r="G317" s="118">
        <v>4</v>
      </c>
      <c r="H317" s="59" t="str">
        <f t="shared" si="147"/>
        <v>Cobblestone</v>
      </c>
      <c r="I317" s="59">
        <f t="shared" si="148"/>
        <v>3</v>
      </c>
      <c r="J317" s="84">
        <v>3</v>
      </c>
      <c r="K317" s="132">
        <v>280</v>
      </c>
      <c r="L317" s="107" t="str">
        <f t="shared" si="149"/>
        <v>Stick</v>
      </c>
      <c r="M317" s="107">
        <f t="shared" si="150"/>
        <v>0.36</v>
      </c>
      <c r="N317" s="84">
        <v>2</v>
      </c>
      <c r="O317" s="132" t="s">
        <v>926</v>
      </c>
      <c r="P317" s="59" t="str">
        <f t="shared" si="151"/>
        <v>ninguno</v>
      </c>
      <c r="Q317" s="59">
        <f t="shared" si="152"/>
        <v>0</v>
      </c>
      <c r="R317" s="84"/>
      <c r="S317" s="132" t="s">
        <v>926</v>
      </c>
      <c r="T317" s="107" t="str">
        <f t="shared" si="153"/>
        <v>ninguno</v>
      </c>
      <c r="U317" s="107">
        <f t="shared" si="154"/>
        <v>0</v>
      </c>
      <c r="V317" s="84"/>
    </row>
    <row r="318" spans="1:22" s="108" customFormat="1" ht="14.25" customHeight="1" x14ac:dyDescent="0.25">
      <c r="A318" s="119">
        <v>276</v>
      </c>
      <c r="B318" s="68" t="s">
        <v>575</v>
      </c>
      <c r="C318" s="99">
        <v>1</v>
      </c>
      <c r="D318" s="67"/>
      <c r="E318" s="61">
        <f t="shared" si="146"/>
        <v>7680.4319999999989</v>
      </c>
      <c r="F318" s="188">
        <f t="shared" si="123"/>
        <v>1280.08</v>
      </c>
      <c r="G318" s="118">
        <v>264</v>
      </c>
      <c r="H318" s="59" t="str">
        <f t="shared" si="147"/>
        <v>Diamond</v>
      </c>
      <c r="I318" s="59">
        <f t="shared" si="148"/>
        <v>3200</v>
      </c>
      <c r="J318" s="84">
        <v>2</v>
      </c>
      <c r="K318" s="132">
        <v>280</v>
      </c>
      <c r="L318" s="107" t="str">
        <f t="shared" si="149"/>
        <v>Stick</v>
      </c>
      <c r="M318" s="107">
        <f t="shared" si="150"/>
        <v>0.36</v>
      </c>
      <c r="N318" s="84">
        <v>1</v>
      </c>
      <c r="O318" s="132" t="s">
        <v>926</v>
      </c>
      <c r="P318" s="59" t="str">
        <f t="shared" si="151"/>
        <v>ninguno</v>
      </c>
      <c r="Q318" s="59">
        <f t="shared" si="152"/>
        <v>0</v>
      </c>
      <c r="R318" s="84"/>
      <c r="S318" s="132" t="s">
        <v>926</v>
      </c>
      <c r="T318" s="107" t="str">
        <f t="shared" si="153"/>
        <v>ninguno</v>
      </c>
      <c r="U318" s="107">
        <f t="shared" si="154"/>
        <v>0</v>
      </c>
      <c r="V318" s="84"/>
    </row>
    <row r="319" spans="1:22" s="108" customFormat="1" ht="14.25" customHeight="1" x14ac:dyDescent="0.25">
      <c r="A319" s="119">
        <v>277</v>
      </c>
      <c r="B319" s="68" t="s">
        <v>576</v>
      </c>
      <c r="C319" s="99">
        <v>1</v>
      </c>
      <c r="D319" s="67"/>
      <c r="E319" s="61">
        <f t="shared" si="146"/>
        <v>3840.8639999999996</v>
      </c>
      <c r="F319" s="188">
        <f t="shared" si="123"/>
        <v>640.15</v>
      </c>
      <c r="G319" s="118">
        <v>264</v>
      </c>
      <c r="H319" s="59" t="str">
        <f t="shared" si="147"/>
        <v>Diamond</v>
      </c>
      <c r="I319" s="59">
        <f t="shared" si="148"/>
        <v>3200</v>
      </c>
      <c r="J319" s="84">
        <v>1</v>
      </c>
      <c r="K319" s="132">
        <v>280</v>
      </c>
      <c r="L319" s="107" t="str">
        <f t="shared" si="149"/>
        <v>Stick</v>
      </c>
      <c r="M319" s="107">
        <f t="shared" si="150"/>
        <v>0.36</v>
      </c>
      <c r="N319" s="84">
        <v>2</v>
      </c>
      <c r="O319" s="132" t="s">
        <v>926</v>
      </c>
      <c r="P319" s="59" t="str">
        <f t="shared" si="151"/>
        <v>ninguno</v>
      </c>
      <c r="Q319" s="59">
        <f t="shared" si="152"/>
        <v>0</v>
      </c>
      <c r="R319" s="84"/>
      <c r="S319" s="132" t="s">
        <v>926</v>
      </c>
      <c r="T319" s="107" t="str">
        <f t="shared" si="153"/>
        <v>ninguno</v>
      </c>
      <c r="U319" s="107">
        <f t="shared" si="154"/>
        <v>0</v>
      </c>
      <c r="V319" s="84"/>
    </row>
    <row r="320" spans="1:22" s="108" customFormat="1" ht="14.25" customHeight="1" x14ac:dyDescent="0.25">
      <c r="A320" s="119">
        <v>278</v>
      </c>
      <c r="B320" s="68" t="s">
        <v>577</v>
      </c>
      <c r="C320" s="99">
        <v>1</v>
      </c>
      <c r="D320" s="67"/>
      <c r="E320" s="61">
        <f t="shared" si="146"/>
        <v>11520.864</v>
      </c>
      <c r="F320" s="188">
        <f t="shared" si="123"/>
        <v>1920.15</v>
      </c>
      <c r="G320" s="118">
        <v>264</v>
      </c>
      <c r="H320" s="59" t="str">
        <f t="shared" si="147"/>
        <v>Diamond</v>
      </c>
      <c r="I320" s="59">
        <f t="shared" si="148"/>
        <v>3200</v>
      </c>
      <c r="J320" s="84">
        <v>3</v>
      </c>
      <c r="K320" s="132">
        <v>280</v>
      </c>
      <c r="L320" s="107" t="str">
        <f t="shared" si="149"/>
        <v>Stick</v>
      </c>
      <c r="M320" s="107">
        <f t="shared" si="150"/>
        <v>0.36</v>
      </c>
      <c r="N320" s="84">
        <v>2</v>
      </c>
      <c r="O320" s="132" t="s">
        <v>926</v>
      </c>
      <c r="P320" s="59" t="str">
        <f t="shared" si="151"/>
        <v>ninguno</v>
      </c>
      <c r="Q320" s="59">
        <f t="shared" si="152"/>
        <v>0</v>
      </c>
      <c r="R320" s="84"/>
      <c r="S320" s="132" t="s">
        <v>926</v>
      </c>
      <c r="T320" s="107" t="str">
        <f t="shared" si="153"/>
        <v>ninguno</v>
      </c>
      <c r="U320" s="107">
        <f t="shared" si="154"/>
        <v>0</v>
      </c>
      <c r="V320" s="84"/>
    </row>
    <row r="321" spans="1:22" s="108" customFormat="1" ht="14.25" customHeight="1" x14ac:dyDescent="0.25">
      <c r="A321" s="119">
        <v>279</v>
      </c>
      <c r="B321" s="68" t="s">
        <v>578</v>
      </c>
      <c r="C321" s="99">
        <v>1</v>
      </c>
      <c r="D321" s="67"/>
      <c r="E321" s="61">
        <f t="shared" si="146"/>
        <v>11520.864</v>
      </c>
      <c r="F321" s="188">
        <f t="shared" si="123"/>
        <v>1920.15</v>
      </c>
      <c r="G321" s="118">
        <v>264</v>
      </c>
      <c r="H321" s="59" t="str">
        <f t="shared" si="147"/>
        <v>Diamond</v>
      </c>
      <c r="I321" s="59">
        <f t="shared" si="148"/>
        <v>3200</v>
      </c>
      <c r="J321" s="84">
        <v>3</v>
      </c>
      <c r="K321" s="132">
        <v>280</v>
      </c>
      <c r="L321" s="107" t="str">
        <f t="shared" si="149"/>
        <v>Stick</v>
      </c>
      <c r="M321" s="107">
        <f t="shared" si="150"/>
        <v>0.36</v>
      </c>
      <c r="N321" s="84">
        <v>2</v>
      </c>
      <c r="O321" s="132" t="s">
        <v>926</v>
      </c>
      <c r="P321" s="59" t="str">
        <f t="shared" si="151"/>
        <v>ninguno</v>
      </c>
      <c r="Q321" s="59">
        <f t="shared" si="152"/>
        <v>0</v>
      </c>
      <c r="R321" s="84"/>
      <c r="S321" s="132" t="s">
        <v>926</v>
      </c>
      <c r="T321" s="107" t="str">
        <f t="shared" si="153"/>
        <v>ninguno</v>
      </c>
      <c r="U321" s="107">
        <f t="shared" si="154"/>
        <v>0</v>
      </c>
      <c r="V321" s="84"/>
    </row>
    <row r="322" spans="1:22" s="108" customFormat="1" ht="14.25" customHeight="1" x14ac:dyDescent="0.25">
      <c r="A322" s="119">
        <v>280</v>
      </c>
      <c r="B322" s="68" t="s">
        <v>204</v>
      </c>
      <c r="C322" s="99">
        <v>4</v>
      </c>
      <c r="D322" s="67"/>
      <c r="E322" s="61">
        <f t="shared" si="146"/>
        <v>0.36</v>
      </c>
      <c r="F322" s="188">
        <f t="shared" si="123"/>
        <v>0.06</v>
      </c>
      <c r="G322" s="118">
        <v>5</v>
      </c>
      <c r="H322" s="59" t="str">
        <f t="shared" si="147"/>
        <v>Oak Planks</v>
      </c>
      <c r="I322" s="59">
        <f t="shared" si="148"/>
        <v>1.2</v>
      </c>
      <c r="J322" s="84">
        <v>1</v>
      </c>
      <c r="K322" s="132" t="s">
        <v>926</v>
      </c>
      <c r="L322" s="107" t="str">
        <f t="shared" si="149"/>
        <v>ninguno</v>
      </c>
      <c r="M322" s="107">
        <f t="shared" si="150"/>
        <v>0</v>
      </c>
      <c r="N322" s="84"/>
      <c r="O322" s="132" t="s">
        <v>926</v>
      </c>
      <c r="P322" s="59" t="str">
        <f t="shared" si="151"/>
        <v>ninguno</v>
      </c>
      <c r="Q322" s="59">
        <f t="shared" si="152"/>
        <v>0</v>
      </c>
      <c r="R322" s="84"/>
      <c r="S322" s="132" t="s">
        <v>926</v>
      </c>
      <c r="T322" s="107" t="str">
        <f t="shared" si="153"/>
        <v>ninguno</v>
      </c>
      <c r="U322" s="107">
        <f t="shared" si="154"/>
        <v>0</v>
      </c>
      <c r="V322" s="84"/>
    </row>
    <row r="323" spans="1:22" s="108" customFormat="1" ht="14.25" customHeight="1" x14ac:dyDescent="0.25">
      <c r="A323" s="119">
        <v>281</v>
      </c>
      <c r="B323" s="68" t="s">
        <v>579</v>
      </c>
      <c r="C323" s="99">
        <v>4</v>
      </c>
      <c r="D323" s="67"/>
      <c r="E323" s="61">
        <f t="shared" si="146"/>
        <v>1.0799999999999998</v>
      </c>
      <c r="F323" s="188">
        <f t="shared" si="123"/>
        <v>0.18</v>
      </c>
      <c r="G323" s="118">
        <v>5</v>
      </c>
      <c r="H323" s="59" t="str">
        <f t="shared" si="147"/>
        <v>Oak Planks</v>
      </c>
      <c r="I323" s="59">
        <f t="shared" si="148"/>
        <v>1.2</v>
      </c>
      <c r="J323" s="84">
        <v>3</v>
      </c>
      <c r="K323" s="132" t="s">
        <v>926</v>
      </c>
      <c r="L323" s="107" t="str">
        <f t="shared" si="149"/>
        <v>ninguno</v>
      </c>
      <c r="M323" s="107">
        <f t="shared" si="150"/>
        <v>0</v>
      </c>
      <c r="N323" s="84"/>
      <c r="O323" s="132" t="s">
        <v>926</v>
      </c>
      <c r="P323" s="59" t="str">
        <f t="shared" si="151"/>
        <v>ninguno</v>
      </c>
      <c r="Q323" s="59">
        <f t="shared" si="152"/>
        <v>0</v>
      </c>
      <c r="R323" s="84"/>
      <c r="S323" s="132" t="s">
        <v>926</v>
      </c>
      <c r="T323" s="107" t="str">
        <f t="shared" si="153"/>
        <v>ninguno</v>
      </c>
      <c r="U323" s="107">
        <f t="shared" si="154"/>
        <v>0</v>
      </c>
      <c r="V323" s="84"/>
    </row>
    <row r="324" spans="1:22" s="108" customFormat="1" ht="14.25" customHeight="1" x14ac:dyDescent="0.25">
      <c r="A324" s="119">
        <v>282</v>
      </c>
      <c r="B324" s="68" t="s">
        <v>580</v>
      </c>
      <c r="C324" s="99">
        <v>1</v>
      </c>
      <c r="D324" s="67"/>
      <c r="E324" s="61">
        <f t="shared" si="146"/>
        <v>2262.096</v>
      </c>
      <c r="F324" s="188">
        <f t="shared" si="123"/>
        <v>377.02</v>
      </c>
      <c r="G324" s="118">
        <v>281</v>
      </c>
      <c r="H324" s="59" t="str">
        <f t="shared" si="147"/>
        <v>Bowl</v>
      </c>
      <c r="I324" s="59">
        <f t="shared" si="148"/>
        <v>1.0799999999999998</v>
      </c>
      <c r="J324" s="84">
        <v>1</v>
      </c>
      <c r="K324" s="132">
        <v>39</v>
      </c>
      <c r="L324" s="107" t="str">
        <f t="shared" si="149"/>
        <v>Brown Mushroom</v>
      </c>
      <c r="M324" s="107">
        <f t="shared" si="150"/>
        <v>942</v>
      </c>
      <c r="N324" s="84">
        <v>1</v>
      </c>
      <c r="O324" s="132">
        <v>40</v>
      </c>
      <c r="P324" s="59" t="str">
        <f t="shared" si="151"/>
        <v>Red Mushroom</v>
      </c>
      <c r="Q324" s="59">
        <f t="shared" si="152"/>
        <v>942</v>
      </c>
      <c r="R324" s="84">
        <v>1</v>
      </c>
      <c r="S324" s="132" t="s">
        <v>926</v>
      </c>
      <c r="T324" s="107" t="str">
        <f t="shared" si="153"/>
        <v>ninguno</v>
      </c>
      <c r="U324" s="107">
        <f t="shared" si="154"/>
        <v>0</v>
      </c>
      <c r="V324" s="84"/>
    </row>
    <row r="325" spans="1:22" s="108" customFormat="1" ht="14.25" customHeight="1" x14ac:dyDescent="0.25">
      <c r="A325" s="119">
        <v>283</v>
      </c>
      <c r="B325" s="68" t="s">
        <v>581</v>
      </c>
      <c r="C325" s="99">
        <v>1</v>
      </c>
      <c r="D325" s="67"/>
      <c r="E325" s="61">
        <f t="shared" si="146"/>
        <v>3840.4319999999998</v>
      </c>
      <c r="F325" s="188">
        <f t="shared" si="123"/>
        <v>640.08000000000004</v>
      </c>
      <c r="G325" s="118">
        <v>266</v>
      </c>
      <c r="H325" s="59" t="str">
        <f t="shared" si="147"/>
        <v>Gold Ingot</v>
      </c>
      <c r="I325" s="59">
        <f t="shared" si="148"/>
        <v>1600</v>
      </c>
      <c r="J325" s="84">
        <v>2</v>
      </c>
      <c r="K325" s="132">
        <v>280</v>
      </c>
      <c r="L325" s="107" t="str">
        <f t="shared" si="149"/>
        <v>Stick</v>
      </c>
      <c r="M325" s="107">
        <f t="shared" si="150"/>
        <v>0.36</v>
      </c>
      <c r="N325" s="84">
        <v>1</v>
      </c>
      <c r="O325" s="132" t="s">
        <v>926</v>
      </c>
      <c r="P325" s="59" t="str">
        <f t="shared" si="151"/>
        <v>ninguno</v>
      </c>
      <c r="Q325" s="59">
        <f t="shared" si="152"/>
        <v>0</v>
      </c>
      <c r="R325" s="84"/>
      <c r="S325" s="132" t="s">
        <v>926</v>
      </c>
      <c r="T325" s="107" t="str">
        <f t="shared" si="153"/>
        <v>ninguno</v>
      </c>
      <c r="U325" s="107">
        <f t="shared" si="154"/>
        <v>0</v>
      </c>
      <c r="V325" s="84"/>
    </row>
    <row r="326" spans="1:22" s="108" customFormat="1" ht="14.25" customHeight="1" x14ac:dyDescent="0.25">
      <c r="A326" s="119">
        <v>284</v>
      </c>
      <c r="B326" s="68" t="s">
        <v>582</v>
      </c>
      <c r="C326" s="99">
        <v>1</v>
      </c>
      <c r="D326" s="67"/>
      <c r="E326" s="61">
        <f t="shared" si="146"/>
        <v>1920.864</v>
      </c>
      <c r="F326" s="188">
        <f t="shared" si="123"/>
        <v>320.14999999999998</v>
      </c>
      <c r="G326" s="118">
        <v>266</v>
      </c>
      <c r="H326" s="59" t="str">
        <f t="shared" si="147"/>
        <v>Gold Ingot</v>
      </c>
      <c r="I326" s="59">
        <f t="shared" si="148"/>
        <v>1600</v>
      </c>
      <c r="J326" s="84">
        <v>1</v>
      </c>
      <c r="K326" s="132">
        <v>280</v>
      </c>
      <c r="L326" s="107" t="str">
        <f t="shared" si="149"/>
        <v>Stick</v>
      </c>
      <c r="M326" s="107">
        <f t="shared" si="150"/>
        <v>0.36</v>
      </c>
      <c r="N326" s="84">
        <v>2</v>
      </c>
      <c r="O326" s="132" t="s">
        <v>926</v>
      </c>
      <c r="P326" s="59" t="str">
        <f t="shared" si="151"/>
        <v>ninguno</v>
      </c>
      <c r="Q326" s="59">
        <f t="shared" si="152"/>
        <v>0</v>
      </c>
      <c r="R326" s="84"/>
      <c r="S326" s="132" t="s">
        <v>926</v>
      </c>
      <c r="T326" s="107" t="str">
        <f t="shared" si="153"/>
        <v>ninguno</v>
      </c>
      <c r="U326" s="107">
        <f t="shared" si="154"/>
        <v>0</v>
      </c>
      <c r="V326" s="84"/>
    </row>
    <row r="327" spans="1:22" s="108" customFormat="1" ht="14.25" customHeight="1" x14ac:dyDescent="0.25">
      <c r="A327" s="119">
        <v>285</v>
      </c>
      <c r="B327" s="68" t="s">
        <v>583</v>
      </c>
      <c r="C327" s="99">
        <v>1</v>
      </c>
      <c r="D327" s="67"/>
      <c r="E327" s="61">
        <f t="shared" si="146"/>
        <v>5760.8640000000005</v>
      </c>
      <c r="F327" s="188">
        <f t="shared" si="123"/>
        <v>960.15</v>
      </c>
      <c r="G327" s="118">
        <v>266</v>
      </c>
      <c r="H327" s="59" t="str">
        <f t="shared" si="147"/>
        <v>Gold Ingot</v>
      </c>
      <c r="I327" s="59">
        <f t="shared" si="148"/>
        <v>1600</v>
      </c>
      <c r="J327" s="84">
        <v>3</v>
      </c>
      <c r="K327" s="132">
        <v>280</v>
      </c>
      <c r="L327" s="107" t="str">
        <f t="shared" si="149"/>
        <v>Stick</v>
      </c>
      <c r="M327" s="107">
        <f t="shared" si="150"/>
        <v>0.36</v>
      </c>
      <c r="N327" s="84">
        <v>2</v>
      </c>
      <c r="O327" s="132" t="s">
        <v>926</v>
      </c>
      <c r="P327" s="59" t="str">
        <f t="shared" si="151"/>
        <v>ninguno</v>
      </c>
      <c r="Q327" s="59">
        <f t="shared" si="152"/>
        <v>0</v>
      </c>
      <c r="R327" s="84"/>
      <c r="S327" s="132" t="s">
        <v>926</v>
      </c>
      <c r="T327" s="107" t="str">
        <f t="shared" si="153"/>
        <v>ninguno</v>
      </c>
      <c r="U327" s="107">
        <f t="shared" si="154"/>
        <v>0</v>
      </c>
      <c r="V327" s="84"/>
    </row>
    <row r="328" spans="1:22" s="108" customFormat="1" ht="14.25" customHeight="1" x14ac:dyDescent="0.25">
      <c r="A328" s="119">
        <v>286</v>
      </c>
      <c r="B328" s="68" t="s">
        <v>584</v>
      </c>
      <c r="C328" s="99">
        <v>1</v>
      </c>
      <c r="D328" s="67"/>
      <c r="E328" s="61">
        <f t="shared" si="146"/>
        <v>5760.8640000000005</v>
      </c>
      <c r="F328" s="188">
        <f t="shared" si="123"/>
        <v>960.15</v>
      </c>
      <c r="G328" s="118">
        <v>266</v>
      </c>
      <c r="H328" s="59" t="str">
        <f t="shared" si="147"/>
        <v>Gold Ingot</v>
      </c>
      <c r="I328" s="59">
        <f t="shared" si="148"/>
        <v>1600</v>
      </c>
      <c r="J328" s="84">
        <v>3</v>
      </c>
      <c r="K328" s="132">
        <v>280</v>
      </c>
      <c r="L328" s="107" t="str">
        <f t="shared" si="149"/>
        <v>Stick</v>
      </c>
      <c r="M328" s="107">
        <f t="shared" si="150"/>
        <v>0.36</v>
      </c>
      <c r="N328" s="84">
        <v>2</v>
      </c>
      <c r="O328" s="132" t="s">
        <v>926</v>
      </c>
      <c r="P328" s="59" t="str">
        <f t="shared" si="151"/>
        <v>ninguno</v>
      </c>
      <c r="Q328" s="59">
        <f t="shared" si="152"/>
        <v>0</v>
      </c>
      <c r="R328" s="84"/>
      <c r="S328" s="132" t="s">
        <v>926</v>
      </c>
      <c r="T328" s="107" t="str">
        <f t="shared" si="153"/>
        <v>ninguno</v>
      </c>
      <c r="U328" s="107">
        <f t="shared" si="154"/>
        <v>0</v>
      </c>
      <c r="V328" s="84"/>
    </row>
    <row r="329" spans="1:22" s="90" customFormat="1" ht="14.25" customHeight="1" x14ac:dyDescent="0.25">
      <c r="A329" s="115">
        <v>287</v>
      </c>
      <c r="B329" s="89" t="s">
        <v>585</v>
      </c>
      <c r="C329" s="100"/>
      <c r="D329" s="85"/>
      <c r="E329" s="85">
        <f>'ECONOMIA &amp; PROFESIONES'!G45</f>
        <v>4.5</v>
      </c>
      <c r="F329" s="188">
        <f t="shared" si="123"/>
        <v>0.75</v>
      </c>
      <c r="G329" s="118" t="s">
        <v>926</v>
      </c>
      <c r="H329" s="85"/>
      <c r="I329" s="85"/>
      <c r="J329" s="87"/>
      <c r="K329" s="134"/>
      <c r="L329" s="85"/>
      <c r="M329" s="85"/>
      <c r="N329" s="87"/>
      <c r="O329" s="134"/>
      <c r="P329" s="85"/>
      <c r="Q329" s="85"/>
      <c r="R329" s="87"/>
      <c r="S329" s="134"/>
      <c r="T329" s="85"/>
      <c r="U329" s="85"/>
      <c r="V329" s="87"/>
    </row>
    <row r="330" spans="1:22" s="114" customFormat="1" ht="14.25" customHeight="1" x14ac:dyDescent="0.25">
      <c r="A330" s="115">
        <v>288</v>
      </c>
      <c r="B330" s="89" t="s">
        <v>586</v>
      </c>
      <c r="C330" s="113"/>
      <c r="D330" s="85"/>
      <c r="E330" s="85">
        <f>'ECONOMIA &amp; PROFESIONES'!K44</f>
        <v>28.700000000000003</v>
      </c>
      <c r="F330" s="188">
        <f t="shared" si="123"/>
        <v>4.79</v>
      </c>
      <c r="G330" s="118" t="s">
        <v>926</v>
      </c>
      <c r="H330" s="85" t="str">
        <f>VLOOKUP(G330,LISTAITEMS,2,FALSE)</f>
        <v>ninguno</v>
      </c>
      <c r="I330" s="85">
        <f>VLOOKUP(G330,LISTAITEMS,5,FALSE)</f>
        <v>0</v>
      </c>
      <c r="J330" s="85"/>
      <c r="K330" s="133" t="s">
        <v>926</v>
      </c>
      <c r="L330" s="85" t="str">
        <f>VLOOKUP(K330,LISTAITEMS,2,FALSE)</f>
        <v>ninguno</v>
      </c>
      <c r="M330" s="85">
        <f>VLOOKUP(K330,LISTAITEMS,5,FALSE)</f>
        <v>0</v>
      </c>
      <c r="N330" s="85"/>
      <c r="O330" s="133" t="s">
        <v>926</v>
      </c>
      <c r="P330" s="85" t="str">
        <f>VLOOKUP(O330,LISTAITEMS,2,FALSE)</f>
        <v>ninguno</v>
      </c>
      <c r="Q330" s="85">
        <f>VLOOKUP(O330,LISTAITEMS,5,FALSE)</f>
        <v>0</v>
      </c>
      <c r="R330" s="85"/>
      <c r="S330" s="133" t="s">
        <v>926</v>
      </c>
      <c r="T330" s="85" t="str">
        <f>VLOOKUP(S330,LISTAITEMS,2,FALSE)</f>
        <v>ninguno</v>
      </c>
      <c r="U330" s="85">
        <f>VLOOKUP(S330,LISTAITEMS,5,FALSE)</f>
        <v>0</v>
      </c>
      <c r="V330" s="85"/>
    </row>
    <row r="331" spans="1:22" s="90" customFormat="1" ht="14.25" customHeight="1" x14ac:dyDescent="0.25">
      <c r="A331" s="115">
        <v>289</v>
      </c>
      <c r="B331" s="89" t="s">
        <v>587</v>
      </c>
      <c r="C331" s="100"/>
      <c r="D331" s="85"/>
      <c r="E331" s="85">
        <f>'ECONOMIA &amp; PROFESIONES'!G47</f>
        <v>15</v>
      </c>
      <c r="F331" s="188">
        <f t="shared" si="123"/>
        <v>2.5</v>
      </c>
      <c r="G331" s="118" t="s">
        <v>926</v>
      </c>
      <c r="H331" s="85"/>
      <c r="I331" s="85"/>
      <c r="J331" s="87"/>
      <c r="K331" s="134"/>
      <c r="L331" s="85"/>
      <c r="M331" s="85"/>
      <c r="N331" s="87"/>
      <c r="O331" s="134"/>
      <c r="P331" s="85"/>
      <c r="Q331" s="85"/>
      <c r="R331" s="87"/>
      <c r="S331" s="134"/>
      <c r="T331" s="85"/>
      <c r="U331" s="85"/>
      <c r="V331" s="87"/>
    </row>
    <row r="332" spans="1:22" s="108" customFormat="1" ht="14.25" customHeight="1" x14ac:dyDescent="0.25">
      <c r="A332" s="119">
        <v>290</v>
      </c>
      <c r="B332" s="68" t="s">
        <v>588</v>
      </c>
      <c r="C332" s="99">
        <v>1</v>
      </c>
      <c r="D332" s="67"/>
      <c r="E332" s="61">
        <f>(((I332*J332)+(M332*N332)+(Q332*R332)+(U332*V332))/C332)*1.2</f>
        <v>3.7439999999999998</v>
      </c>
      <c r="F332" s="188">
        <f t="shared" si="123"/>
        <v>0.63</v>
      </c>
      <c r="G332" s="118">
        <v>5</v>
      </c>
      <c r="H332" s="59" t="str">
        <f>VLOOKUP(G332,LISTAITEMS,2,FALSE)</f>
        <v>Oak Planks</v>
      </c>
      <c r="I332" s="59">
        <f>VLOOKUP(G332,LISTAITEMS,5,FALSE)</f>
        <v>1.2</v>
      </c>
      <c r="J332" s="84">
        <v>2</v>
      </c>
      <c r="K332" s="132">
        <v>280</v>
      </c>
      <c r="L332" s="107" t="str">
        <f>VLOOKUP(K332,LISTAITEMS,2,FALSE)</f>
        <v>Stick</v>
      </c>
      <c r="M332" s="107">
        <f>VLOOKUP(K332,LISTAITEMS,5,FALSE)</f>
        <v>0.36</v>
      </c>
      <c r="N332" s="84">
        <v>2</v>
      </c>
      <c r="O332" s="132" t="s">
        <v>926</v>
      </c>
      <c r="P332" s="59" t="str">
        <f>VLOOKUP(O332,LISTAITEMS,2,FALSE)</f>
        <v>ninguno</v>
      </c>
      <c r="Q332" s="59">
        <f>VLOOKUP(O332,LISTAITEMS,5,FALSE)</f>
        <v>0</v>
      </c>
      <c r="R332" s="84"/>
      <c r="S332" s="132" t="s">
        <v>926</v>
      </c>
      <c r="T332" s="107" t="str">
        <f>VLOOKUP(S332,LISTAITEMS,2,FALSE)</f>
        <v>ninguno</v>
      </c>
      <c r="U332" s="107">
        <f>VLOOKUP(S332,LISTAITEMS,5,FALSE)</f>
        <v>0</v>
      </c>
      <c r="V332" s="84"/>
    </row>
    <row r="333" spans="1:22" s="108" customFormat="1" ht="14.25" customHeight="1" x14ac:dyDescent="0.25">
      <c r="A333" s="119">
        <v>291</v>
      </c>
      <c r="B333" s="68" t="s">
        <v>589</v>
      </c>
      <c r="C333" s="99">
        <v>1</v>
      </c>
      <c r="D333" s="67"/>
      <c r="E333" s="61">
        <f>(((I333*J333)+(M333*N333)+(Q333*R333)+(U333*V333))/C333)*1.2</f>
        <v>8.0640000000000001</v>
      </c>
      <c r="F333" s="188">
        <f t="shared" si="123"/>
        <v>1.35</v>
      </c>
      <c r="G333" s="118">
        <v>4</v>
      </c>
      <c r="H333" s="59" t="str">
        <f>VLOOKUP(G333,LISTAITEMS,2,FALSE)</f>
        <v>Cobblestone</v>
      </c>
      <c r="I333" s="59">
        <f>VLOOKUP(G333,LISTAITEMS,5,FALSE)</f>
        <v>3</v>
      </c>
      <c r="J333" s="84">
        <v>2</v>
      </c>
      <c r="K333" s="132">
        <v>280</v>
      </c>
      <c r="L333" s="107" t="str">
        <f>VLOOKUP(K333,LISTAITEMS,2,FALSE)</f>
        <v>Stick</v>
      </c>
      <c r="M333" s="107">
        <f>VLOOKUP(K333,LISTAITEMS,5,FALSE)</f>
        <v>0.36</v>
      </c>
      <c r="N333" s="84">
        <v>2</v>
      </c>
      <c r="O333" s="132" t="s">
        <v>926</v>
      </c>
      <c r="P333" s="59" t="str">
        <f>VLOOKUP(O333,LISTAITEMS,2,FALSE)</f>
        <v>ninguno</v>
      </c>
      <c r="Q333" s="59">
        <f>VLOOKUP(O333,LISTAITEMS,5,FALSE)</f>
        <v>0</v>
      </c>
      <c r="R333" s="84"/>
      <c r="S333" s="132" t="s">
        <v>926</v>
      </c>
      <c r="T333" s="107" t="str">
        <f>VLOOKUP(S333,LISTAITEMS,2,FALSE)</f>
        <v>ninguno</v>
      </c>
      <c r="U333" s="107">
        <f>VLOOKUP(S333,LISTAITEMS,5,FALSE)</f>
        <v>0</v>
      </c>
      <c r="V333" s="84"/>
    </row>
    <row r="334" spans="1:22" s="108" customFormat="1" ht="14.25" customHeight="1" x14ac:dyDescent="0.25">
      <c r="A334" s="119">
        <v>292</v>
      </c>
      <c r="B334" s="68" t="s">
        <v>590</v>
      </c>
      <c r="C334" s="99">
        <v>1</v>
      </c>
      <c r="D334" s="67"/>
      <c r="E334" s="61">
        <f>(((I334*J334)+(M334*N334)+(Q334*R334)+(U334*V334))/C334)*1.2</f>
        <v>1920.864</v>
      </c>
      <c r="F334" s="188">
        <f t="shared" si="123"/>
        <v>320.14999999999998</v>
      </c>
      <c r="G334" s="118">
        <v>265</v>
      </c>
      <c r="H334" s="59" t="str">
        <f>VLOOKUP(G334,LISTAITEMS,2,FALSE)</f>
        <v>Iron Ingot</v>
      </c>
      <c r="I334" s="59">
        <f>VLOOKUP(G334,LISTAITEMS,5,FALSE)</f>
        <v>800</v>
      </c>
      <c r="J334" s="84">
        <v>2</v>
      </c>
      <c r="K334" s="132">
        <v>280</v>
      </c>
      <c r="L334" s="107" t="str">
        <f>VLOOKUP(K334,LISTAITEMS,2,FALSE)</f>
        <v>Stick</v>
      </c>
      <c r="M334" s="107">
        <f>VLOOKUP(K334,LISTAITEMS,5,FALSE)</f>
        <v>0.36</v>
      </c>
      <c r="N334" s="84">
        <v>2</v>
      </c>
      <c r="O334" s="132" t="s">
        <v>926</v>
      </c>
      <c r="P334" s="59" t="str">
        <f>VLOOKUP(O334,LISTAITEMS,2,FALSE)</f>
        <v>ninguno</v>
      </c>
      <c r="Q334" s="59">
        <f>VLOOKUP(O334,LISTAITEMS,5,FALSE)</f>
        <v>0</v>
      </c>
      <c r="R334" s="84"/>
      <c r="S334" s="132" t="s">
        <v>926</v>
      </c>
      <c r="T334" s="107" t="str">
        <f>VLOOKUP(S334,LISTAITEMS,2,FALSE)</f>
        <v>ninguno</v>
      </c>
      <c r="U334" s="107">
        <f>VLOOKUP(S334,LISTAITEMS,5,FALSE)</f>
        <v>0</v>
      </c>
      <c r="V334" s="84"/>
    </row>
    <row r="335" spans="1:22" s="108" customFormat="1" ht="14.25" customHeight="1" x14ac:dyDescent="0.25">
      <c r="A335" s="119">
        <v>293</v>
      </c>
      <c r="B335" s="68" t="s">
        <v>591</v>
      </c>
      <c r="C335" s="99">
        <v>1</v>
      </c>
      <c r="D335" s="67"/>
      <c r="E335" s="61">
        <f>(((I335*J335)+(M335*N335)+(Q335*R335)+(U335*V335))/C335)*1.2</f>
        <v>3840.8639999999996</v>
      </c>
      <c r="F335" s="188">
        <f t="shared" si="123"/>
        <v>640.15</v>
      </c>
      <c r="G335" s="118">
        <v>266</v>
      </c>
      <c r="H335" s="59" t="str">
        <f>VLOOKUP(G335,LISTAITEMS,2,FALSE)</f>
        <v>Gold Ingot</v>
      </c>
      <c r="I335" s="59">
        <f>VLOOKUP(G335,LISTAITEMS,5,FALSE)</f>
        <v>1600</v>
      </c>
      <c r="J335" s="84">
        <v>2</v>
      </c>
      <c r="K335" s="132">
        <v>280</v>
      </c>
      <c r="L335" s="107" t="str">
        <f>VLOOKUP(K335,LISTAITEMS,2,FALSE)</f>
        <v>Stick</v>
      </c>
      <c r="M335" s="107">
        <f>VLOOKUP(K335,LISTAITEMS,5,FALSE)</f>
        <v>0.36</v>
      </c>
      <c r="N335" s="84">
        <v>2</v>
      </c>
      <c r="O335" s="132" t="s">
        <v>926</v>
      </c>
      <c r="P335" s="59" t="str">
        <f>VLOOKUP(O335,LISTAITEMS,2,FALSE)</f>
        <v>ninguno</v>
      </c>
      <c r="Q335" s="59">
        <f>VLOOKUP(O335,LISTAITEMS,5,FALSE)</f>
        <v>0</v>
      </c>
      <c r="R335" s="84"/>
      <c r="S335" s="132" t="s">
        <v>926</v>
      </c>
      <c r="T335" s="107" t="str">
        <f>VLOOKUP(S335,LISTAITEMS,2,FALSE)</f>
        <v>ninguno</v>
      </c>
      <c r="U335" s="107">
        <f>VLOOKUP(S335,LISTAITEMS,5,FALSE)</f>
        <v>0</v>
      </c>
      <c r="V335" s="84"/>
    </row>
    <row r="336" spans="1:22" s="108" customFormat="1" ht="14.25" customHeight="1" x14ac:dyDescent="0.25">
      <c r="A336" s="119">
        <v>294</v>
      </c>
      <c r="B336" s="68" t="s">
        <v>592</v>
      </c>
      <c r="C336" s="99">
        <v>1</v>
      </c>
      <c r="D336" s="67"/>
      <c r="E336" s="61">
        <f>(((I336*J336)+(M336*N336)+(Q336*R336)+(U336*V336))/C336)*1.2</f>
        <v>7680.8639999999996</v>
      </c>
      <c r="F336" s="188">
        <f t="shared" si="123"/>
        <v>1280.1500000000001</v>
      </c>
      <c r="G336" s="118">
        <v>264</v>
      </c>
      <c r="H336" s="59" t="str">
        <f>VLOOKUP(G336,LISTAITEMS,2,FALSE)</f>
        <v>Diamond</v>
      </c>
      <c r="I336" s="59">
        <f>VLOOKUP(G336,LISTAITEMS,5,FALSE)</f>
        <v>3200</v>
      </c>
      <c r="J336" s="84">
        <v>2</v>
      </c>
      <c r="K336" s="132">
        <v>280</v>
      </c>
      <c r="L336" s="107" t="str">
        <f>VLOOKUP(K336,LISTAITEMS,2,FALSE)</f>
        <v>Stick</v>
      </c>
      <c r="M336" s="107">
        <f>VLOOKUP(K336,LISTAITEMS,5,FALSE)</f>
        <v>0.36</v>
      </c>
      <c r="N336" s="84">
        <v>2</v>
      </c>
      <c r="O336" s="132" t="s">
        <v>926</v>
      </c>
      <c r="P336" s="59" t="str">
        <f>VLOOKUP(O336,LISTAITEMS,2,FALSE)</f>
        <v>ninguno</v>
      </c>
      <c r="Q336" s="59">
        <f>VLOOKUP(O336,LISTAITEMS,5,FALSE)</f>
        <v>0</v>
      </c>
      <c r="R336" s="84"/>
      <c r="S336" s="132" t="s">
        <v>926</v>
      </c>
      <c r="T336" s="107" t="str">
        <f>VLOOKUP(S336,LISTAITEMS,2,FALSE)</f>
        <v>ninguno</v>
      </c>
      <c r="U336" s="107">
        <f>VLOOKUP(S336,LISTAITEMS,5,FALSE)</f>
        <v>0</v>
      </c>
      <c r="V336" s="84"/>
    </row>
    <row r="337" spans="1:22" s="88" customFormat="1" ht="14.25" customHeight="1" x14ac:dyDescent="0.25">
      <c r="A337" s="115">
        <v>296</v>
      </c>
      <c r="B337" s="89" t="s">
        <v>140</v>
      </c>
      <c r="C337" s="100"/>
      <c r="D337" s="85"/>
      <c r="E337" s="85">
        <f>'ECONOMIA &amp; PROFESIONES'!$I$31</f>
        <v>599</v>
      </c>
      <c r="F337" s="188">
        <f t="shared" si="123"/>
        <v>99.84</v>
      </c>
      <c r="G337" s="118" t="s">
        <v>926</v>
      </c>
      <c r="H337" s="85"/>
      <c r="I337" s="85"/>
      <c r="J337" s="87"/>
      <c r="K337" s="87"/>
      <c r="L337" s="85"/>
      <c r="M337" s="85"/>
      <c r="N337" s="87"/>
      <c r="O337" s="87"/>
      <c r="P337" s="85"/>
      <c r="Q337" s="85"/>
      <c r="R337" s="87"/>
      <c r="S337" s="87"/>
      <c r="T337" s="85"/>
      <c r="U337" s="85"/>
      <c r="V337" s="87"/>
    </row>
    <row r="338" spans="1:22" s="108" customFormat="1" ht="14.25" customHeight="1" x14ac:dyDescent="0.25">
      <c r="A338" s="119">
        <v>297</v>
      </c>
      <c r="B338" s="68" t="s">
        <v>593</v>
      </c>
      <c r="C338" s="99">
        <v>1</v>
      </c>
      <c r="D338" s="67"/>
      <c r="E338" s="61">
        <f t="shared" ref="E338:E354" si="155">(((I338*J338)+(M338*N338)+(Q338*R338)+(U338*V338))/C338)*1.2</f>
        <v>2156.4</v>
      </c>
      <c r="F338" s="188">
        <f t="shared" si="123"/>
        <v>359.4</v>
      </c>
      <c r="G338" s="118">
        <v>296</v>
      </c>
      <c r="H338" s="59" t="str">
        <f t="shared" ref="H338:H354" si="156">VLOOKUP(G338,LISTAITEMS,2,FALSE)</f>
        <v>Wheat</v>
      </c>
      <c r="I338" s="59">
        <f t="shared" ref="I338:I354" si="157">VLOOKUP(G338,LISTAITEMS,5,FALSE)</f>
        <v>599</v>
      </c>
      <c r="J338" s="84">
        <v>3</v>
      </c>
      <c r="K338" s="132" t="s">
        <v>926</v>
      </c>
      <c r="L338" s="107" t="str">
        <f t="shared" ref="L338:L354" si="158">VLOOKUP(K338,LISTAITEMS,2,FALSE)</f>
        <v>ninguno</v>
      </c>
      <c r="M338" s="107">
        <f t="shared" ref="M338:M354" si="159">VLOOKUP(K338,LISTAITEMS,5,FALSE)</f>
        <v>0</v>
      </c>
      <c r="N338" s="84"/>
      <c r="O338" s="132" t="s">
        <v>926</v>
      </c>
      <c r="P338" s="59" t="str">
        <f t="shared" ref="P338:P354" si="160">VLOOKUP(O338,LISTAITEMS,2,FALSE)</f>
        <v>ninguno</v>
      </c>
      <c r="Q338" s="59">
        <f t="shared" ref="Q338:Q354" si="161">VLOOKUP(O338,LISTAITEMS,5,FALSE)</f>
        <v>0</v>
      </c>
      <c r="R338" s="84"/>
      <c r="S338" s="132" t="s">
        <v>926</v>
      </c>
      <c r="T338" s="107" t="str">
        <f t="shared" ref="T338:T354" si="162">VLOOKUP(S338,LISTAITEMS,2,FALSE)</f>
        <v>ninguno</v>
      </c>
      <c r="U338" s="107">
        <f t="shared" ref="U338:U354" si="163">VLOOKUP(S338,LISTAITEMS,5,FALSE)</f>
        <v>0</v>
      </c>
      <c r="V338" s="84"/>
    </row>
    <row r="339" spans="1:22" s="108" customFormat="1" ht="14.25" customHeight="1" x14ac:dyDescent="0.25">
      <c r="A339" s="119">
        <v>298</v>
      </c>
      <c r="B339" s="68" t="s">
        <v>594</v>
      </c>
      <c r="C339" s="99">
        <v>1</v>
      </c>
      <c r="D339" s="67"/>
      <c r="E339" s="61">
        <f t="shared" si="155"/>
        <v>11102.4</v>
      </c>
      <c r="F339" s="188">
        <f t="shared" si="123"/>
        <v>1850.4</v>
      </c>
      <c r="G339" s="118">
        <v>334</v>
      </c>
      <c r="H339" s="59" t="str">
        <f t="shared" si="156"/>
        <v>Leather</v>
      </c>
      <c r="I339" s="59">
        <f t="shared" si="157"/>
        <v>1850.3999999999999</v>
      </c>
      <c r="J339" s="84">
        <v>5</v>
      </c>
      <c r="K339" s="132" t="s">
        <v>926</v>
      </c>
      <c r="L339" s="107" t="str">
        <f t="shared" si="158"/>
        <v>ninguno</v>
      </c>
      <c r="M339" s="107">
        <f t="shared" si="159"/>
        <v>0</v>
      </c>
      <c r="N339" s="84"/>
      <c r="O339" s="132" t="s">
        <v>926</v>
      </c>
      <c r="P339" s="59" t="str">
        <f t="shared" si="160"/>
        <v>ninguno</v>
      </c>
      <c r="Q339" s="59">
        <f t="shared" si="161"/>
        <v>0</v>
      </c>
      <c r="R339" s="84"/>
      <c r="S339" s="132" t="s">
        <v>926</v>
      </c>
      <c r="T339" s="107" t="str">
        <f t="shared" si="162"/>
        <v>ninguno</v>
      </c>
      <c r="U339" s="107">
        <f t="shared" si="163"/>
        <v>0</v>
      </c>
      <c r="V339" s="84"/>
    </row>
    <row r="340" spans="1:22" s="108" customFormat="1" ht="14.25" customHeight="1" x14ac:dyDescent="0.25">
      <c r="A340" s="119">
        <v>299</v>
      </c>
      <c r="B340" s="68" t="s">
        <v>595</v>
      </c>
      <c r="C340" s="99">
        <v>1</v>
      </c>
      <c r="D340" s="67"/>
      <c r="E340" s="61">
        <f t="shared" si="155"/>
        <v>17763.839999999997</v>
      </c>
      <c r="F340" s="188">
        <f t="shared" si="123"/>
        <v>2960.64</v>
      </c>
      <c r="G340" s="118">
        <v>334</v>
      </c>
      <c r="H340" s="59" t="str">
        <f t="shared" si="156"/>
        <v>Leather</v>
      </c>
      <c r="I340" s="59">
        <f t="shared" si="157"/>
        <v>1850.3999999999999</v>
      </c>
      <c r="J340" s="84">
        <v>8</v>
      </c>
      <c r="K340" s="132" t="s">
        <v>926</v>
      </c>
      <c r="L340" s="107" t="str">
        <f t="shared" si="158"/>
        <v>ninguno</v>
      </c>
      <c r="M340" s="107">
        <f t="shared" si="159"/>
        <v>0</v>
      </c>
      <c r="N340" s="84"/>
      <c r="O340" s="132" t="s">
        <v>926</v>
      </c>
      <c r="P340" s="59" t="str">
        <f t="shared" si="160"/>
        <v>ninguno</v>
      </c>
      <c r="Q340" s="59">
        <f t="shared" si="161"/>
        <v>0</v>
      </c>
      <c r="R340" s="84"/>
      <c r="S340" s="132" t="s">
        <v>926</v>
      </c>
      <c r="T340" s="107" t="str">
        <f t="shared" si="162"/>
        <v>ninguno</v>
      </c>
      <c r="U340" s="107">
        <f t="shared" si="163"/>
        <v>0</v>
      </c>
      <c r="V340" s="84"/>
    </row>
    <row r="341" spans="1:22" s="108" customFormat="1" ht="14.25" customHeight="1" x14ac:dyDescent="0.25">
      <c r="A341" s="119">
        <v>300</v>
      </c>
      <c r="B341" s="68" t="s">
        <v>596</v>
      </c>
      <c r="C341" s="99">
        <v>1</v>
      </c>
      <c r="D341" s="67"/>
      <c r="E341" s="61">
        <f t="shared" si="155"/>
        <v>15543.359999999999</v>
      </c>
      <c r="F341" s="188">
        <f t="shared" si="123"/>
        <v>2590.56</v>
      </c>
      <c r="G341" s="118">
        <v>334</v>
      </c>
      <c r="H341" s="59" t="str">
        <f t="shared" si="156"/>
        <v>Leather</v>
      </c>
      <c r="I341" s="59">
        <f t="shared" si="157"/>
        <v>1850.3999999999999</v>
      </c>
      <c r="J341" s="84">
        <v>7</v>
      </c>
      <c r="K341" s="132" t="s">
        <v>926</v>
      </c>
      <c r="L341" s="107" t="str">
        <f t="shared" si="158"/>
        <v>ninguno</v>
      </c>
      <c r="M341" s="107">
        <f t="shared" si="159"/>
        <v>0</v>
      </c>
      <c r="N341" s="84"/>
      <c r="O341" s="132" t="s">
        <v>926</v>
      </c>
      <c r="P341" s="59" t="str">
        <f t="shared" si="160"/>
        <v>ninguno</v>
      </c>
      <c r="Q341" s="59">
        <f t="shared" si="161"/>
        <v>0</v>
      </c>
      <c r="R341" s="84"/>
      <c r="S341" s="132" t="s">
        <v>926</v>
      </c>
      <c r="T341" s="107" t="str">
        <f t="shared" si="162"/>
        <v>ninguno</v>
      </c>
      <c r="U341" s="107">
        <f t="shared" si="163"/>
        <v>0</v>
      </c>
      <c r="V341" s="84"/>
    </row>
    <row r="342" spans="1:22" s="108" customFormat="1" ht="14.25" customHeight="1" x14ac:dyDescent="0.25">
      <c r="A342" s="119">
        <v>301</v>
      </c>
      <c r="B342" s="68" t="s">
        <v>597</v>
      </c>
      <c r="C342" s="99">
        <v>1</v>
      </c>
      <c r="D342" s="67"/>
      <c r="E342" s="61">
        <f t="shared" si="155"/>
        <v>8881.9199999999983</v>
      </c>
      <c r="F342" s="188">
        <f t="shared" si="123"/>
        <v>1480.32</v>
      </c>
      <c r="G342" s="118">
        <v>334</v>
      </c>
      <c r="H342" s="59" t="str">
        <f t="shared" si="156"/>
        <v>Leather</v>
      </c>
      <c r="I342" s="59">
        <f t="shared" si="157"/>
        <v>1850.3999999999999</v>
      </c>
      <c r="J342" s="84">
        <v>4</v>
      </c>
      <c r="K342" s="132" t="s">
        <v>926</v>
      </c>
      <c r="L342" s="107" t="str">
        <f t="shared" si="158"/>
        <v>ninguno</v>
      </c>
      <c r="M342" s="107">
        <f t="shared" si="159"/>
        <v>0</v>
      </c>
      <c r="N342" s="84"/>
      <c r="O342" s="132" t="s">
        <v>926</v>
      </c>
      <c r="P342" s="59" t="str">
        <f t="shared" si="160"/>
        <v>ninguno</v>
      </c>
      <c r="Q342" s="59">
        <f t="shared" si="161"/>
        <v>0</v>
      </c>
      <c r="R342" s="84"/>
      <c r="S342" s="132" t="s">
        <v>926</v>
      </c>
      <c r="T342" s="107" t="str">
        <f t="shared" si="162"/>
        <v>ninguno</v>
      </c>
      <c r="U342" s="107">
        <f t="shared" si="163"/>
        <v>0</v>
      </c>
      <c r="V342" s="84"/>
    </row>
    <row r="343" spans="1:22" s="108" customFormat="1" ht="14.25" customHeight="1" x14ac:dyDescent="0.25">
      <c r="A343" s="119">
        <v>306</v>
      </c>
      <c r="B343" s="68" t="s">
        <v>598</v>
      </c>
      <c r="C343" s="99">
        <v>1</v>
      </c>
      <c r="D343" s="67"/>
      <c r="E343" s="61">
        <f t="shared" si="155"/>
        <v>5765.1839999999993</v>
      </c>
      <c r="F343" s="188">
        <f t="shared" si="123"/>
        <v>960.87</v>
      </c>
      <c r="G343" s="118">
        <v>256</v>
      </c>
      <c r="H343" s="59" t="str">
        <f t="shared" si="156"/>
        <v>Iron Shovel</v>
      </c>
      <c r="I343" s="59">
        <f t="shared" si="157"/>
        <v>960.86400000000003</v>
      </c>
      <c r="J343" s="84">
        <v>5</v>
      </c>
      <c r="K343" s="132" t="s">
        <v>926</v>
      </c>
      <c r="L343" s="107" t="str">
        <f t="shared" si="158"/>
        <v>ninguno</v>
      </c>
      <c r="M343" s="107">
        <f t="shared" si="159"/>
        <v>0</v>
      </c>
      <c r="N343" s="84"/>
      <c r="O343" s="132" t="s">
        <v>926</v>
      </c>
      <c r="P343" s="59" t="str">
        <f t="shared" si="160"/>
        <v>ninguno</v>
      </c>
      <c r="Q343" s="59">
        <f t="shared" si="161"/>
        <v>0</v>
      </c>
      <c r="R343" s="84"/>
      <c r="S343" s="132" t="s">
        <v>926</v>
      </c>
      <c r="T343" s="107" t="str">
        <f t="shared" si="162"/>
        <v>ninguno</v>
      </c>
      <c r="U343" s="107">
        <f t="shared" si="163"/>
        <v>0</v>
      </c>
      <c r="V343" s="84"/>
    </row>
    <row r="344" spans="1:22" s="108" customFormat="1" ht="14.25" customHeight="1" x14ac:dyDescent="0.25">
      <c r="A344" s="119">
        <v>307</v>
      </c>
      <c r="B344" s="68" t="s">
        <v>599</v>
      </c>
      <c r="C344" s="99">
        <v>1</v>
      </c>
      <c r="D344" s="67"/>
      <c r="E344" s="61">
        <f t="shared" si="155"/>
        <v>9224.2944000000007</v>
      </c>
      <c r="F344" s="188">
        <f t="shared" si="123"/>
        <v>1537.39</v>
      </c>
      <c r="G344" s="118">
        <v>256</v>
      </c>
      <c r="H344" s="59" t="str">
        <f t="shared" si="156"/>
        <v>Iron Shovel</v>
      </c>
      <c r="I344" s="59">
        <f t="shared" si="157"/>
        <v>960.86400000000003</v>
      </c>
      <c r="J344" s="84">
        <v>8</v>
      </c>
      <c r="K344" s="132" t="s">
        <v>926</v>
      </c>
      <c r="L344" s="107" t="str">
        <f t="shared" si="158"/>
        <v>ninguno</v>
      </c>
      <c r="M344" s="107">
        <f t="shared" si="159"/>
        <v>0</v>
      </c>
      <c r="N344" s="84"/>
      <c r="O344" s="132" t="s">
        <v>926</v>
      </c>
      <c r="P344" s="59" t="str">
        <f t="shared" si="160"/>
        <v>ninguno</v>
      </c>
      <c r="Q344" s="59">
        <f t="shared" si="161"/>
        <v>0</v>
      </c>
      <c r="R344" s="84"/>
      <c r="S344" s="132" t="s">
        <v>926</v>
      </c>
      <c r="T344" s="107" t="str">
        <f t="shared" si="162"/>
        <v>ninguno</v>
      </c>
      <c r="U344" s="107">
        <f t="shared" si="163"/>
        <v>0</v>
      </c>
      <c r="V344" s="84"/>
    </row>
    <row r="345" spans="1:22" s="108" customFormat="1" ht="14.25" customHeight="1" x14ac:dyDescent="0.25">
      <c r="A345" s="119">
        <v>308</v>
      </c>
      <c r="B345" s="68" t="s">
        <v>600</v>
      </c>
      <c r="C345" s="99">
        <v>1</v>
      </c>
      <c r="D345" s="67"/>
      <c r="E345" s="61">
        <f t="shared" si="155"/>
        <v>8071.2576000000008</v>
      </c>
      <c r="F345" s="188">
        <f t="shared" si="123"/>
        <v>1345.21</v>
      </c>
      <c r="G345" s="118">
        <v>256</v>
      </c>
      <c r="H345" s="59" t="str">
        <f t="shared" si="156"/>
        <v>Iron Shovel</v>
      </c>
      <c r="I345" s="59">
        <f t="shared" si="157"/>
        <v>960.86400000000003</v>
      </c>
      <c r="J345" s="84">
        <v>7</v>
      </c>
      <c r="K345" s="132" t="s">
        <v>926</v>
      </c>
      <c r="L345" s="107" t="str">
        <f t="shared" si="158"/>
        <v>ninguno</v>
      </c>
      <c r="M345" s="107">
        <f t="shared" si="159"/>
        <v>0</v>
      </c>
      <c r="N345" s="84"/>
      <c r="O345" s="132" t="s">
        <v>926</v>
      </c>
      <c r="P345" s="59" t="str">
        <f t="shared" si="160"/>
        <v>ninguno</v>
      </c>
      <c r="Q345" s="59">
        <f t="shared" si="161"/>
        <v>0</v>
      </c>
      <c r="R345" s="84"/>
      <c r="S345" s="132" t="s">
        <v>926</v>
      </c>
      <c r="T345" s="107" t="str">
        <f t="shared" si="162"/>
        <v>ninguno</v>
      </c>
      <c r="U345" s="107">
        <f t="shared" si="163"/>
        <v>0</v>
      </c>
      <c r="V345" s="84"/>
    </row>
    <row r="346" spans="1:22" s="108" customFormat="1" ht="14.25" customHeight="1" x14ac:dyDescent="0.25">
      <c r="A346" s="119">
        <v>309</v>
      </c>
      <c r="B346" s="68" t="s">
        <v>601</v>
      </c>
      <c r="C346" s="99">
        <v>1</v>
      </c>
      <c r="D346" s="67"/>
      <c r="E346" s="61">
        <f t="shared" si="155"/>
        <v>4612.1472000000003</v>
      </c>
      <c r="F346" s="188">
        <f t="shared" si="123"/>
        <v>768.7</v>
      </c>
      <c r="G346" s="118">
        <v>256</v>
      </c>
      <c r="H346" s="59" t="str">
        <f t="shared" si="156"/>
        <v>Iron Shovel</v>
      </c>
      <c r="I346" s="59">
        <f t="shared" si="157"/>
        <v>960.86400000000003</v>
      </c>
      <c r="J346" s="84">
        <v>4</v>
      </c>
      <c r="K346" s="132" t="s">
        <v>926</v>
      </c>
      <c r="L346" s="107" t="str">
        <f t="shared" si="158"/>
        <v>ninguno</v>
      </c>
      <c r="M346" s="107">
        <f t="shared" si="159"/>
        <v>0</v>
      </c>
      <c r="N346" s="84"/>
      <c r="O346" s="132" t="s">
        <v>926</v>
      </c>
      <c r="P346" s="59" t="str">
        <f t="shared" si="160"/>
        <v>ninguno</v>
      </c>
      <c r="Q346" s="59">
        <f t="shared" si="161"/>
        <v>0</v>
      </c>
      <c r="R346" s="84"/>
      <c r="S346" s="132" t="s">
        <v>926</v>
      </c>
      <c r="T346" s="107" t="str">
        <f t="shared" si="162"/>
        <v>ninguno</v>
      </c>
      <c r="U346" s="107">
        <f t="shared" si="163"/>
        <v>0</v>
      </c>
      <c r="V346" s="84"/>
    </row>
    <row r="347" spans="1:22" s="108" customFormat="1" ht="14.25" customHeight="1" x14ac:dyDescent="0.25">
      <c r="A347" s="119">
        <v>310</v>
      </c>
      <c r="B347" s="68" t="s">
        <v>602</v>
      </c>
      <c r="C347" s="99">
        <v>1</v>
      </c>
      <c r="D347" s="67"/>
      <c r="E347" s="61">
        <f t="shared" si="155"/>
        <v>19200</v>
      </c>
      <c r="F347" s="188">
        <f t="shared" si="123"/>
        <v>3200</v>
      </c>
      <c r="G347" s="118">
        <v>264</v>
      </c>
      <c r="H347" s="59" t="str">
        <f t="shared" si="156"/>
        <v>Diamond</v>
      </c>
      <c r="I347" s="59">
        <f t="shared" si="157"/>
        <v>3200</v>
      </c>
      <c r="J347" s="84">
        <v>5</v>
      </c>
      <c r="K347" s="132" t="s">
        <v>926</v>
      </c>
      <c r="L347" s="107" t="str">
        <f t="shared" si="158"/>
        <v>ninguno</v>
      </c>
      <c r="M347" s="107">
        <f t="shared" si="159"/>
        <v>0</v>
      </c>
      <c r="N347" s="84"/>
      <c r="O347" s="132" t="s">
        <v>926</v>
      </c>
      <c r="P347" s="59" t="str">
        <f t="shared" si="160"/>
        <v>ninguno</v>
      </c>
      <c r="Q347" s="59">
        <f t="shared" si="161"/>
        <v>0</v>
      </c>
      <c r="R347" s="84"/>
      <c r="S347" s="132" t="s">
        <v>926</v>
      </c>
      <c r="T347" s="107" t="str">
        <f t="shared" si="162"/>
        <v>ninguno</v>
      </c>
      <c r="U347" s="107">
        <f t="shared" si="163"/>
        <v>0</v>
      </c>
      <c r="V347" s="84"/>
    </row>
    <row r="348" spans="1:22" s="108" customFormat="1" ht="14.25" customHeight="1" x14ac:dyDescent="0.25">
      <c r="A348" s="119">
        <v>311</v>
      </c>
      <c r="B348" s="68" t="s">
        <v>603</v>
      </c>
      <c r="C348" s="99">
        <v>1</v>
      </c>
      <c r="D348" s="67"/>
      <c r="E348" s="61">
        <f t="shared" si="155"/>
        <v>30720</v>
      </c>
      <c r="F348" s="188">
        <f t="shared" si="123"/>
        <v>5120</v>
      </c>
      <c r="G348" s="118">
        <v>264</v>
      </c>
      <c r="H348" s="59" t="str">
        <f t="shared" si="156"/>
        <v>Diamond</v>
      </c>
      <c r="I348" s="59">
        <f t="shared" si="157"/>
        <v>3200</v>
      </c>
      <c r="J348" s="84">
        <v>8</v>
      </c>
      <c r="K348" s="132" t="s">
        <v>926</v>
      </c>
      <c r="L348" s="107" t="str">
        <f t="shared" si="158"/>
        <v>ninguno</v>
      </c>
      <c r="M348" s="107">
        <f t="shared" si="159"/>
        <v>0</v>
      </c>
      <c r="N348" s="84"/>
      <c r="O348" s="132" t="s">
        <v>926</v>
      </c>
      <c r="P348" s="59" t="str">
        <f t="shared" si="160"/>
        <v>ninguno</v>
      </c>
      <c r="Q348" s="59">
        <f t="shared" si="161"/>
        <v>0</v>
      </c>
      <c r="R348" s="84"/>
      <c r="S348" s="132" t="s">
        <v>926</v>
      </c>
      <c r="T348" s="107" t="str">
        <f t="shared" si="162"/>
        <v>ninguno</v>
      </c>
      <c r="U348" s="107">
        <f t="shared" si="163"/>
        <v>0</v>
      </c>
      <c r="V348" s="84"/>
    </row>
    <row r="349" spans="1:22" s="108" customFormat="1" ht="14.25" customHeight="1" x14ac:dyDescent="0.25">
      <c r="A349" s="119">
        <v>312</v>
      </c>
      <c r="B349" s="68" t="s">
        <v>604</v>
      </c>
      <c r="C349" s="99">
        <v>1</v>
      </c>
      <c r="D349" s="67"/>
      <c r="E349" s="61">
        <f t="shared" si="155"/>
        <v>26880</v>
      </c>
      <c r="F349" s="188">
        <f t="shared" si="123"/>
        <v>4480</v>
      </c>
      <c r="G349" s="118">
        <v>264</v>
      </c>
      <c r="H349" s="59" t="str">
        <f t="shared" si="156"/>
        <v>Diamond</v>
      </c>
      <c r="I349" s="59">
        <f t="shared" si="157"/>
        <v>3200</v>
      </c>
      <c r="J349" s="84">
        <v>7</v>
      </c>
      <c r="K349" s="132" t="s">
        <v>926</v>
      </c>
      <c r="L349" s="107" t="str">
        <f t="shared" si="158"/>
        <v>ninguno</v>
      </c>
      <c r="M349" s="107">
        <f t="shared" si="159"/>
        <v>0</v>
      </c>
      <c r="N349" s="84"/>
      <c r="O349" s="132" t="s">
        <v>926</v>
      </c>
      <c r="P349" s="59" t="str">
        <f t="shared" si="160"/>
        <v>ninguno</v>
      </c>
      <c r="Q349" s="59">
        <f t="shared" si="161"/>
        <v>0</v>
      </c>
      <c r="R349" s="84"/>
      <c r="S349" s="132" t="s">
        <v>926</v>
      </c>
      <c r="T349" s="107" t="str">
        <f t="shared" si="162"/>
        <v>ninguno</v>
      </c>
      <c r="U349" s="107">
        <f t="shared" si="163"/>
        <v>0</v>
      </c>
      <c r="V349" s="84"/>
    </row>
    <row r="350" spans="1:22" s="108" customFormat="1" ht="14.25" customHeight="1" x14ac:dyDescent="0.25">
      <c r="A350" s="119">
        <v>313</v>
      </c>
      <c r="B350" s="68" t="s">
        <v>605</v>
      </c>
      <c r="C350" s="99">
        <v>1</v>
      </c>
      <c r="D350" s="67"/>
      <c r="E350" s="61">
        <f t="shared" si="155"/>
        <v>15360</v>
      </c>
      <c r="F350" s="188">
        <f t="shared" si="123"/>
        <v>2560</v>
      </c>
      <c r="G350" s="118">
        <v>264</v>
      </c>
      <c r="H350" s="59" t="str">
        <f t="shared" si="156"/>
        <v>Diamond</v>
      </c>
      <c r="I350" s="59">
        <f t="shared" si="157"/>
        <v>3200</v>
      </c>
      <c r="J350" s="84">
        <v>4</v>
      </c>
      <c r="K350" s="132" t="s">
        <v>926</v>
      </c>
      <c r="L350" s="107" t="str">
        <f t="shared" si="158"/>
        <v>ninguno</v>
      </c>
      <c r="M350" s="107">
        <f t="shared" si="159"/>
        <v>0</v>
      </c>
      <c r="N350" s="84"/>
      <c r="O350" s="132" t="s">
        <v>926</v>
      </c>
      <c r="P350" s="59" t="str">
        <f t="shared" si="160"/>
        <v>ninguno</v>
      </c>
      <c r="Q350" s="59">
        <f t="shared" si="161"/>
        <v>0</v>
      </c>
      <c r="R350" s="84"/>
      <c r="S350" s="132" t="s">
        <v>926</v>
      </c>
      <c r="T350" s="107" t="str">
        <f t="shared" si="162"/>
        <v>ninguno</v>
      </c>
      <c r="U350" s="107">
        <f t="shared" si="163"/>
        <v>0</v>
      </c>
      <c r="V350" s="84"/>
    </row>
    <row r="351" spans="1:22" s="108" customFormat="1" ht="14.25" customHeight="1" x14ac:dyDescent="0.25">
      <c r="A351" s="119">
        <v>314</v>
      </c>
      <c r="B351" s="68" t="s">
        <v>606</v>
      </c>
      <c r="C351" s="99">
        <v>1</v>
      </c>
      <c r="D351" s="67"/>
      <c r="E351" s="61">
        <f t="shared" si="155"/>
        <v>9600</v>
      </c>
      <c r="F351" s="188">
        <f t="shared" si="123"/>
        <v>1600</v>
      </c>
      <c r="G351" s="118">
        <v>266</v>
      </c>
      <c r="H351" s="59" t="str">
        <f t="shared" si="156"/>
        <v>Gold Ingot</v>
      </c>
      <c r="I351" s="59">
        <f t="shared" si="157"/>
        <v>1600</v>
      </c>
      <c r="J351" s="84">
        <v>5</v>
      </c>
      <c r="K351" s="132" t="s">
        <v>926</v>
      </c>
      <c r="L351" s="107" t="str">
        <f t="shared" si="158"/>
        <v>ninguno</v>
      </c>
      <c r="M351" s="107">
        <f t="shared" si="159"/>
        <v>0</v>
      </c>
      <c r="N351" s="84"/>
      <c r="O351" s="132" t="s">
        <v>926</v>
      </c>
      <c r="P351" s="59" t="str">
        <f t="shared" si="160"/>
        <v>ninguno</v>
      </c>
      <c r="Q351" s="59">
        <f t="shared" si="161"/>
        <v>0</v>
      </c>
      <c r="R351" s="84"/>
      <c r="S351" s="132" t="s">
        <v>926</v>
      </c>
      <c r="T351" s="107" t="str">
        <f t="shared" si="162"/>
        <v>ninguno</v>
      </c>
      <c r="U351" s="107">
        <f t="shared" si="163"/>
        <v>0</v>
      </c>
      <c r="V351" s="84"/>
    </row>
    <row r="352" spans="1:22" s="108" customFormat="1" ht="14.25" customHeight="1" x14ac:dyDescent="0.25">
      <c r="A352" s="119">
        <v>315</v>
      </c>
      <c r="B352" s="68" t="s">
        <v>607</v>
      </c>
      <c r="C352" s="99">
        <v>1</v>
      </c>
      <c r="D352" s="67"/>
      <c r="E352" s="61">
        <f t="shared" si="155"/>
        <v>15360</v>
      </c>
      <c r="F352" s="188">
        <f t="shared" si="123"/>
        <v>2560</v>
      </c>
      <c r="G352" s="118">
        <v>266</v>
      </c>
      <c r="H352" s="59" t="str">
        <f t="shared" si="156"/>
        <v>Gold Ingot</v>
      </c>
      <c r="I352" s="59">
        <f t="shared" si="157"/>
        <v>1600</v>
      </c>
      <c r="J352" s="84">
        <v>8</v>
      </c>
      <c r="K352" s="132" t="s">
        <v>926</v>
      </c>
      <c r="L352" s="107" t="str">
        <f t="shared" si="158"/>
        <v>ninguno</v>
      </c>
      <c r="M352" s="107">
        <f t="shared" si="159"/>
        <v>0</v>
      </c>
      <c r="N352" s="84"/>
      <c r="O352" s="132" t="s">
        <v>926</v>
      </c>
      <c r="P352" s="59" t="str">
        <f t="shared" si="160"/>
        <v>ninguno</v>
      </c>
      <c r="Q352" s="59">
        <f t="shared" si="161"/>
        <v>0</v>
      </c>
      <c r="R352" s="84"/>
      <c r="S352" s="132" t="s">
        <v>926</v>
      </c>
      <c r="T352" s="107" t="str">
        <f t="shared" si="162"/>
        <v>ninguno</v>
      </c>
      <c r="U352" s="107">
        <f t="shared" si="163"/>
        <v>0</v>
      </c>
      <c r="V352" s="84"/>
    </row>
    <row r="353" spans="1:23" s="108" customFormat="1" ht="14.25" customHeight="1" x14ac:dyDescent="0.25">
      <c r="A353" s="119">
        <v>316</v>
      </c>
      <c r="B353" s="68" t="s">
        <v>608</v>
      </c>
      <c r="C353" s="99">
        <v>1</v>
      </c>
      <c r="D353" s="67"/>
      <c r="E353" s="61">
        <f t="shared" si="155"/>
        <v>13440</v>
      </c>
      <c r="F353" s="188">
        <f t="shared" si="123"/>
        <v>2240</v>
      </c>
      <c r="G353" s="118">
        <v>266</v>
      </c>
      <c r="H353" s="59" t="str">
        <f t="shared" si="156"/>
        <v>Gold Ingot</v>
      </c>
      <c r="I353" s="59">
        <f t="shared" si="157"/>
        <v>1600</v>
      </c>
      <c r="J353" s="84">
        <v>7</v>
      </c>
      <c r="K353" s="132" t="s">
        <v>926</v>
      </c>
      <c r="L353" s="107" t="str">
        <f t="shared" si="158"/>
        <v>ninguno</v>
      </c>
      <c r="M353" s="107">
        <f t="shared" si="159"/>
        <v>0</v>
      </c>
      <c r="N353" s="84"/>
      <c r="O353" s="132" t="s">
        <v>926</v>
      </c>
      <c r="P353" s="59" t="str">
        <f t="shared" si="160"/>
        <v>ninguno</v>
      </c>
      <c r="Q353" s="59">
        <f t="shared" si="161"/>
        <v>0</v>
      </c>
      <c r="R353" s="84"/>
      <c r="S353" s="132" t="s">
        <v>926</v>
      </c>
      <c r="T353" s="107" t="str">
        <f t="shared" si="162"/>
        <v>ninguno</v>
      </c>
      <c r="U353" s="107">
        <f t="shared" si="163"/>
        <v>0</v>
      </c>
      <c r="V353" s="84"/>
    </row>
    <row r="354" spans="1:23" s="108" customFormat="1" ht="14.25" customHeight="1" x14ac:dyDescent="0.25">
      <c r="A354" s="119">
        <v>317</v>
      </c>
      <c r="B354" s="68" t="s">
        <v>609</v>
      </c>
      <c r="C354" s="99">
        <v>1</v>
      </c>
      <c r="D354" s="67"/>
      <c r="E354" s="61">
        <f t="shared" si="155"/>
        <v>7680</v>
      </c>
      <c r="F354" s="188">
        <f t="shared" si="123"/>
        <v>1280</v>
      </c>
      <c r="G354" s="118">
        <v>266</v>
      </c>
      <c r="H354" s="59" t="str">
        <f t="shared" si="156"/>
        <v>Gold Ingot</v>
      </c>
      <c r="I354" s="59">
        <f t="shared" si="157"/>
        <v>1600</v>
      </c>
      <c r="J354" s="84">
        <v>4</v>
      </c>
      <c r="K354" s="132" t="s">
        <v>926</v>
      </c>
      <c r="L354" s="107" t="str">
        <f t="shared" si="158"/>
        <v>ninguno</v>
      </c>
      <c r="M354" s="107">
        <f t="shared" si="159"/>
        <v>0</v>
      </c>
      <c r="N354" s="84"/>
      <c r="O354" s="132" t="s">
        <v>926</v>
      </c>
      <c r="P354" s="59" t="str">
        <f t="shared" si="160"/>
        <v>ninguno</v>
      </c>
      <c r="Q354" s="59">
        <f t="shared" si="161"/>
        <v>0</v>
      </c>
      <c r="R354" s="84"/>
      <c r="S354" s="132" t="s">
        <v>926</v>
      </c>
      <c r="T354" s="107" t="str">
        <f t="shared" si="162"/>
        <v>ninguno</v>
      </c>
      <c r="U354" s="107">
        <f t="shared" si="163"/>
        <v>0</v>
      </c>
      <c r="V354" s="84"/>
    </row>
    <row r="355" spans="1:23" s="114" customFormat="1" ht="14.25" customHeight="1" x14ac:dyDescent="0.25">
      <c r="A355" s="119">
        <v>318</v>
      </c>
      <c r="B355" s="68" t="s">
        <v>610</v>
      </c>
      <c r="C355" s="99">
        <v>1</v>
      </c>
      <c r="D355" s="67"/>
      <c r="E355" s="61">
        <f t="shared" ref="E355" si="164">(((I355*J355)+(M355*N355)+(Q355*R355)+(U355*V355))/C355)*1.2</f>
        <v>3.5999999999999996</v>
      </c>
      <c r="F355" s="188">
        <f t="shared" ref="F355" si="165">ROUNDUP(E355/6,2)</f>
        <v>0.6</v>
      </c>
      <c r="G355" s="118">
        <v>13</v>
      </c>
      <c r="H355" s="59" t="str">
        <f t="shared" ref="H355" si="166">VLOOKUP(G355,LISTAITEMS,2,FALSE)</f>
        <v>Gravel</v>
      </c>
      <c r="I355" s="59">
        <f t="shared" ref="I355" si="167">VLOOKUP(G355,LISTAITEMS,5,FALSE)</f>
        <v>3</v>
      </c>
      <c r="J355" s="84">
        <v>1</v>
      </c>
      <c r="K355" s="132" t="s">
        <v>926</v>
      </c>
      <c r="L355" s="182" t="str">
        <f t="shared" ref="L355" si="168">VLOOKUP(K355,LISTAITEMS,2,FALSE)</f>
        <v>ninguno</v>
      </c>
      <c r="M355" s="182">
        <f t="shared" ref="M355" si="169">VLOOKUP(K355,LISTAITEMS,5,FALSE)</f>
        <v>0</v>
      </c>
      <c r="N355" s="84"/>
      <c r="O355" s="132" t="s">
        <v>926</v>
      </c>
      <c r="P355" s="59" t="str">
        <f t="shared" ref="P355" si="170">VLOOKUP(O355,LISTAITEMS,2,FALSE)</f>
        <v>ninguno</v>
      </c>
      <c r="Q355" s="59">
        <f t="shared" ref="Q355" si="171">VLOOKUP(O355,LISTAITEMS,5,FALSE)</f>
        <v>0</v>
      </c>
      <c r="R355" s="84"/>
      <c r="S355" s="132" t="s">
        <v>926</v>
      </c>
      <c r="T355" s="182" t="str">
        <f t="shared" ref="T355" si="172">VLOOKUP(S355,LISTAITEMS,2,FALSE)</f>
        <v>ninguno</v>
      </c>
      <c r="U355" s="182">
        <f t="shared" ref="U355" si="173">VLOOKUP(S355,LISTAITEMS,5,FALSE)</f>
        <v>0</v>
      </c>
      <c r="V355" s="84"/>
      <c r="W355" s="183"/>
    </row>
    <row r="356" spans="1:23" s="88" customFormat="1" ht="14.25" customHeight="1" x14ac:dyDescent="0.25">
      <c r="A356" s="115">
        <v>319</v>
      </c>
      <c r="B356" s="89" t="s">
        <v>611</v>
      </c>
      <c r="C356" s="100"/>
      <c r="D356" s="85"/>
      <c r="E356" s="85">
        <f>'ECONOMIA &amp; PROFESIONES'!$K$30</f>
        <v>599</v>
      </c>
      <c r="F356" s="188">
        <f t="shared" si="123"/>
        <v>99.84</v>
      </c>
      <c r="G356" s="118" t="s">
        <v>926</v>
      </c>
      <c r="H356" s="85"/>
      <c r="I356" s="85"/>
      <c r="J356" s="87"/>
      <c r="K356" s="87"/>
      <c r="L356" s="85"/>
      <c r="M356" s="85"/>
      <c r="N356" s="87"/>
      <c r="O356" s="87"/>
      <c r="P356" s="85"/>
      <c r="Q356" s="85"/>
      <c r="R356" s="87"/>
      <c r="S356" s="87"/>
      <c r="T356" s="85"/>
      <c r="U356" s="85"/>
      <c r="V356" s="87"/>
    </row>
    <row r="357" spans="1:23" s="108" customFormat="1" ht="14.25" customHeight="1" x14ac:dyDescent="0.25">
      <c r="A357" s="119">
        <v>320</v>
      </c>
      <c r="B357" s="68" t="s">
        <v>612</v>
      </c>
      <c r="C357" s="99">
        <v>1</v>
      </c>
      <c r="D357" s="67"/>
      <c r="E357" s="61">
        <f t="shared" ref="E357:E364" si="174">(((I357*J357)+(M357*N357)+(Q357*R357)+(U357*V357))/C357)*1.2</f>
        <v>718.8</v>
      </c>
      <c r="F357" s="188">
        <f t="shared" si="123"/>
        <v>119.8</v>
      </c>
      <c r="G357" s="118">
        <v>319</v>
      </c>
      <c r="H357" s="59" t="str">
        <f t="shared" ref="H357:H366" si="175">VLOOKUP(G357,LISTAITEMS,2,FALSE)</f>
        <v>Raw Porkchop</v>
      </c>
      <c r="I357" s="59">
        <f t="shared" ref="I357:I366" si="176">VLOOKUP(G357,LISTAITEMS,5,FALSE)</f>
        <v>599</v>
      </c>
      <c r="J357" s="84">
        <v>1</v>
      </c>
      <c r="K357" s="132" t="s">
        <v>926</v>
      </c>
      <c r="L357" s="107" t="str">
        <f t="shared" ref="L357:L366" si="177">VLOOKUP(K357,LISTAITEMS,2,FALSE)</f>
        <v>ninguno</v>
      </c>
      <c r="M357" s="107">
        <f t="shared" ref="M357:M366" si="178">VLOOKUP(K357,LISTAITEMS,5,FALSE)</f>
        <v>0</v>
      </c>
      <c r="N357" s="84"/>
      <c r="O357" s="132" t="s">
        <v>926</v>
      </c>
      <c r="P357" s="59" t="str">
        <f t="shared" ref="P357:P366" si="179">VLOOKUP(O357,LISTAITEMS,2,FALSE)</f>
        <v>ninguno</v>
      </c>
      <c r="Q357" s="59">
        <f t="shared" ref="Q357:Q366" si="180">VLOOKUP(O357,LISTAITEMS,5,FALSE)</f>
        <v>0</v>
      </c>
      <c r="R357" s="84"/>
      <c r="S357" s="132" t="s">
        <v>926</v>
      </c>
      <c r="T357" s="107" t="str">
        <f t="shared" ref="T357:T366" si="181">VLOOKUP(S357,LISTAITEMS,2,FALSE)</f>
        <v>ninguno</v>
      </c>
      <c r="U357" s="107">
        <f t="shared" ref="U357:U366" si="182">VLOOKUP(S357,LISTAITEMS,5,FALSE)</f>
        <v>0</v>
      </c>
      <c r="V357" s="84"/>
    </row>
    <row r="358" spans="1:23" s="108" customFormat="1" ht="14.25" customHeight="1" x14ac:dyDescent="0.25">
      <c r="A358" s="119">
        <v>321</v>
      </c>
      <c r="B358" s="68" t="s">
        <v>613</v>
      </c>
      <c r="C358" s="99">
        <v>1</v>
      </c>
      <c r="D358" s="67"/>
      <c r="E358" s="61">
        <f t="shared" si="174"/>
        <v>29.375999999999994</v>
      </c>
      <c r="F358" s="188">
        <f t="shared" si="123"/>
        <v>4.8999999999999995</v>
      </c>
      <c r="G358" s="118">
        <v>280</v>
      </c>
      <c r="H358" s="59" t="str">
        <f t="shared" si="175"/>
        <v>Stick</v>
      </c>
      <c r="I358" s="59">
        <f t="shared" si="176"/>
        <v>0.36</v>
      </c>
      <c r="J358" s="84">
        <v>8</v>
      </c>
      <c r="K358" s="132">
        <v>35</v>
      </c>
      <c r="L358" s="107" t="str">
        <f t="shared" si="177"/>
        <v>Wool</v>
      </c>
      <c r="M358" s="107">
        <f t="shared" si="178"/>
        <v>21.599999999999998</v>
      </c>
      <c r="N358" s="84">
        <v>1</v>
      </c>
      <c r="O358" s="132" t="s">
        <v>926</v>
      </c>
      <c r="P358" s="59" t="str">
        <f t="shared" si="179"/>
        <v>ninguno</v>
      </c>
      <c r="Q358" s="59">
        <f t="shared" si="180"/>
        <v>0</v>
      </c>
      <c r="R358" s="84"/>
      <c r="S358" s="132" t="s">
        <v>926</v>
      </c>
      <c r="T358" s="107" t="str">
        <f t="shared" si="181"/>
        <v>ninguno</v>
      </c>
      <c r="U358" s="107">
        <f t="shared" si="182"/>
        <v>0</v>
      </c>
      <c r="V358" s="84"/>
    </row>
    <row r="359" spans="1:23" s="108" customFormat="1" ht="14.25" customHeight="1" x14ac:dyDescent="0.25">
      <c r="A359" s="119">
        <v>322</v>
      </c>
      <c r="B359" s="68" t="s">
        <v>614</v>
      </c>
      <c r="C359" s="99">
        <v>1</v>
      </c>
      <c r="D359" s="67"/>
      <c r="E359" s="61">
        <f t="shared" si="174"/>
        <v>105.6</v>
      </c>
      <c r="F359" s="188">
        <f t="shared" ref="F359:F437" si="183">ROUNDUP(E359/6,2)</f>
        <v>17.600000000000001</v>
      </c>
      <c r="G359" s="118">
        <v>371</v>
      </c>
      <c r="H359" s="59" t="str">
        <f t="shared" si="175"/>
        <v>Gold Nugget</v>
      </c>
      <c r="I359" s="59">
        <f t="shared" si="176"/>
        <v>10.5</v>
      </c>
      <c r="J359" s="84">
        <v>8</v>
      </c>
      <c r="K359" s="132">
        <v>260</v>
      </c>
      <c r="L359" s="107" t="str">
        <f t="shared" si="177"/>
        <v>Apple</v>
      </c>
      <c r="M359" s="107">
        <f t="shared" si="178"/>
        <v>4</v>
      </c>
      <c r="N359" s="84">
        <v>1</v>
      </c>
      <c r="O359" s="132" t="s">
        <v>926</v>
      </c>
      <c r="P359" s="59" t="str">
        <f t="shared" si="179"/>
        <v>ninguno</v>
      </c>
      <c r="Q359" s="59">
        <f t="shared" si="180"/>
        <v>0</v>
      </c>
      <c r="R359" s="84"/>
      <c r="S359" s="132" t="s">
        <v>926</v>
      </c>
      <c r="T359" s="107" t="str">
        <f t="shared" si="181"/>
        <v>ninguno</v>
      </c>
      <c r="U359" s="107">
        <f t="shared" si="182"/>
        <v>0</v>
      </c>
      <c r="V359" s="84"/>
    </row>
    <row r="360" spans="1:23" s="108" customFormat="1" ht="14.25" customHeight="1" x14ac:dyDescent="0.25">
      <c r="A360" s="119" t="s">
        <v>616</v>
      </c>
      <c r="B360" s="68" t="s">
        <v>615</v>
      </c>
      <c r="C360" s="99">
        <v>1</v>
      </c>
      <c r="D360" s="67"/>
      <c r="E360" s="61">
        <f t="shared" si="174"/>
        <v>165892.79999999999</v>
      </c>
      <c r="F360" s="188">
        <f t="shared" si="183"/>
        <v>27648.799999999999</v>
      </c>
      <c r="G360" s="118">
        <v>41</v>
      </c>
      <c r="H360" s="59" t="str">
        <f t="shared" si="175"/>
        <v>Block of Gold</v>
      </c>
      <c r="I360" s="59">
        <f t="shared" si="176"/>
        <v>17280</v>
      </c>
      <c r="J360" s="84">
        <v>8</v>
      </c>
      <c r="K360" s="132">
        <v>260</v>
      </c>
      <c r="L360" s="107" t="str">
        <f t="shared" si="177"/>
        <v>Apple</v>
      </c>
      <c r="M360" s="107">
        <f t="shared" si="178"/>
        <v>4</v>
      </c>
      <c r="N360" s="84">
        <v>1</v>
      </c>
      <c r="O360" s="132" t="s">
        <v>926</v>
      </c>
      <c r="P360" s="59" t="str">
        <f t="shared" si="179"/>
        <v>ninguno</v>
      </c>
      <c r="Q360" s="59">
        <f t="shared" si="180"/>
        <v>0</v>
      </c>
      <c r="R360" s="84"/>
      <c r="S360" s="132" t="s">
        <v>926</v>
      </c>
      <c r="T360" s="107" t="str">
        <f t="shared" si="181"/>
        <v>ninguno</v>
      </c>
      <c r="U360" s="107">
        <f t="shared" si="182"/>
        <v>0</v>
      </c>
      <c r="V360" s="84"/>
    </row>
    <row r="361" spans="1:23" s="108" customFormat="1" ht="14.25" customHeight="1" x14ac:dyDescent="0.25">
      <c r="A361" s="119">
        <v>323</v>
      </c>
      <c r="B361" s="68" t="s">
        <v>617</v>
      </c>
      <c r="C361" s="99">
        <v>3</v>
      </c>
      <c r="D361" s="67"/>
      <c r="E361" s="61">
        <f t="shared" si="174"/>
        <v>3.024</v>
      </c>
      <c r="F361" s="188">
        <f t="shared" si="183"/>
        <v>0.51</v>
      </c>
      <c r="G361" s="118">
        <v>280</v>
      </c>
      <c r="H361" s="59" t="str">
        <f t="shared" si="175"/>
        <v>Stick</v>
      </c>
      <c r="I361" s="59">
        <f t="shared" si="176"/>
        <v>0.36</v>
      </c>
      <c r="J361" s="84">
        <v>1</v>
      </c>
      <c r="K361" s="132">
        <v>5</v>
      </c>
      <c r="L361" s="107" t="str">
        <f t="shared" si="177"/>
        <v>Oak Planks</v>
      </c>
      <c r="M361" s="107">
        <f t="shared" si="178"/>
        <v>1.2</v>
      </c>
      <c r="N361" s="84">
        <v>6</v>
      </c>
      <c r="O361" s="132" t="s">
        <v>926</v>
      </c>
      <c r="P361" s="59" t="str">
        <f t="shared" si="179"/>
        <v>ninguno</v>
      </c>
      <c r="Q361" s="59">
        <f t="shared" si="180"/>
        <v>0</v>
      </c>
      <c r="R361" s="84"/>
      <c r="S361" s="132" t="s">
        <v>926</v>
      </c>
      <c r="T361" s="107" t="str">
        <f t="shared" si="181"/>
        <v>ninguno</v>
      </c>
      <c r="U361" s="107">
        <f t="shared" si="182"/>
        <v>0</v>
      </c>
      <c r="V361" s="84"/>
    </row>
    <row r="362" spans="1:23" s="108" customFormat="1" ht="14.25" customHeight="1" x14ac:dyDescent="0.25">
      <c r="A362" s="119">
        <v>324</v>
      </c>
      <c r="B362" s="68" t="s">
        <v>618</v>
      </c>
      <c r="C362" s="99">
        <v>3</v>
      </c>
      <c r="D362" s="67"/>
      <c r="E362" s="61">
        <f t="shared" si="174"/>
        <v>2.88</v>
      </c>
      <c r="F362" s="188">
        <f t="shared" si="183"/>
        <v>0.48</v>
      </c>
      <c r="G362" s="118">
        <v>5</v>
      </c>
      <c r="H362" s="59" t="str">
        <f t="shared" si="175"/>
        <v>Oak Planks</v>
      </c>
      <c r="I362" s="59">
        <f t="shared" si="176"/>
        <v>1.2</v>
      </c>
      <c r="J362" s="84">
        <v>6</v>
      </c>
      <c r="K362" s="132" t="s">
        <v>926</v>
      </c>
      <c r="L362" s="107" t="str">
        <f t="shared" si="177"/>
        <v>ninguno</v>
      </c>
      <c r="M362" s="107">
        <f t="shared" si="178"/>
        <v>0</v>
      </c>
      <c r="N362" s="84"/>
      <c r="O362" s="132" t="s">
        <v>926</v>
      </c>
      <c r="P362" s="59" t="str">
        <f t="shared" si="179"/>
        <v>ninguno</v>
      </c>
      <c r="Q362" s="59">
        <f t="shared" si="180"/>
        <v>0</v>
      </c>
      <c r="R362" s="84"/>
      <c r="S362" s="132" t="s">
        <v>926</v>
      </c>
      <c r="T362" s="107" t="str">
        <f t="shared" si="181"/>
        <v>ninguno</v>
      </c>
      <c r="U362" s="107">
        <f t="shared" si="182"/>
        <v>0</v>
      </c>
      <c r="V362" s="84"/>
    </row>
    <row r="363" spans="1:23" s="108" customFormat="1" ht="14.25" customHeight="1" x14ac:dyDescent="0.25">
      <c r="A363" s="119">
        <v>325</v>
      </c>
      <c r="B363" s="68" t="s">
        <v>619</v>
      </c>
      <c r="C363" s="99">
        <v>1</v>
      </c>
      <c r="D363" s="67"/>
      <c r="E363" s="61">
        <f t="shared" si="174"/>
        <v>2880</v>
      </c>
      <c r="F363" s="188">
        <f t="shared" si="183"/>
        <v>480</v>
      </c>
      <c r="G363" s="118">
        <v>265</v>
      </c>
      <c r="H363" s="59" t="str">
        <f t="shared" si="175"/>
        <v>Iron Ingot</v>
      </c>
      <c r="I363" s="59">
        <f t="shared" si="176"/>
        <v>800</v>
      </c>
      <c r="J363" s="84">
        <v>3</v>
      </c>
      <c r="K363" s="132" t="s">
        <v>926</v>
      </c>
      <c r="L363" s="107" t="str">
        <f t="shared" si="177"/>
        <v>ninguno</v>
      </c>
      <c r="M363" s="107">
        <f t="shared" si="178"/>
        <v>0</v>
      </c>
      <c r="N363" s="84"/>
      <c r="O363" s="132" t="s">
        <v>926</v>
      </c>
      <c r="P363" s="59" t="str">
        <f t="shared" si="179"/>
        <v>ninguno</v>
      </c>
      <c r="Q363" s="59">
        <f t="shared" si="180"/>
        <v>0</v>
      </c>
      <c r="R363" s="84"/>
      <c r="S363" s="132" t="s">
        <v>926</v>
      </c>
      <c r="T363" s="107" t="str">
        <f t="shared" si="181"/>
        <v>ninguno</v>
      </c>
      <c r="U363" s="107">
        <f t="shared" si="182"/>
        <v>0</v>
      </c>
      <c r="V363" s="84"/>
    </row>
    <row r="364" spans="1:23" s="108" customFormat="1" ht="14.25" customHeight="1" x14ac:dyDescent="0.25">
      <c r="A364" s="119">
        <v>328</v>
      </c>
      <c r="B364" s="68" t="s">
        <v>620</v>
      </c>
      <c r="C364" s="99">
        <v>1</v>
      </c>
      <c r="D364" s="67"/>
      <c r="E364" s="61">
        <f t="shared" si="174"/>
        <v>4800</v>
      </c>
      <c r="F364" s="188">
        <f t="shared" si="183"/>
        <v>800</v>
      </c>
      <c r="G364" s="118">
        <v>265</v>
      </c>
      <c r="H364" s="59" t="str">
        <f t="shared" si="175"/>
        <v>Iron Ingot</v>
      </c>
      <c r="I364" s="59">
        <f t="shared" si="176"/>
        <v>800</v>
      </c>
      <c r="J364" s="84">
        <v>5</v>
      </c>
      <c r="K364" s="132" t="s">
        <v>926</v>
      </c>
      <c r="L364" s="107" t="str">
        <f t="shared" si="177"/>
        <v>ninguno</v>
      </c>
      <c r="M364" s="107">
        <f t="shared" si="178"/>
        <v>0</v>
      </c>
      <c r="N364" s="84"/>
      <c r="O364" s="132" t="s">
        <v>926</v>
      </c>
      <c r="P364" s="59" t="str">
        <f t="shared" si="179"/>
        <v>ninguno</v>
      </c>
      <c r="Q364" s="59">
        <f t="shared" si="180"/>
        <v>0</v>
      </c>
      <c r="R364" s="84"/>
      <c r="S364" s="132" t="s">
        <v>926</v>
      </c>
      <c r="T364" s="107" t="str">
        <f t="shared" si="181"/>
        <v>ninguno</v>
      </c>
      <c r="U364" s="107">
        <f t="shared" si="182"/>
        <v>0</v>
      </c>
      <c r="V364" s="84"/>
    </row>
    <row r="365" spans="1:23" s="114" customFormat="1" ht="14.25" customHeight="1" x14ac:dyDescent="0.25">
      <c r="A365" s="126">
        <v>329</v>
      </c>
      <c r="B365" s="117" t="s">
        <v>621</v>
      </c>
      <c r="C365" s="113"/>
      <c r="D365" s="85"/>
      <c r="E365" s="85">
        <v>0</v>
      </c>
      <c r="F365" s="188">
        <f t="shared" si="183"/>
        <v>0</v>
      </c>
      <c r="G365" s="118" t="s">
        <v>926</v>
      </c>
      <c r="H365" s="85" t="str">
        <f t="shared" si="175"/>
        <v>ninguno</v>
      </c>
      <c r="I365" s="85">
        <f t="shared" si="176"/>
        <v>0</v>
      </c>
      <c r="J365" s="85"/>
      <c r="K365" s="133" t="s">
        <v>926</v>
      </c>
      <c r="L365" s="85" t="str">
        <f t="shared" si="177"/>
        <v>ninguno</v>
      </c>
      <c r="M365" s="85">
        <f t="shared" si="178"/>
        <v>0</v>
      </c>
      <c r="N365" s="85"/>
      <c r="O365" s="133" t="s">
        <v>926</v>
      </c>
      <c r="P365" s="85" t="str">
        <f t="shared" si="179"/>
        <v>ninguno</v>
      </c>
      <c r="Q365" s="85">
        <f t="shared" si="180"/>
        <v>0</v>
      </c>
      <c r="R365" s="85"/>
      <c r="S365" s="133" t="s">
        <v>926</v>
      </c>
      <c r="T365" s="85" t="str">
        <f t="shared" si="181"/>
        <v>ninguno</v>
      </c>
      <c r="U365" s="85">
        <f t="shared" si="182"/>
        <v>0</v>
      </c>
      <c r="V365" s="85"/>
    </row>
    <row r="366" spans="1:23" s="108" customFormat="1" ht="14.25" customHeight="1" x14ac:dyDescent="0.25">
      <c r="A366" s="119">
        <v>330</v>
      </c>
      <c r="B366" s="68" t="s">
        <v>963</v>
      </c>
      <c r="C366" s="99">
        <v>3</v>
      </c>
      <c r="D366" s="67"/>
      <c r="E366" s="61">
        <f>(((I366*J366)+(M366*N366)+(Q366*R366)+(U366*V366))/C366)*1.2</f>
        <v>1920</v>
      </c>
      <c r="F366" s="188">
        <f t="shared" si="183"/>
        <v>320</v>
      </c>
      <c r="G366" s="118">
        <v>265</v>
      </c>
      <c r="H366" s="59" t="str">
        <f t="shared" si="175"/>
        <v>Iron Ingot</v>
      </c>
      <c r="I366" s="59">
        <f t="shared" si="176"/>
        <v>800</v>
      </c>
      <c r="J366" s="84">
        <v>6</v>
      </c>
      <c r="K366" s="132" t="s">
        <v>926</v>
      </c>
      <c r="L366" s="107" t="str">
        <f t="shared" si="177"/>
        <v>ninguno</v>
      </c>
      <c r="M366" s="107">
        <f t="shared" si="178"/>
        <v>0</v>
      </c>
      <c r="N366" s="84"/>
      <c r="O366" s="132" t="s">
        <v>926</v>
      </c>
      <c r="P366" s="59" t="str">
        <f t="shared" si="179"/>
        <v>ninguno</v>
      </c>
      <c r="Q366" s="59">
        <f t="shared" si="180"/>
        <v>0</v>
      </c>
      <c r="R366" s="84"/>
      <c r="S366" s="132" t="s">
        <v>926</v>
      </c>
      <c r="T366" s="107" t="str">
        <f t="shared" si="181"/>
        <v>ninguno</v>
      </c>
      <c r="U366" s="107">
        <f t="shared" si="182"/>
        <v>0</v>
      </c>
      <c r="V366" s="84"/>
    </row>
    <row r="367" spans="1:23" s="88" customFormat="1" ht="14.25" customHeight="1" x14ac:dyDescent="0.25">
      <c r="A367" s="115">
        <v>331</v>
      </c>
      <c r="B367" s="89" t="s">
        <v>622</v>
      </c>
      <c r="C367" s="100"/>
      <c r="D367" s="85"/>
      <c r="E367" s="85">
        <f>'ECONOMIA &amp; PROFESIONES'!$E$31</f>
        <v>15</v>
      </c>
      <c r="F367" s="188">
        <f t="shared" si="183"/>
        <v>2.5</v>
      </c>
      <c r="G367" s="118" t="s">
        <v>926</v>
      </c>
      <c r="H367" s="85"/>
      <c r="I367" s="85"/>
      <c r="J367" s="87"/>
      <c r="K367" s="87"/>
      <c r="L367" s="85"/>
      <c r="M367" s="85"/>
      <c r="N367" s="87"/>
      <c r="O367" s="87"/>
      <c r="P367" s="85"/>
      <c r="Q367" s="85"/>
      <c r="R367" s="87"/>
      <c r="S367" s="87"/>
      <c r="T367" s="85"/>
      <c r="U367" s="85"/>
      <c r="V367" s="87"/>
    </row>
    <row r="368" spans="1:23" s="108" customFormat="1" ht="14.25" customHeight="1" x14ac:dyDescent="0.25">
      <c r="A368" s="119">
        <v>333</v>
      </c>
      <c r="B368" s="68" t="s">
        <v>623</v>
      </c>
      <c r="C368" s="99">
        <v>1</v>
      </c>
      <c r="D368" s="67"/>
      <c r="E368" s="61">
        <f>(((I368*J368)+(M368*N368)+(Q368*R368)+(U368*V368))/C368)*1.2</f>
        <v>7.1999999999999993</v>
      </c>
      <c r="F368" s="188">
        <f t="shared" si="183"/>
        <v>1.2</v>
      </c>
      <c r="G368" s="118">
        <v>5</v>
      </c>
      <c r="H368" s="59" t="str">
        <f>VLOOKUP(G368,LISTAITEMS,2,FALSE)</f>
        <v>Oak Planks</v>
      </c>
      <c r="I368" s="59">
        <f>VLOOKUP(G368,LISTAITEMS,5,FALSE)</f>
        <v>1.2</v>
      </c>
      <c r="J368" s="84">
        <v>5</v>
      </c>
      <c r="K368" s="132" t="s">
        <v>926</v>
      </c>
      <c r="L368" s="107" t="str">
        <f>VLOOKUP(K368,LISTAITEMS,2,FALSE)</f>
        <v>ninguno</v>
      </c>
      <c r="M368" s="107">
        <f>VLOOKUP(K368,LISTAITEMS,5,FALSE)</f>
        <v>0</v>
      </c>
      <c r="N368" s="84"/>
      <c r="O368" s="132" t="s">
        <v>926</v>
      </c>
      <c r="P368" s="59" t="str">
        <f>VLOOKUP(O368,LISTAITEMS,2,FALSE)</f>
        <v>ninguno</v>
      </c>
      <c r="Q368" s="59">
        <f>VLOOKUP(O368,LISTAITEMS,5,FALSE)</f>
        <v>0</v>
      </c>
      <c r="R368" s="84"/>
      <c r="S368" s="132" t="s">
        <v>926</v>
      </c>
      <c r="T368" s="107" t="str">
        <f>VLOOKUP(S368,LISTAITEMS,2,FALSE)</f>
        <v>ninguno</v>
      </c>
      <c r="U368" s="107">
        <f>VLOOKUP(S368,LISTAITEMS,5,FALSE)</f>
        <v>0</v>
      </c>
      <c r="V368" s="84"/>
    </row>
    <row r="369" spans="1:22" s="108" customFormat="1" ht="14.25" customHeight="1" x14ac:dyDescent="0.25">
      <c r="A369" s="119">
        <v>334</v>
      </c>
      <c r="B369" s="68" t="s">
        <v>624</v>
      </c>
      <c r="C369" s="99">
        <v>1</v>
      </c>
      <c r="D369" s="67"/>
      <c r="E369" s="61">
        <f>(((I369*J369)+(M369*N369)+(Q369*R369)+(U369*V369))/C369)*1.2</f>
        <v>1850.3999999999999</v>
      </c>
      <c r="F369" s="188">
        <f t="shared" si="183"/>
        <v>308.39999999999998</v>
      </c>
      <c r="G369" s="118">
        <v>415</v>
      </c>
      <c r="H369" s="59" t="str">
        <f>VLOOKUP(G369,LISTAITEMS,2,FALSE)</f>
        <v>Rabbit Hide</v>
      </c>
      <c r="I369" s="59">
        <f>VLOOKUP(G369,LISTAITEMS,5,FALSE)</f>
        <v>385.5</v>
      </c>
      <c r="J369" s="84">
        <v>4</v>
      </c>
      <c r="K369" s="132" t="s">
        <v>926</v>
      </c>
      <c r="L369" s="107" t="str">
        <f>VLOOKUP(K369,LISTAITEMS,2,FALSE)</f>
        <v>ninguno</v>
      </c>
      <c r="M369" s="107">
        <f>VLOOKUP(K369,LISTAITEMS,5,FALSE)</f>
        <v>0</v>
      </c>
      <c r="N369" s="84"/>
      <c r="O369" s="132" t="s">
        <v>926</v>
      </c>
      <c r="P369" s="59" t="str">
        <f>VLOOKUP(O369,LISTAITEMS,2,FALSE)</f>
        <v>ninguno</v>
      </c>
      <c r="Q369" s="59">
        <f>VLOOKUP(O369,LISTAITEMS,5,FALSE)</f>
        <v>0</v>
      </c>
      <c r="R369" s="84"/>
      <c r="S369" s="132" t="s">
        <v>926</v>
      </c>
      <c r="T369" s="107" t="str">
        <f>VLOOKUP(S369,LISTAITEMS,2,FALSE)</f>
        <v>ninguno</v>
      </c>
      <c r="U369" s="107">
        <f>VLOOKUP(S369,LISTAITEMS,5,FALSE)</f>
        <v>0</v>
      </c>
      <c r="V369" s="84"/>
    </row>
    <row r="370" spans="1:22" s="114" customFormat="1" ht="14.25" customHeight="1" x14ac:dyDescent="0.25">
      <c r="A370" s="115">
        <v>335</v>
      </c>
      <c r="B370" s="89" t="s">
        <v>967</v>
      </c>
      <c r="C370" s="113">
        <v>1</v>
      </c>
      <c r="D370" s="85"/>
      <c r="E370" s="85">
        <v>0</v>
      </c>
      <c r="F370" s="188">
        <f t="shared" si="183"/>
        <v>0</v>
      </c>
      <c r="G370" s="136"/>
      <c r="H370" s="85"/>
      <c r="I370" s="85"/>
      <c r="J370" s="85"/>
      <c r="K370" s="133"/>
      <c r="L370" s="85"/>
      <c r="M370" s="85"/>
      <c r="N370" s="85"/>
      <c r="O370" s="133"/>
      <c r="P370" s="85"/>
      <c r="Q370" s="85"/>
      <c r="R370" s="85"/>
      <c r="S370" s="133"/>
      <c r="T370" s="85"/>
      <c r="U370" s="85"/>
      <c r="V370" s="85"/>
    </row>
    <row r="371" spans="1:22" s="108" customFormat="1" ht="14.25" customHeight="1" x14ac:dyDescent="0.25">
      <c r="A371" s="119">
        <v>336</v>
      </c>
      <c r="B371" s="68" t="s">
        <v>625</v>
      </c>
      <c r="C371" s="99">
        <v>1</v>
      </c>
      <c r="D371" s="67"/>
      <c r="E371" s="61">
        <f>(((I371*J371)+(M371*N371)+(Q371*R371)+(U371*V371))/C371)*1.2</f>
        <v>18</v>
      </c>
      <c r="F371" s="188">
        <f t="shared" si="183"/>
        <v>3</v>
      </c>
      <c r="G371" s="118">
        <v>337</v>
      </c>
      <c r="H371" s="59" t="str">
        <f>VLOOKUP(G371,LISTAITEMS,2,FALSE)</f>
        <v>Clay</v>
      </c>
      <c r="I371" s="59">
        <f>VLOOKUP(G371,LISTAITEMS,5,FALSE)</f>
        <v>15</v>
      </c>
      <c r="J371" s="84">
        <v>1</v>
      </c>
      <c r="K371" s="132" t="s">
        <v>926</v>
      </c>
      <c r="L371" s="107" t="str">
        <f>VLOOKUP(K371,LISTAITEMS,2,FALSE)</f>
        <v>ninguno</v>
      </c>
      <c r="M371" s="107">
        <f>VLOOKUP(K371,LISTAITEMS,5,FALSE)</f>
        <v>0</v>
      </c>
      <c r="N371" s="84"/>
      <c r="O371" s="132" t="s">
        <v>926</v>
      </c>
      <c r="P371" s="59" t="str">
        <f>VLOOKUP(O371,LISTAITEMS,2,FALSE)</f>
        <v>ninguno</v>
      </c>
      <c r="Q371" s="59">
        <f>VLOOKUP(O371,LISTAITEMS,5,FALSE)</f>
        <v>0</v>
      </c>
      <c r="R371" s="84"/>
      <c r="S371" s="132" t="s">
        <v>926</v>
      </c>
      <c r="T371" s="107" t="str">
        <f>VLOOKUP(S371,LISTAITEMS,2,FALSE)</f>
        <v>ninguno</v>
      </c>
      <c r="U371" s="107">
        <f>VLOOKUP(S371,LISTAITEMS,5,FALSE)</f>
        <v>0</v>
      </c>
      <c r="V371" s="84"/>
    </row>
    <row r="372" spans="1:22" s="88" customFormat="1" ht="14.25" customHeight="1" x14ac:dyDescent="0.25">
      <c r="A372" s="115">
        <v>337</v>
      </c>
      <c r="B372" s="89" t="s">
        <v>626</v>
      </c>
      <c r="C372" s="100"/>
      <c r="D372" s="85"/>
      <c r="E372" s="85">
        <f>'ECONOMIA &amp; PROFESIONES'!$E$30</f>
        <v>15</v>
      </c>
      <c r="F372" s="188">
        <f t="shared" si="183"/>
        <v>2.5</v>
      </c>
      <c r="G372" s="118" t="s">
        <v>926</v>
      </c>
      <c r="H372" s="85"/>
      <c r="I372" s="85"/>
      <c r="J372" s="87"/>
      <c r="K372" s="87"/>
      <c r="L372" s="85"/>
      <c r="M372" s="85"/>
      <c r="N372" s="87"/>
      <c r="O372" s="87"/>
      <c r="P372" s="85"/>
      <c r="Q372" s="85"/>
      <c r="R372" s="87"/>
      <c r="S372" s="87"/>
      <c r="T372" s="85"/>
      <c r="U372" s="85"/>
      <c r="V372" s="87"/>
    </row>
    <row r="373" spans="1:22" s="88" customFormat="1" ht="14.25" customHeight="1" x14ac:dyDescent="0.25">
      <c r="A373" s="115">
        <v>338</v>
      </c>
      <c r="B373" s="89" t="s">
        <v>924</v>
      </c>
      <c r="C373" s="100"/>
      <c r="D373" s="85"/>
      <c r="E373" s="85">
        <f>'ECONOMIA &amp; PROFESIONES'!$I$30</f>
        <v>428</v>
      </c>
      <c r="F373" s="188">
        <f t="shared" si="183"/>
        <v>71.34</v>
      </c>
      <c r="G373" s="118" t="s">
        <v>926</v>
      </c>
      <c r="H373" s="85"/>
      <c r="I373" s="85"/>
      <c r="J373" s="87"/>
      <c r="K373" s="87"/>
      <c r="L373" s="85"/>
      <c r="M373" s="85"/>
      <c r="N373" s="87"/>
      <c r="O373" s="87"/>
      <c r="P373" s="85"/>
      <c r="Q373" s="85"/>
      <c r="R373" s="87"/>
      <c r="S373" s="87"/>
      <c r="T373" s="85"/>
      <c r="U373" s="85"/>
      <c r="V373" s="87"/>
    </row>
    <row r="374" spans="1:22" s="108" customFormat="1" ht="14.25" customHeight="1" x14ac:dyDescent="0.25">
      <c r="A374" s="119">
        <v>339</v>
      </c>
      <c r="B374" s="68" t="s">
        <v>627</v>
      </c>
      <c r="C374" s="99">
        <v>3</v>
      </c>
      <c r="D374" s="67"/>
      <c r="E374" s="61">
        <f>(((I374*J374)+(M374*N374)+(Q374*R374)+(U374*V374))/C374)*1.2</f>
        <v>513.6</v>
      </c>
      <c r="F374" s="188">
        <f t="shared" si="183"/>
        <v>85.6</v>
      </c>
      <c r="G374" s="118">
        <v>338</v>
      </c>
      <c r="H374" s="59" t="str">
        <f t="shared" ref="H374:H382" si="184">VLOOKUP(G374,LISTAITEMS,2,FALSE)</f>
        <v>Sugar Cane</v>
      </c>
      <c r="I374" s="59">
        <f t="shared" ref="I374:I382" si="185">VLOOKUP(G374,LISTAITEMS,5,FALSE)</f>
        <v>428</v>
      </c>
      <c r="J374" s="84">
        <v>3</v>
      </c>
      <c r="K374" s="132" t="s">
        <v>926</v>
      </c>
      <c r="L374" s="107" t="str">
        <f t="shared" ref="L374:L382" si="186">VLOOKUP(K374,LISTAITEMS,2,FALSE)</f>
        <v>ninguno</v>
      </c>
      <c r="M374" s="107">
        <f t="shared" ref="M374:M382" si="187">VLOOKUP(K374,LISTAITEMS,5,FALSE)</f>
        <v>0</v>
      </c>
      <c r="N374" s="84"/>
      <c r="O374" s="132" t="s">
        <v>926</v>
      </c>
      <c r="P374" s="59" t="str">
        <f t="shared" ref="P374:P382" si="188">VLOOKUP(O374,LISTAITEMS,2,FALSE)</f>
        <v>ninguno</v>
      </c>
      <c r="Q374" s="59">
        <f t="shared" ref="Q374:Q382" si="189">VLOOKUP(O374,LISTAITEMS,5,FALSE)</f>
        <v>0</v>
      </c>
      <c r="R374" s="84"/>
      <c r="S374" s="132" t="s">
        <v>926</v>
      </c>
      <c r="T374" s="107" t="str">
        <f t="shared" ref="T374:T382" si="190">VLOOKUP(S374,LISTAITEMS,2,FALSE)</f>
        <v>ninguno</v>
      </c>
      <c r="U374" s="107">
        <f t="shared" ref="U374:U382" si="191">VLOOKUP(S374,LISTAITEMS,5,FALSE)</f>
        <v>0</v>
      </c>
      <c r="V374" s="84"/>
    </row>
    <row r="375" spans="1:22" s="108" customFormat="1" ht="14.25" customHeight="1" x14ac:dyDescent="0.25">
      <c r="A375" s="119">
        <v>340</v>
      </c>
      <c r="B375" s="68" t="s">
        <v>628</v>
      </c>
      <c r="C375" s="99">
        <v>1</v>
      </c>
      <c r="D375" s="67"/>
      <c r="E375" s="61">
        <f>(((I375*J375)+(M375*N375)+(Q375*R375)+(U375*V375))/C375)*1.2</f>
        <v>4069.4399999999996</v>
      </c>
      <c r="F375" s="188">
        <f t="shared" si="183"/>
        <v>678.24</v>
      </c>
      <c r="G375" s="118">
        <v>339</v>
      </c>
      <c r="H375" s="59" t="str">
        <f t="shared" si="184"/>
        <v>Paper</v>
      </c>
      <c r="I375" s="59">
        <f t="shared" si="185"/>
        <v>513.6</v>
      </c>
      <c r="J375" s="84">
        <v>3</v>
      </c>
      <c r="K375" s="132">
        <v>334</v>
      </c>
      <c r="L375" s="107" t="str">
        <f t="shared" si="186"/>
        <v>Leather</v>
      </c>
      <c r="M375" s="107">
        <f t="shared" si="187"/>
        <v>1850.3999999999999</v>
      </c>
      <c r="N375" s="84">
        <v>1</v>
      </c>
      <c r="O375" s="132" t="s">
        <v>926</v>
      </c>
      <c r="P375" s="59" t="str">
        <f t="shared" si="188"/>
        <v>ninguno</v>
      </c>
      <c r="Q375" s="59">
        <f t="shared" si="189"/>
        <v>0</v>
      </c>
      <c r="R375" s="84"/>
      <c r="S375" s="132" t="s">
        <v>926</v>
      </c>
      <c r="T375" s="107" t="str">
        <f t="shared" si="190"/>
        <v>ninguno</v>
      </c>
      <c r="U375" s="107">
        <f t="shared" si="191"/>
        <v>0</v>
      </c>
      <c r="V375" s="84"/>
    </row>
    <row r="376" spans="1:22" s="114" customFormat="1" ht="14.25" customHeight="1" x14ac:dyDescent="0.25">
      <c r="A376" s="115">
        <v>341</v>
      </c>
      <c r="B376" s="89" t="s">
        <v>629</v>
      </c>
      <c r="C376" s="113"/>
      <c r="D376" s="85"/>
      <c r="E376" s="85">
        <f>'ECONOMIA &amp; PROFESIONES'!G50</f>
        <v>21</v>
      </c>
      <c r="F376" s="188">
        <f t="shared" si="183"/>
        <v>3.5</v>
      </c>
      <c r="G376" s="118" t="s">
        <v>926</v>
      </c>
      <c r="H376" s="85" t="str">
        <f t="shared" si="184"/>
        <v>ninguno</v>
      </c>
      <c r="I376" s="85">
        <f t="shared" si="185"/>
        <v>0</v>
      </c>
      <c r="J376" s="85"/>
      <c r="K376" s="133" t="s">
        <v>926</v>
      </c>
      <c r="L376" s="85" t="str">
        <f t="shared" si="186"/>
        <v>ninguno</v>
      </c>
      <c r="M376" s="85">
        <f t="shared" si="187"/>
        <v>0</v>
      </c>
      <c r="N376" s="85"/>
      <c r="O376" s="133" t="s">
        <v>926</v>
      </c>
      <c r="P376" s="85" t="str">
        <f t="shared" si="188"/>
        <v>ninguno</v>
      </c>
      <c r="Q376" s="85">
        <f t="shared" si="189"/>
        <v>0</v>
      </c>
      <c r="R376" s="85"/>
      <c r="S376" s="133" t="s">
        <v>926</v>
      </c>
      <c r="T376" s="85" t="str">
        <f t="shared" si="190"/>
        <v>ninguno</v>
      </c>
      <c r="U376" s="85">
        <f t="shared" si="191"/>
        <v>0</v>
      </c>
      <c r="V376" s="85"/>
    </row>
    <row r="377" spans="1:22" s="108" customFormat="1" ht="14.25" customHeight="1" x14ac:dyDescent="0.25">
      <c r="A377" s="119">
        <v>342</v>
      </c>
      <c r="B377" s="68" t="s">
        <v>630</v>
      </c>
      <c r="C377" s="99">
        <v>1</v>
      </c>
      <c r="D377" s="67"/>
      <c r="E377" s="61">
        <f>(((I377*J377)+(M377*N377)+(Q377*R377)+(U377*V377))/C377)*1.2</f>
        <v>5773.8240000000005</v>
      </c>
      <c r="F377" s="188">
        <f t="shared" si="183"/>
        <v>962.31</v>
      </c>
      <c r="G377" s="118">
        <v>328</v>
      </c>
      <c r="H377" s="59" t="str">
        <f t="shared" si="184"/>
        <v>Minecart</v>
      </c>
      <c r="I377" s="59">
        <f t="shared" si="185"/>
        <v>4800</v>
      </c>
      <c r="J377" s="84">
        <v>1</v>
      </c>
      <c r="K377" s="132">
        <v>54</v>
      </c>
      <c r="L377" s="107" t="str">
        <f t="shared" si="186"/>
        <v>Chest</v>
      </c>
      <c r="M377" s="107">
        <f t="shared" si="187"/>
        <v>11.52</v>
      </c>
      <c r="N377" s="84">
        <v>1</v>
      </c>
      <c r="O377" s="132" t="s">
        <v>926</v>
      </c>
      <c r="P377" s="59" t="str">
        <f t="shared" si="188"/>
        <v>ninguno</v>
      </c>
      <c r="Q377" s="59">
        <f t="shared" si="189"/>
        <v>0</v>
      </c>
      <c r="R377" s="84"/>
      <c r="S377" s="132" t="s">
        <v>926</v>
      </c>
      <c r="T377" s="107" t="str">
        <f t="shared" si="190"/>
        <v>ninguno</v>
      </c>
      <c r="U377" s="107">
        <f t="shared" si="191"/>
        <v>0</v>
      </c>
      <c r="V377" s="84"/>
    </row>
    <row r="378" spans="1:22" s="108" customFormat="1" ht="14.25" customHeight="1" x14ac:dyDescent="0.25">
      <c r="A378" s="119">
        <v>343</v>
      </c>
      <c r="B378" s="68" t="s">
        <v>631</v>
      </c>
      <c r="C378" s="99">
        <v>1</v>
      </c>
      <c r="D378" s="67"/>
      <c r="E378" s="61">
        <f>(((I378*J378)+(M378*N378)+(Q378*R378)+(U378*V378))/C378)*1.2</f>
        <v>5794.56</v>
      </c>
      <c r="F378" s="188">
        <f t="shared" si="183"/>
        <v>965.76</v>
      </c>
      <c r="G378" s="118">
        <v>328</v>
      </c>
      <c r="H378" s="59" t="str">
        <f t="shared" si="184"/>
        <v>Minecart</v>
      </c>
      <c r="I378" s="59">
        <f t="shared" si="185"/>
        <v>4800</v>
      </c>
      <c r="J378" s="84">
        <v>1</v>
      </c>
      <c r="K378" s="132">
        <v>61</v>
      </c>
      <c r="L378" s="107" t="str">
        <f t="shared" si="186"/>
        <v>Furnace</v>
      </c>
      <c r="M378" s="107">
        <f t="shared" si="187"/>
        <v>28.799999999999997</v>
      </c>
      <c r="N378" s="84">
        <v>1</v>
      </c>
      <c r="O378" s="132" t="s">
        <v>926</v>
      </c>
      <c r="P378" s="59" t="str">
        <f t="shared" si="188"/>
        <v>ninguno</v>
      </c>
      <c r="Q378" s="59">
        <f t="shared" si="189"/>
        <v>0</v>
      </c>
      <c r="R378" s="84"/>
      <c r="S378" s="132" t="s">
        <v>926</v>
      </c>
      <c r="T378" s="107" t="str">
        <f t="shared" si="190"/>
        <v>ninguno</v>
      </c>
      <c r="U378" s="107">
        <f t="shared" si="191"/>
        <v>0</v>
      </c>
      <c r="V378" s="84"/>
    </row>
    <row r="379" spans="1:22" s="114" customFormat="1" ht="14.25" customHeight="1" x14ac:dyDescent="0.25">
      <c r="A379" s="115">
        <v>344</v>
      </c>
      <c r="B379" s="89" t="s">
        <v>632</v>
      </c>
      <c r="C379" s="113"/>
      <c r="D379" s="85"/>
      <c r="E379" s="85">
        <f>'ECONOMIA &amp; PROFESIONES'!K44</f>
        <v>28.700000000000003</v>
      </c>
      <c r="F379" s="188">
        <f t="shared" si="183"/>
        <v>4.79</v>
      </c>
      <c r="G379" s="118" t="s">
        <v>926</v>
      </c>
      <c r="H379" s="85" t="str">
        <f t="shared" si="184"/>
        <v>ninguno</v>
      </c>
      <c r="I379" s="85">
        <f t="shared" si="185"/>
        <v>0</v>
      </c>
      <c r="J379" s="85"/>
      <c r="K379" s="133" t="s">
        <v>926</v>
      </c>
      <c r="L379" s="85" t="str">
        <f t="shared" si="186"/>
        <v>ninguno</v>
      </c>
      <c r="M379" s="85">
        <f t="shared" si="187"/>
        <v>0</v>
      </c>
      <c r="N379" s="85"/>
      <c r="O379" s="133" t="s">
        <v>926</v>
      </c>
      <c r="P379" s="85" t="str">
        <f t="shared" si="188"/>
        <v>ninguno</v>
      </c>
      <c r="Q379" s="85">
        <f t="shared" si="189"/>
        <v>0</v>
      </c>
      <c r="R379" s="85"/>
      <c r="S379" s="133" t="s">
        <v>926</v>
      </c>
      <c r="T379" s="85" t="str">
        <f t="shared" si="190"/>
        <v>ninguno</v>
      </c>
      <c r="U379" s="85">
        <f t="shared" si="191"/>
        <v>0</v>
      </c>
      <c r="V379" s="85"/>
    </row>
    <row r="380" spans="1:22" s="141" customFormat="1" ht="14.25" customHeight="1" x14ac:dyDescent="0.25">
      <c r="A380" s="119">
        <v>345</v>
      </c>
      <c r="B380" s="68" t="s">
        <v>968</v>
      </c>
      <c r="C380" s="99">
        <v>1</v>
      </c>
      <c r="D380" s="67"/>
      <c r="E380" s="61">
        <f>(((I380*J380)+(M380*N380)+(Q380*R380)+(U380*V380))/C380)*1.2</f>
        <v>3858</v>
      </c>
      <c r="F380" s="188">
        <f t="shared" si="183"/>
        <v>643</v>
      </c>
      <c r="G380" s="118">
        <v>265</v>
      </c>
      <c r="H380" s="59" t="str">
        <f t="shared" ref="H380" si="192">VLOOKUP(G380,LISTAITEMS,2,FALSE)</f>
        <v>Iron Ingot</v>
      </c>
      <c r="I380" s="59">
        <f t="shared" ref="I380" si="193">VLOOKUP(G380,LISTAITEMS,5,FALSE)</f>
        <v>800</v>
      </c>
      <c r="J380" s="84">
        <v>4</v>
      </c>
      <c r="K380" s="132">
        <v>331</v>
      </c>
      <c r="L380" s="140" t="str">
        <f t="shared" ref="L380" si="194">VLOOKUP(K380,LISTAITEMS,2,FALSE)</f>
        <v>Redstone Dust</v>
      </c>
      <c r="M380" s="140">
        <f t="shared" ref="M380" si="195">VLOOKUP(K380,LISTAITEMS,5,FALSE)</f>
        <v>15</v>
      </c>
      <c r="N380" s="84">
        <v>1</v>
      </c>
      <c r="O380" s="132" t="s">
        <v>926</v>
      </c>
      <c r="P380" s="59" t="str">
        <f t="shared" ref="P380" si="196">VLOOKUP(O380,LISTAITEMS,2,FALSE)</f>
        <v>ninguno</v>
      </c>
      <c r="Q380" s="59">
        <f t="shared" ref="Q380" si="197">VLOOKUP(O380,LISTAITEMS,5,FALSE)</f>
        <v>0</v>
      </c>
      <c r="R380" s="84"/>
      <c r="S380" s="132" t="s">
        <v>926</v>
      </c>
      <c r="T380" s="140" t="str">
        <f t="shared" ref="T380" si="198">VLOOKUP(S380,LISTAITEMS,2,FALSE)</f>
        <v>ninguno</v>
      </c>
      <c r="U380" s="140">
        <f t="shared" ref="U380" si="199">VLOOKUP(S380,LISTAITEMS,5,FALSE)</f>
        <v>0</v>
      </c>
      <c r="V380" s="84"/>
    </row>
    <row r="381" spans="1:22" s="108" customFormat="1" ht="14.25" customHeight="1" x14ac:dyDescent="0.25">
      <c r="A381" s="119">
        <v>346</v>
      </c>
      <c r="B381" s="68" t="s">
        <v>633</v>
      </c>
      <c r="C381" s="99">
        <v>1</v>
      </c>
      <c r="D381" s="67"/>
      <c r="E381" s="61">
        <f>(((I381*J381)+(M381*N381)+(Q381*R381)+(U381*V381))/C381)*1.2</f>
        <v>12.096</v>
      </c>
      <c r="F381" s="188">
        <f t="shared" si="183"/>
        <v>2.0199999999999996</v>
      </c>
      <c r="G381" s="118">
        <v>280</v>
      </c>
      <c r="H381" s="59" t="str">
        <f t="shared" si="184"/>
        <v>Stick</v>
      </c>
      <c r="I381" s="59">
        <f t="shared" si="185"/>
        <v>0.36</v>
      </c>
      <c r="J381" s="84">
        <v>3</v>
      </c>
      <c r="K381" s="132">
        <v>287</v>
      </c>
      <c r="L381" s="107" t="str">
        <f t="shared" si="186"/>
        <v>String</v>
      </c>
      <c r="M381" s="107">
        <f t="shared" si="187"/>
        <v>4.5</v>
      </c>
      <c r="N381" s="84">
        <v>2</v>
      </c>
      <c r="O381" s="132" t="s">
        <v>926</v>
      </c>
      <c r="P381" s="59" t="str">
        <f t="shared" si="188"/>
        <v>ninguno</v>
      </c>
      <c r="Q381" s="59">
        <f t="shared" si="189"/>
        <v>0</v>
      </c>
      <c r="R381" s="84"/>
      <c r="S381" s="132" t="s">
        <v>926</v>
      </c>
      <c r="T381" s="107" t="str">
        <f t="shared" si="190"/>
        <v>ninguno</v>
      </c>
      <c r="U381" s="107">
        <f t="shared" si="191"/>
        <v>0</v>
      </c>
      <c r="V381" s="84"/>
    </row>
    <row r="382" spans="1:22" s="108" customFormat="1" ht="14.25" customHeight="1" x14ac:dyDescent="0.25">
      <c r="A382" s="119">
        <v>347</v>
      </c>
      <c r="B382" s="68" t="s">
        <v>634</v>
      </c>
      <c r="C382" s="99">
        <v>1</v>
      </c>
      <c r="D382" s="67"/>
      <c r="E382" s="61">
        <f>(((I382*J382)+(M382*N382)+(Q382*R382)+(U382*V382))/C382)*1.2</f>
        <v>7698</v>
      </c>
      <c r="F382" s="188">
        <f t="shared" si="183"/>
        <v>1283</v>
      </c>
      <c r="G382" s="118">
        <v>266</v>
      </c>
      <c r="H382" s="59" t="str">
        <f t="shared" si="184"/>
        <v>Gold Ingot</v>
      </c>
      <c r="I382" s="59">
        <f t="shared" si="185"/>
        <v>1600</v>
      </c>
      <c r="J382" s="84">
        <v>4</v>
      </c>
      <c r="K382" s="132">
        <v>331</v>
      </c>
      <c r="L382" s="107" t="str">
        <f t="shared" si="186"/>
        <v>Redstone Dust</v>
      </c>
      <c r="M382" s="107">
        <f t="shared" si="187"/>
        <v>15</v>
      </c>
      <c r="N382" s="84">
        <v>1</v>
      </c>
      <c r="O382" s="132" t="s">
        <v>926</v>
      </c>
      <c r="P382" s="59" t="str">
        <f t="shared" si="188"/>
        <v>ninguno</v>
      </c>
      <c r="Q382" s="59">
        <f t="shared" si="189"/>
        <v>0</v>
      </c>
      <c r="R382" s="84"/>
      <c r="S382" s="132" t="s">
        <v>926</v>
      </c>
      <c r="T382" s="107" t="str">
        <f t="shared" si="190"/>
        <v>ninguno</v>
      </c>
      <c r="U382" s="107">
        <f t="shared" si="191"/>
        <v>0</v>
      </c>
      <c r="V382" s="84"/>
    </row>
    <row r="383" spans="1:22" s="88" customFormat="1" ht="14.25" customHeight="1" x14ac:dyDescent="0.25">
      <c r="A383" s="115">
        <v>348</v>
      </c>
      <c r="B383" s="89" t="s">
        <v>635</v>
      </c>
      <c r="C383" s="100"/>
      <c r="D383" s="85"/>
      <c r="E383" s="85">
        <f>'ECONOMIA &amp; PROFESIONES'!E35</f>
        <v>19</v>
      </c>
      <c r="F383" s="188">
        <f t="shared" si="183"/>
        <v>3.17</v>
      </c>
      <c r="G383" s="118" t="s">
        <v>926</v>
      </c>
      <c r="H383" s="85"/>
      <c r="I383" s="85"/>
      <c r="J383" s="87"/>
      <c r="K383" s="87"/>
      <c r="L383" s="85"/>
      <c r="M383" s="85"/>
      <c r="N383" s="87"/>
      <c r="O383" s="87"/>
      <c r="P383" s="85"/>
      <c r="Q383" s="85"/>
      <c r="R383" s="87"/>
      <c r="S383" s="87"/>
      <c r="T383" s="85"/>
      <c r="U383" s="85"/>
      <c r="V383" s="87"/>
    </row>
    <row r="384" spans="1:22" s="88" customFormat="1" ht="14.25" customHeight="1" x14ac:dyDescent="0.25">
      <c r="A384" s="115">
        <v>349</v>
      </c>
      <c r="B384" s="89" t="s">
        <v>636</v>
      </c>
      <c r="C384" s="100"/>
      <c r="D384" s="85"/>
      <c r="E384" s="85">
        <f>'ECONOMIA &amp; PROFESIONES'!$K$28</f>
        <v>257</v>
      </c>
      <c r="F384" s="188">
        <f t="shared" si="183"/>
        <v>42.839999999999996</v>
      </c>
      <c r="G384" s="118" t="s">
        <v>926</v>
      </c>
      <c r="H384" s="85"/>
      <c r="I384" s="85"/>
      <c r="J384" s="87"/>
      <c r="K384" s="87"/>
      <c r="L384" s="85"/>
      <c r="M384" s="85"/>
      <c r="N384" s="87"/>
      <c r="O384" s="87"/>
      <c r="P384" s="85"/>
      <c r="Q384" s="85"/>
      <c r="R384" s="87"/>
      <c r="S384" s="87"/>
      <c r="T384" s="85"/>
      <c r="U384" s="85"/>
      <c r="V384" s="87"/>
    </row>
    <row r="385" spans="1:22" s="88" customFormat="1" ht="14.25" customHeight="1" x14ac:dyDescent="0.25">
      <c r="A385" s="115" t="s">
        <v>638</v>
      </c>
      <c r="B385" s="89" t="s">
        <v>637</v>
      </c>
      <c r="C385" s="100"/>
      <c r="D385" s="85"/>
      <c r="E385" s="85">
        <f>'ECONOMIA &amp; PROFESIONES'!$K$28</f>
        <v>257</v>
      </c>
      <c r="F385" s="188">
        <f t="shared" si="183"/>
        <v>42.839999999999996</v>
      </c>
      <c r="G385" s="118" t="s">
        <v>926</v>
      </c>
      <c r="H385" s="85"/>
      <c r="I385" s="85"/>
      <c r="J385" s="87"/>
      <c r="K385" s="87"/>
      <c r="L385" s="85"/>
      <c r="M385" s="85"/>
      <c r="N385" s="87"/>
      <c r="O385" s="87"/>
      <c r="P385" s="85"/>
      <c r="Q385" s="85"/>
      <c r="R385" s="87"/>
      <c r="S385" s="87"/>
      <c r="T385" s="85"/>
      <c r="U385" s="85"/>
      <c r="V385" s="87"/>
    </row>
    <row r="386" spans="1:22" s="90" customFormat="1" ht="14.25" customHeight="1" x14ac:dyDescent="0.25">
      <c r="A386" s="115" t="s">
        <v>640</v>
      </c>
      <c r="B386" s="89" t="s">
        <v>639</v>
      </c>
      <c r="C386" s="100"/>
      <c r="D386" s="85"/>
      <c r="E386" s="85">
        <f>'ECONOMIA &amp; PROFESIONES'!$K$28</f>
        <v>257</v>
      </c>
      <c r="F386" s="188">
        <f t="shared" si="183"/>
        <v>42.839999999999996</v>
      </c>
      <c r="G386" s="118" t="s">
        <v>926</v>
      </c>
      <c r="H386" s="85"/>
      <c r="I386" s="85"/>
      <c r="J386" s="87"/>
      <c r="K386" s="134"/>
      <c r="L386" s="85"/>
      <c r="M386" s="85"/>
      <c r="N386" s="87"/>
      <c r="O386" s="134"/>
      <c r="P386" s="85"/>
      <c r="Q386" s="85"/>
      <c r="R386" s="87"/>
      <c r="S386" s="134"/>
      <c r="T386" s="85"/>
      <c r="U386" s="85"/>
      <c r="V386" s="87"/>
    </row>
    <row r="387" spans="1:22" s="90" customFormat="1" ht="14.25" customHeight="1" x14ac:dyDescent="0.25">
      <c r="A387" s="115" t="s">
        <v>642</v>
      </c>
      <c r="B387" s="89" t="s">
        <v>641</v>
      </c>
      <c r="C387" s="100"/>
      <c r="D387" s="85"/>
      <c r="E387" s="85">
        <f>'ECONOMIA &amp; PROFESIONES'!$K$28</f>
        <v>257</v>
      </c>
      <c r="F387" s="188">
        <f t="shared" si="183"/>
        <v>42.839999999999996</v>
      </c>
      <c r="G387" s="118" t="s">
        <v>926</v>
      </c>
      <c r="H387" s="85"/>
      <c r="I387" s="85"/>
      <c r="J387" s="87"/>
      <c r="K387" s="134"/>
      <c r="L387" s="85"/>
      <c r="M387" s="85"/>
      <c r="N387" s="87"/>
      <c r="O387" s="134"/>
      <c r="P387" s="85"/>
      <c r="Q387" s="85"/>
      <c r="R387" s="87"/>
      <c r="S387" s="134"/>
      <c r="T387" s="85"/>
      <c r="U387" s="85"/>
      <c r="V387" s="87"/>
    </row>
    <row r="388" spans="1:22" s="108" customFormat="1" ht="14.25" customHeight="1" x14ac:dyDescent="0.25">
      <c r="A388" s="119">
        <v>350</v>
      </c>
      <c r="B388" s="68" t="s">
        <v>643</v>
      </c>
      <c r="C388" s="99">
        <v>1</v>
      </c>
      <c r="D388" s="67"/>
      <c r="E388" s="61">
        <f>(((I388*J388)+(M388*N388)+(Q388*R388)+(U388*V388))/C388)*1.2</f>
        <v>308.39999999999998</v>
      </c>
      <c r="F388" s="188">
        <f t="shared" si="183"/>
        <v>51.4</v>
      </c>
      <c r="G388" s="118">
        <v>349</v>
      </c>
      <c r="H388" s="59" t="str">
        <f t="shared" ref="H388:H407" si="200">VLOOKUP(G388,LISTAITEMS,2,FALSE)</f>
        <v>Raw Fish</v>
      </c>
      <c r="I388" s="59">
        <f t="shared" ref="I388:I407" si="201">VLOOKUP(G388,LISTAITEMS,5,FALSE)</f>
        <v>257</v>
      </c>
      <c r="J388" s="84">
        <v>1</v>
      </c>
      <c r="K388" s="132" t="s">
        <v>926</v>
      </c>
      <c r="L388" s="107" t="str">
        <f t="shared" ref="L388:L407" si="202">VLOOKUP(K388,LISTAITEMS,2,FALSE)</f>
        <v>ninguno</v>
      </c>
      <c r="M388" s="107">
        <f t="shared" ref="M388:M407" si="203">VLOOKUP(K388,LISTAITEMS,5,FALSE)</f>
        <v>0</v>
      </c>
      <c r="N388" s="84"/>
      <c r="O388" s="132" t="s">
        <v>926</v>
      </c>
      <c r="P388" s="59" t="str">
        <f t="shared" ref="P388:P407" si="204">VLOOKUP(O388,LISTAITEMS,2,FALSE)</f>
        <v>ninguno</v>
      </c>
      <c r="Q388" s="59">
        <f t="shared" ref="Q388:Q407" si="205">VLOOKUP(O388,LISTAITEMS,5,FALSE)</f>
        <v>0</v>
      </c>
      <c r="R388" s="84"/>
      <c r="S388" s="132" t="s">
        <v>926</v>
      </c>
      <c r="T388" s="107" t="str">
        <f t="shared" ref="T388:T407" si="206">VLOOKUP(S388,LISTAITEMS,2,FALSE)</f>
        <v>ninguno</v>
      </c>
      <c r="U388" s="107">
        <f t="shared" ref="U388:U407" si="207">VLOOKUP(S388,LISTAITEMS,5,FALSE)</f>
        <v>0</v>
      </c>
      <c r="V388" s="84"/>
    </row>
    <row r="389" spans="1:22" s="108" customFormat="1" ht="14.25" customHeight="1" x14ac:dyDescent="0.25">
      <c r="A389" s="119" t="s">
        <v>645</v>
      </c>
      <c r="B389" s="68" t="s">
        <v>644</v>
      </c>
      <c r="C389" s="99">
        <v>1</v>
      </c>
      <c r="D389" s="67"/>
      <c r="E389" s="61">
        <f>(((I389*J389)+(M389*N389)+(Q389*R389)+(U389*V389))/C389)*1.2</f>
        <v>308.39999999999998</v>
      </c>
      <c r="F389" s="188">
        <f t="shared" si="183"/>
        <v>51.4</v>
      </c>
      <c r="G389" s="118" t="s">
        <v>638</v>
      </c>
      <c r="H389" s="59" t="str">
        <f t="shared" si="200"/>
        <v>Raw Salmon</v>
      </c>
      <c r="I389" s="59">
        <f t="shared" si="201"/>
        <v>257</v>
      </c>
      <c r="J389" s="84">
        <v>1</v>
      </c>
      <c r="K389" s="132" t="s">
        <v>926</v>
      </c>
      <c r="L389" s="107" t="str">
        <f t="shared" si="202"/>
        <v>ninguno</v>
      </c>
      <c r="M389" s="107">
        <f t="shared" si="203"/>
        <v>0</v>
      </c>
      <c r="N389" s="84"/>
      <c r="O389" s="132" t="s">
        <v>926</v>
      </c>
      <c r="P389" s="59" t="str">
        <f t="shared" si="204"/>
        <v>ninguno</v>
      </c>
      <c r="Q389" s="59">
        <f t="shared" si="205"/>
        <v>0</v>
      </c>
      <c r="R389" s="84"/>
      <c r="S389" s="132" t="s">
        <v>926</v>
      </c>
      <c r="T389" s="107" t="str">
        <f t="shared" si="206"/>
        <v>ninguno</v>
      </c>
      <c r="U389" s="107">
        <f t="shared" si="207"/>
        <v>0</v>
      </c>
      <c r="V389" s="84"/>
    </row>
    <row r="390" spans="1:22" s="108" customFormat="1" ht="14.25" customHeight="1" x14ac:dyDescent="0.25">
      <c r="A390" s="127" t="s">
        <v>646</v>
      </c>
      <c r="B390" s="69" t="s">
        <v>639</v>
      </c>
      <c r="C390" s="99">
        <v>1</v>
      </c>
      <c r="D390" s="67"/>
      <c r="E390" s="61">
        <f>(((I390*J390)+(M390*N390)+(Q390*R390)+(U390*V390))/C390)*1.2</f>
        <v>308.39999999999998</v>
      </c>
      <c r="F390" s="188">
        <f t="shared" si="183"/>
        <v>51.4</v>
      </c>
      <c r="G390" s="118" t="s">
        <v>640</v>
      </c>
      <c r="H390" s="59" t="str">
        <f t="shared" si="200"/>
        <v>Clownfish</v>
      </c>
      <c r="I390" s="59">
        <f t="shared" si="201"/>
        <v>257</v>
      </c>
      <c r="J390" s="84">
        <v>1</v>
      </c>
      <c r="K390" s="132" t="s">
        <v>926</v>
      </c>
      <c r="L390" s="107" t="str">
        <f t="shared" si="202"/>
        <v>ninguno</v>
      </c>
      <c r="M390" s="107">
        <f t="shared" si="203"/>
        <v>0</v>
      </c>
      <c r="N390" s="84"/>
      <c r="O390" s="132" t="s">
        <v>926</v>
      </c>
      <c r="P390" s="59" t="str">
        <f t="shared" si="204"/>
        <v>ninguno</v>
      </c>
      <c r="Q390" s="59">
        <f t="shared" si="205"/>
        <v>0</v>
      </c>
      <c r="R390" s="84"/>
      <c r="S390" s="132" t="s">
        <v>926</v>
      </c>
      <c r="T390" s="107" t="str">
        <f t="shared" si="206"/>
        <v>ninguno</v>
      </c>
      <c r="U390" s="107">
        <f t="shared" si="207"/>
        <v>0</v>
      </c>
      <c r="V390" s="84"/>
    </row>
    <row r="391" spans="1:22" s="108" customFormat="1" ht="14.25" customHeight="1" x14ac:dyDescent="0.25">
      <c r="A391" s="127" t="s">
        <v>647</v>
      </c>
      <c r="B391" s="69" t="s">
        <v>641</v>
      </c>
      <c r="C391" s="99">
        <v>1</v>
      </c>
      <c r="D391" s="67"/>
      <c r="E391" s="61">
        <f>(((I391*J391)+(M391*N391)+(Q391*R391)+(U391*V391))/C391)*1.2</f>
        <v>308.39999999999998</v>
      </c>
      <c r="F391" s="188">
        <f t="shared" si="183"/>
        <v>51.4</v>
      </c>
      <c r="G391" s="118" t="s">
        <v>642</v>
      </c>
      <c r="H391" s="59" t="str">
        <f t="shared" si="200"/>
        <v>Pufferfish</v>
      </c>
      <c r="I391" s="59">
        <f t="shared" si="201"/>
        <v>257</v>
      </c>
      <c r="J391" s="84">
        <v>1</v>
      </c>
      <c r="K391" s="132" t="s">
        <v>926</v>
      </c>
      <c r="L391" s="107" t="str">
        <f t="shared" si="202"/>
        <v>ninguno</v>
      </c>
      <c r="M391" s="107">
        <f t="shared" si="203"/>
        <v>0</v>
      </c>
      <c r="N391" s="84"/>
      <c r="O391" s="132" t="s">
        <v>926</v>
      </c>
      <c r="P391" s="59" t="str">
        <f t="shared" si="204"/>
        <v>ninguno</v>
      </c>
      <c r="Q391" s="59">
        <f t="shared" si="205"/>
        <v>0</v>
      </c>
      <c r="R391" s="84"/>
      <c r="S391" s="132" t="s">
        <v>926</v>
      </c>
      <c r="T391" s="107" t="str">
        <f t="shared" si="206"/>
        <v>ninguno</v>
      </c>
      <c r="U391" s="107">
        <f t="shared" si="207"/>
        <v>0</v>
      </c>
      <c r="V391" s="84"/>
    </row>
    <row r="392" spans="1:22" s="90" customFormat="1" ht="14.25" customHeight="1" x14ac:dyDescent="0.25">
      <c r="A392" s="127">
        <v>351</v>
      </c>
      <c r="B392" s="69" t="s">
        <v>648</v>
      </c>
      <c r="C392" s="99">
        <v>1</v>
      </c>
      <c r="D392" s="67"/>
      <c r="E392" s="61">
        <f t="shared" ref="E392:E407" si="208">(((I392*J392)+(M392*N392)+(Q392*R392)+(U392*V392))/C392)*1.2</f>
        <v>9</v>
      </c>
      <c r="F392" s="188">
        <f t="shared" ref="F392:F407" si="209">ROUNDUP(E392/6,2)</f>
        <v>1.5</v>
      </c>
      <c r="G392" s="118">
        <v>352</v>
      </c>
      <c r="H392" s="59" t="str">
        <f t="shared" si="200"/>
        <v xml:space="preserve">Bone  </v>
      </c>
      <c r="I392" s="59">
        <f t="shared" si="201"/>
        <v>7.5</v>
      </c>
      <c r="J392" s="84">
        <v>1</v>
      </c>
      <c r="K392" s="132" t="s">
        <v>926</v>
      </c>
      <c r="L392" s="182" t="str">
        <f t="shared" si="202"/>
        <v>ninguno</v>
      </c>
      <c r="M392" s="182">
        <f t="shared" si="203"/>
        <v>0</v>
      </c>
      <c r="N392" s="84"/>
      <c r="O392" s="132" t="s">
        <v>926</v>
      </c>
      <c r="P392" s="59" t="str">
        <f t="shared" si="204"/>
        <v>ninguno</v>
      </c>
      <c r="Q392" s="59">
        <f t="shared" si="205"/>
        <v>0</v>
      </c>
      <c r="R392" s="84"/>
      <c r="S392" s="132" t="s">
        <v>926</v>
      </c>
      <c r="T392" s="182" t="str">
        <f t="shared" si="206"/>
        <v>ninguno</v>
      </c>
      <c r="U392" s="182">
        <f t="shared" si="207"/>
        <v>0</v>
      </c>
      <c r="V392" s="84"/>
    </row>
    <row r="393" spans="1:22" s="90" customFormat="1" ht="14.25" customHeight="1" x14ac:dyDescent="0.25">
      <c r="A393" s="127" t="s">
        <v>650</v>
      </c>
      <c r="B393" s="69" t="s">
        <v>649</v>
      </c>
      <c r="C393" s="99">
        <v>1</v>
      </c>
      <c r="D393" s="67"/>
      <c r="E393" s="61">
        <f t="shared" si="208"/>
        <v>9</v>
      </c>
      <c r="F393" s="188">
        <f t="shared" si="209"/>
        <v>1.5</v>
      </c>
      <c r="G393" s="118">
        <v>38</v>
      </c>
      <c r="H393" s="59" t="str">
        <f t="shared" si="200"/>
        <v>Poppy</v>
      </c>
      <c r="I393" s="59">
        <f t="shared" si="201"/>
        <v>7.5</v>
      </c>
      <c r="J393" s="84">
        <v>1</v>
      </c>
      <c r="K393" s="132" t="s">
        <v>926</v>
      </c>
      <c r="L393" s="182" t="str">
        <f t="shared" si="202"/>
        <v>ninguno</v>
      </c>
      <c r="M393" s="182">
        <f t="shared" si="203"/>
        <v>0</v>
      </c>
      <c r="N393" s="84"/>
      <c r="O393" s="132" t="s">
        <v>926</v>
      </c>
      <c r="P393" s="59" t="str">
        <f t="shared" si="204"/>
        <v>ninguno</v>
      </c>
      <c r="Q393" s="59">
        <f t="shared" si="205"/>
        <v>0</v>
      </c>
      <c r="R393" s="84"/>
      <c r="S393" s="132" t="s">
        <v>926</v>
      </c>
      <c r="T393" s="182" t="str">
        <f t="shared" si="206"/>
        <v>ninguno</v>
      </c>
      <c r="U393" s="182">
        <f t="shared" si="207"/>
        <v>0</v>
      </c>
      <c r="V393" s="84"/>
    </row>
    <row r="394" spans="1:22" s="90" customFormat="1" ht="14.25" customHeight="1" x14ac:dyDescent="0.25">
      <c r="A394" s="127" t="s">
        <v>652</v>
      </c>
      <c r="B394" s="69" t="s">
        <v>651</v>
      </c>
      <c r="C394" s="99">
        <v>1</v>
      </c>
      <c r="D394" s="67"/>
      <c r="E394" s="61">
        <f t="shared" si="208"/>
        <v>9</v>
      </c>
      <c r="F394" s="188">
        <f t="shared" si="209"/>
        <v>1.5</v>
      </c>
      <c r="G394" s="118">
        <v>81</v>
      </c>
      <c r="H394" s="59" t="str">
        <f t="shared" si="200"/>
        <v>Cactus</v>
      </c>
      <c r="I394" s="59">
        <f t="shared" si="201"/>
        <v>7.5</v>
      </c>
      <c r="J394" s="84">
        <v>1</v>
      </c>
      <c r="K394" s="132" t="s">
        <v>926</v>
      </c>
      <c r="L394" s="182" t="str">
        <f t="shared" si="202"/>
        <v>ninguno</v>
      </c>
      <c r="M394" s="182">
        <f t="shared" si="203"/>
        <v>0</v>
      </c>
      <c r="N394" s="84"/>
      <c r="O394" s="132" t="s">
        <v>926</v>
      </c>
      <c r="P394" s="59" t="str">
        <f t="shared" si="204"/>
        <v>ninguno</v>
      </c>
      <c r="Q394" s="59">
        <f t="shared" si="205"/>
        <v>0</v>
      </c>
      <c r="R394" s="84"/>
      <c r="S394" s="132" t="s">
        <v>926</v>
      </c>
      <c r="T394" s="182" t="str">
        <f t="shared" si="206"/>
        <v>ninguno</v>
      </c>
      <c r="U394" s="182">
        <f t="shared" si="207"/>
        <v>0</v>
      </c>
      <c r="V394" s="84"/>
    </row>
    <row r="395" spans="1:22" s="90" customFormat="1" ht="14.25" customHeight="1" x14ac:dyDescent="0.25">
      <c r="A395" s="127" t="s">
        <v>654</v>
      </c>
      <c r="B395" s="69" t="s">
        <v>653</v>
      </c>
      <c r="C395" s="99">
        <v>1</v>
      </c>
      <c r="D395" s="67"/>
      <c r="E395" s="61">
        <f t="shared" si="208"/>
        <v>9</v>
      </c>
      <c r="F395" s="188">
        <f t="shared" si="209"/>
        <v>1.5</v>
      </c>
      <c r="G395" s="118">
        <v>352</v>
      </c>
      <c r="H395" s="59" t="str">
        <f t="shared" si="200"/>
        <v xml:space="preserve">Bone  </v>
      </c>
      <c r="I395" s="59">
        <f t="shared" si="201"/>
        <v>7.5</v>
      </c>
      <c r="J395" s="84">
        <v>1</v>
      </c>
      <c r="K395" s="132" t="s">
        <v>926</v>
      </c>
      <c r="L395" s="182" t="str">
        <f t="shared" si="202"/>
        <v>ninguno</v>
      </c>
      <c r="M395" s="182">
        <f t="shared" si="203"/>
        <v>0</v>
      </c>
      <c r="N395" s="84"/>
      <c r="O395" s="132" t="s">
        <v>926</v>
      </c>
      <c r="P395" s="59" t="str">
        <f t="shared" si="204"/>
        <v>ninguno</v>
      </c>
      <c r="Q395" s="59">
        <f t="shared" si="205"/>
        <v>0</v>
      </c>
      <c r="R395" s="84"/>
      <c r="S395" s="132" t="s">
        <v>926</v>
      </c>
      <c r="T395" s="182" t="str">
        <f t="shared" si="206"/>
        <v>ninguno</v>
      </c>
      <c r="U395" s="182">
        <f t="shared" si="207"/>
        <v>0</v>
      </c>
      <c r="V395" s="84"/>
    </row>
    <row r="396" spans="1:22" s="90" customFormat="1" ht="14.25" customHeight="1" x14ac:dyDescent="0.25">
      <c r="A396" s="127" t="s">
        <v>656</v>
      </c>
      <c r="B396" s="69" t="s">
        <v>655</v>
      </c>
      <c r="C396" s="99">
        <v>1</v>
      </c>
      <c r="D396" s="67"/>
      <c r="E396" s="61">
        <f t="shared" si="208"/>
        <v>9</v>
      </c>
      <c r="F396" s="188">
        <f t="shared" si="209"/>
        <v>1.5</v>
      </c>
      <c r="G396" s="118">
        <v>352</v>
      </c>
      <c r="H396" s="59" t="str">
        <f t="shared" si="200"/>
        <v xml:space="preserve">Bone  </v>
      </c>
      <c r="I396" s="59">
        <f t="shared" si="201"/>
        <v>7.5</v>
      </c>
      <c r="J396" s="84">
        <v>1</v>
      </c>
      <c r="K396" s="132" t="s">
        <v>926</v>
      </c>
      <c r="L396" s="182" t="str">
        <f t="shared" si="202"/>
        <v>ninguno</v>
      </c>
      <c r="M396" s="182">
        <f t="shared" si="203"/>
        <v>0</v>
      </c>
      <c r="N396" s="84"/>
      <c r="O396" s="132" t="s">
        <v>926</v>
      </c>
      <c r="P396" s="59" t="str">
        <f t="shared" si="204"/>
        <v>ninguno</v>
      </c>
      <c r="Q396" s="59">
        <f t="shared" si="205"/>
        <v>0</v>
      </c>
      <c r="R396" s="84"/>
      <c r="S396" s="132" t="s">
        <v>926</v>
      </c>
      <c r="T396" s="182" t="str">
        <f t="shared" si="206"/>
        <v>ninguno</v>
      </c>
      <c r="U396" s="182">
        <f t="shared" si="207"/>
        <v>0</v>
      </c>
      <c r="V396" s="84"/>
    </row>
    <row r="397" spans="1:22" s="90" customFormat="1" ht="14.25" customHeight="1" x14ac:dyDescent="0.25">
      <c r="A397" s="127" t="s">
        <v>658</v>
      </c>
      <c r="B397" s="69" t="s">
        <v>657</v>
      </c>
      <c r="C397" s="99">
        <v>1</v>
      </c>
      <c r="D397" s="67"/>
      <c r="E397" s="61">
        <f t="shared" si="208"/>
        <v>21.599999999999998</v>
      </c>
      <c r="F397" s="188">
        <f t="shared" si="209"/>
        <v>3.6</v>
      </c>
      <c r="G397" s="118" t="s">
        <v>656</v>
      </c>
      <c r="H397" s="59" t="str">
        <f t="shared" si="200"/>
        <v>Lapis Lazuli</v>
      </c>
      <c r="I397" s="59">
        <f t="shared" si="201"/>
        <v>9</v>
      </c>
      <c r="J397" s="84">
        <v>1</v>
      </c>
      <c r="K397" s="132" t="s">
        <v>650</v>
      </c>
      <c r="L397" s="182" t="str">
        <f t="shared" si="202"/>
        <v>Rose Red Dye</v>
      </c>
      <c r="M397" s="182">
        <f t="shared" si="203"/>
        <v>9</v>
      </c>
      <c r="N397" s="84">
        <v>1</v>
      </c>
      <c r="O397" s="132" t="s">
        <v>926</v>
      </c>
      <c r="P397" s="59" t="str">
        <f t="shared" si="204"/>
        <v>ninguno</v>
      </c>
      <c r="Q397" s="59">
        <f t="shared" si="205"/>
        <v>0</v>
      </c>
      <c r="R397" s="84"/>
      <c r="S397" s="132" t="s">
        <v>926</v>
      </c>
      <c r="T397" s="182" t="str">
        <f t="shared" si="206"/>
        <v>ninguno</v>
      </c>
      <c r="U397" s="182">
        <f t="shared" si="207"/>
        <v>0</v>
      </c>
      <c r="V397" s="84"/>
    </row>
    <row r="398" spans="1:22" s="90" customFormat="1" ht="14.25" customHeight="1" x14ac:dyDescent="0.25">
      <c r="A398" s="127" t="s">
        <v>660</v>
      </c>
      <c r="B398" s="69" t="s">
        <v>659</v>
      </c>
      <c r="C398" s="99">
        <v>1</v>
      </c>
      <c r="D398" s="67"/>
      <c r="E398" s="61">
        <f t="shared" si="208"/>
        <v>21.599999999999998</v>
      </c>
      <c r="F398" s="188">
        <f t="shared" si="209"/>
        <v>3.6</v>
      </c>
      <c r="G398" s="118" t="s">
        <v>652</v>
      </c>
      <c r="H398" s="59" t="str">
        <f t="shared" si="200"/>
        <v>Cactus Green Dye</v>
      </c>
      <c r="I398" s="59">
        <f t="shared" si="201"/>
        <v>9</v>
      </c>
      <c r="J398" s="84">
        <v>1</v>
      </c>
      <c r="K398" s="132" t="s">
        <v>656</v>
      </c>
      <c r="L398" s="182" t="str">
        <f t="shared" si="202"/>
        <v>Lapis Lazuli</v>
      </c>
      <c r="M398" s="182">
        <f t="shared" si="203"/>
        <v>9</v>
      </c>
      <c r="N398" s="84">
        <v>1</v>
      </c>
      <c r="O398" s="132" t="s">
        <v>926</v>
      </c>
      <c r="P398" s="59" t="str">
        <f t="shared" si="204"/>
        <v>ninguno</v>
      </c>
      <c r="Q398" s="59">
        <f t="shared" si="205"/>
        <v>0</v>
      </c>
      <c r="R398" s="84"/>
      <c r="S398" s="132" t="s">
        <v>926</v>
      </c>
      <c r="T398" s="182" t="str">
        <f t="shared" si="206"/>
        <v>ninguno</v>
      </c>
      <c r="U398" s="182">
        <f t="shared" si="207"/>
        <v>0</v>
      </c>
      <c r="V398" s="84"/>
    </row>
    <row r="399" spans="1:22" s="90" customFormat="1" ht="14.25" customHeight="1" x14ac:dyDescent="0.25">
      <c r="A399" s="127" t="s">
        <v>662</v>
      </c>
      <c r="B399" s="69" t="s">
        <v>661</v>
      </c>
      <c r="C399" s="99">
        <v>1</v>
      </c>
      <c r="D399" s="67"/>
      <c r="E399" s="61">
        <f t="shared" si="208"/>
        <v>36.72</v>
      </c>
      <c r="F399" s="188">
        <f t="shared" si="209"/>
        <v>6.12</v>
      </c>
      <c r="G399" s="118" t="s">
        <v>678</v>
      </c>
      <c r="H399" s="59" t="str">
        <f t="shared" si="200"/>
        <v>Bone Meal</v>
      </c>
      <c r="I399" s="59">
        <f t="shared" si="201"/>
        <v>9</v>
      </c>
      <c r="J399" s="84">
        <v>1</v>
      </c>
      <c r="K399" s="132" t="s">
        <v>664</v>
      </c>
      <c r="L399" s="182" t="str">
        <f t="shared" si="202"/>
        <v>Gray Dye</v>
      </c>
      <c r="M399" s="182">
        <f t="shared" si="203"/>
        <v>21.599999999999998</v>
      </c>
      <c r="N399" s="84">
        <v>1</v>
      </c>
      <c r="O399" s="132" t="s">
        <v>926</v>
      </c>
      <c r="P399" s="59" t="str">
        <f t="shared" si="204"/>
        <v>ninguno</v>
      </c>
      <c r="Q399" s="59">
        <f t="shared" si="205"/>
        <v>0</v>
      </c>
      <c r="R399" s="84"/>
      <c r="S399" s="132" t="s">
        <v>926</v>
      </c>
      <c r="T399" s="182" t="str">
        <f t="shared" si="206"/>
        <v>ninguno</v>
      </c>
      <c r="U399" s="182">
        <f t="shared" si="207"/>
        <v>0</v>
      </c>
      <c r="V399" s="84"/>
    </row>
    <row r="400" spans="1:22" s="90" customFormat="1" ht="14.25" customHeight="1" x14ac:dyDescent="0.25">
      <c r="A400" s="127" t="s">
        <v>664</v>
      </c>
      <c r="B400" s="69" t="s">
        <v>663</v>
      </c>
      <c r="C400" s="99">
        <v>1</v>
      </c>
      <c r="D400" s="67"/>
      <c r="E400" s="61">
        <f t="shared" si="208"/>
        <v>21.599999999999998</v>
      </c>
      <c r="F400" s="188">
        <f t="shared" si="209"/>
        <v>3.6</v>
      </c>
      <c r="G400" s="118" t="s">
        <v>678</v>
      </c>
      <c r="H400" s="59" t="str">
        <f t="shared" si="200"/>
        <v>Bone Meal</v>
      </c>
      <c r="I400" s="59">
        <f t="shared" si="201"/>
        <v>9</v>
      </c>
      <c r="J400" s="84">
        <v>1</v>
      </c>
      <c r="K400" s="132">
        <v>351</v>
      </c>
      <c r="L400" s="182" t="str">
        <f t="shared" si="202"/>
        <v>Ink Sack</v>
      </c>
      <c r="M400" s="182">
        <f t="shared" si="203"/>
        <v>9</v>
      </c>
      <c r="N400" s="84">
        <v>1</v>
      </c>
      <c r="O400" s="132" t="s">
        <v>926</v>
      </c>
      <c r="P400" s="59" t="str">
        <f t="shared" si="204"/>
        <v>ninguno</v>
      </c>
      <c r="Q400" s="59">
        <f t="shared" si="205"/>
        <v>0</v>
      </c>
      <c r="R400" s="84"/>
      <c r="S400" s="132" t="s">
        <v>926</v>
      </c>
      <c r="T400" s="182" t="str">
        <f t="shared" si="206"/>
        <v>ninguno</v>
      </c>
      <c r="U400" s="182">
        <f t="shared" si="207"/>
        <v>0</v>
      </c>
      <c r="V400" s="84"/>
    </row>
    <row r="401" spans="1:22" s="90" customFormat="1" ht="14.25" customHeight="1" x14ac:dyDescent="0.25">
      <c r="A401" s="127" t="s">
        <v>666</v>
      </c>
      <c r="B401" s="69" t="s">
        <v>665</v>
      </c>
      <c r="C401" s="99">
        <v>1</v>
      </c>
      <c r="D401" s="67"/>
      <c r="E401" s="61">
        <f t="shared" si="208"/>
        <v>21.599999999999998</v>
      </c>
      <c r="F401" s="188">
        <f t="shared" si="209"/>
        <v>3.6</v>
      </c>
      <c r="G401" s="118" t="s">
        <v>678</v>
      </c>
      <c r="H401" s="59" t="str">
        <f t="shared" si="200"/>
        <v>Bone Meal</v>
      </c>
      <c r="I401" s="59">
        <f t="shared" si="201"/>
        <v>9</v>
      </c>
      <c r="J401" s="84">
        <v>1</v>
      </c>
      <c r="K401" s="132" t="s">
        <v>650</v>
      </c>
      <c r="L401" s="182" t="str">
        <f t="shared" si="202"/>
        <v>Rose Red Dye</v>
      </c>
      <c r="M401" s="182">
        <f t="shared" si="203"/>
        <v>9</v>
      </c>
      <c r="N401" s="84">
        <v>1</v>
      </c>
      <c r="O401" s="132" t="s">
        <v>926</v>
      </c>
      <c r="P401" s="59" t="str">
        <f t="shared" si="204"/>
        <v>ninguno</v>
      </c>
      <c r="Q401" s="59">
        <f t="shared" si="205"/>
        <v>0</v>
      </c>
      <c r="R401" s="84"/>
      <c r="S401" s="132" t="s">
        <v>926</v>
      </c>
      <c r="T401" s="182" t="str">
        <f t="shared" si="206"/>
        <v>ninguno</v>
      </c>
      <c r="U401" s="182">
        <f t="shared" si="207"/>
        <v>0</v>
      </c>
      <c r="V401" s="84"/>
    </row>
    <row r="402" spans="1:22" s="90" customFormat="1" ht="14.25" customHeight="1" x14ac:dyDescent="0.25">
      <c r="A402" s="127" t="s">
        <v>668</v>
      </c>
      <c r="B402" s="69" t="s">
        <v>667</v>
      </c>
      <c r="C402" s="99">
        <v>1</v>
      </c>
      <c r="D402" s="67"/>
      <c r="E402" s="61">
        <f t="shared" si="208"/>
        <v>32.4</v>
      </c>
      <c r="F402" s="188">
        <f t="shared" si="209"/>
        <v>5.4</v>
      </c>
      <c r="G402" s="118" t="s">
        <v>678</v>
      </c>
      <c r="H402" s="59" t="str">
        <f t="shared" si="200"/>
        <v>Bone Meal</v>
      </c>
      <c r="I402" s="59">
        <f t="shared" si="201"/>
        <v>9</v>
      </c>
      <c r="J402" s="84">
        <v>1</v>
      </c>
      <c r="K402" s="132" t="s">
        <v>652</v>
      </c>
      <c r="L402" s="182" t="str">
        <f t="shared" si="202"/>
        <v>Cactus Green Dye</v>
      </c>
      <c r="M402" s="182">
        <f t="shared" si="203"/>
        <v>9</v>
      </c>
      <c r="N402" s="84">
        <v>2</v>
      </c>
      <c r="O402" s="132" t="s">
        <v>926</v>
      </c>
      <c r="P402" s="59" t="str">
        <f t="shared" si="204"/>
        <v>ninguno</v>
      </c>
      <c r="Q402" s="59">
        <f t="shared" si="205"/>
        <v>0</v>
      </c>
      <c r="R402" s="84"/>
      <c r="S402" s="132" t="s">
        <v>926</v>
      </c>
      <c r="T402" s="182" t="str">
        <f t="shared" si="206"/>
        <v>ninguno</v>
      </c>
      <c r="U402" s="182">
        <f t="shared" si="207"/>
        <v>0</v>
      </c>
      <c r="V402" s="84"/>
    </row>
    <row r="403" spans="1:22" s="90" customFormat="1" ht="14.25" customHeight="1" x14ac:dyDescent="0.25">
      <c r="A403" s="127" t="s">
        <v>670</v>
      </c>
      <c r="B403" s="69" t="s">
        <v>669</v>
      </c>
      <c r="C403" s="99">
        <v>1</v>
      </c>
      <c r="D403" s="67"/>
      <c r="E403" s="61">
        <f t="shared" si="208"/>
        <v>9</v>
      </c>
      <c r="F403" s="188">
        <f t="shared" si="209"/>
        <v>1.5</v>
      </c>
      <c r="G403" s="118">
        <v>37</v>
      </c>
      <c r="H403" s="59" t="str">
        <f t="shared" si="200"/>
        <v>Dandilion</v>
      </c>
      <c r="I403" s="59">
        <f t="shared" si="201"/>
        <v>7.5</v>
      </c>
      <c r="J403" s="84">
        <v>1</v>
      </c>
      <c r="K403" s="132" t="s">
        <v>926</v>
      </c>
      <c r="L403" s="182" t="str">
        <f t="shared" si="202"/>
        <v>ninguno</v>
      </c>
      <c r="M403" s="182">
        <f t="shared" si="203"/>
        <v>0</v>
      </c>
      <c r="N403" s="84"/>
      <c r="O403" s="132" t="s">
        <v>926</v>
      </c>
      <c r="P403" s="59" t="str">
        <f t="shared" si="204"/>
        <v>ninguno</v>
      </c>
      <c r="Q403" s="59">
        <f t="shared" si="205"/>
        <v>0</v>
      </c>
      <c r="R403" s="84"/>
      <c r="S403" s="132" t="s">
        <v>926</v>
      </c>
      <c r="T403" s="182" t="str">
        <f t="shared" si="206"/>
        <v>ninguno</v>
      </c>
      <c r="U403" s="182">
        <f t="shared" si="207"/>
        <v>0</v>
      </c>
      <c r="V403" s="84"/>
    </row>
    <row r="404" spans="1:22" s="90" customFormat="1" ht="14.25" customHeight="1" x14ac:dyDescent="0.25">
      <c r="A404" s="127" t="s">
        <v>672</v>
      </c>
      <c r="B404" s="69" t="s">
        <v>671</v>
      </c>
      <c r="C404" s="99">
        <v>1</v>
      </c>
      <c r="D404" s="67"/>
      <c r="E404" s="61">
        <f t="shared" si="208"/>
        <v>21.599999999999998</v>
      </c>
      <c r="F404" s="188">
        <f t="shared" si="209"/>
        <v>3.6</v>
      </c>
      <c r="G404" s="118" t="s">
        <v>678</v>
      </c>
      <c r="H404" s="59" t="str">
        <f t="shared" si="200"/>
        <v>Bone Meal</v>
      </c>
      <c r="I404" s="59">
        <f t="shared" si="201"/>
        <v>9</v>
      </c>
      <c r="J404" s="84">
        <v>1</v>
      </c>
      <c r="K404" s="132" t="s">
        <v>656</v>
      </c>
      <c r="L404" s="182" t="str">
        <f t="shared" si="202"/>
        <v>Lapis Lazuli</v>
      </c>
      <c r="M404" s="182">
        <f t="shared" si="203"/>
        <v>9</v>
      </c>
      <c r="N404" s="84">
        <v>1</v>
      </c>
      <c r="O404" s="132" t="s">
        <v>926</v>
      </c>
      <c r="P404" s="59" t="str">
        <f t="shared" si="204"/>
        <v>ninguno</v>
      </c>
      <c r="Q404" s="59">
        <f t="shared" si="205"/>
        <v>0</v>
      </c>
      <c r="R404" s="84"/>
      <c r="S404" s="132" t="s">
        <v>926</v>
      </c>
      <c r="T404" s="182" t="str">
        <f t="shared" si="206"/>
        <v>ninguno</v>
      </c>
      <c r="U404" s="182">
        <f t="shared" si="207"/>
        <v>0</v>
      </c>
      <c r="V404" s="84"/>
    </row>
    <row r="405" spans="1:22" s="90" customFormat="1" ht="14.25" customHeight="1" x14ac:dyDescent="0.25">
      <c r="A405" s="127" t="s">
        <v>674</v>
      </c>
      <c r="B405" s="69" t="s">
        <v>673</v>
      </c>
      <c r="C405" s="99">
        <v>1</v>
      </c>
      <c r="D405" s="67"/>
      <c r="E405" s="61">
        <f t="shared" si="208"/>
        <v>51.839999999999996</v>
      </c>
      <c r="F405" s="188">
        <f t="shared" si="209"/>
        <v>8.64</v>
      </c>
      <c r="G405" s="118" t="s">
        <v>666</v>
      </c>
      <c r="H405" s="59" t="str">
        <f t="shared" si="200"/>
        <v>Pink Dye</v>
      </c>
      <c r="I405" s="59">
        <f t="shared" si="201"/>
        <v>21.599999999999998</v>
      </c>
      <c r="J405" s="84">
        <v>1</v>
      </c>
      <c r="K405" s="132" t="s">
        <v>658</v>
      </c>
      <c r="L405" s="182" t="str">
        <f t="shared" si="202"/>
        <v>Purple Dye</v>
      </c>
      <c r="M405" s="182">
        <f t="shared" si="203"/>
        <v>21.599999999999998</v>
      </c>
      <c r="N405" s="84">
        <v>1</v>
      </c>
      <c r="O405" s="132" t="s">
        <v>926</v>
      </c>
      <c r="P405" s="59" t="str">
        <f t="shared" si="204"/>
        <v>ninguno</v>
      </c>
      <c r="Q405" s="59">
        <f t="shared" si="205"/>
        <v>0</v>
      </c>
      <c r="R405" s="84"/>
      <c r="S405" s="132" t="s">
        <v>926</v>
      </c>
      <c r="T405" s="182" t="str">
        <f t="shared" si="206"/>
        <v>ninguno</v>
      </c>
      <c r="U405" s="182">
        <f t="shared" si="207"/>
        <v>0</v>
      </c>
      <c r="V405" s="84"/>
    </row>
    <row r="406" spans="1:22" s="90" customFormat="1" ht="14.25" customHeight="1" x14ac:dyDescent="0.25">
      <c r="A406" s="127" t="s">
        <v>676</v>
      </c>
      <c r="B406" s="69" t="s">
        <v>675</v>
      </c>
      <c r="C406" s="99">
        <v>1</v>
      </c>
      <c r="D406" s="67"/>
      <c r="E406" s="61">
        <f t="shared" si="208"/>
        <v>21.599999999999998</v>
      </c>
      <c r="F406" s="188">
        <f t="shared" si="209"/>
        <v>3.6</v>
      </c>
      <c r="G406" s="118" t="s">
        <v>650</v>
      </c>
      <c r="H406" s="59" t="str">
        <f t="shared" si="200"/>
        <v>Rose Red Dye</v>
      </c>
      <c r="I406" s="59">
        <f t="shared" si="201"/>
        <v>9</v>
      </c>
      <c r="J406" s="84">
        <v>1</v>
      </c>
      <c r="K406" s="132" t="s">
        <v>670</v>
      </c>
      <c r="L406" s="182" t="str">
        <f t="shared" si="202"/>
        <v>Yellow Dye</v>
      </c>
      <c r="M406" s="182">
        <f t="shared" si="203"/>
        <v>9</v>
      </c>
      <c r="N406" s="84">
        <v>1</v>
      </c>
      <c r="O406" s="132" t="s">
        <v>926</v>
      </c>
      <c r="P406" s="59" t="str">
        <f t="shared" si="204"/>
        <v>ninguno</v>
      </c>
      <c r="Q406" s="59">
        <f t="shared" si="205"/>
        <v>0</v>
      </c>
      <c r="R406" s="84"/>
      <c r="S406" s="132" t="s">
        <v>926</v>
      </c>
      <c r="T406" s="182" t="str">
        <f t="shared" si="206"/>
        <v>ninguno</v>
      </c>
      <c r="U406" s="182">
        <f t="shared" si="207"/>
        <v>0</v>
      </c>
      <c r="V406" s="84"/>
    </row>
    <row r="407" spans="1:22" s="90" customFormat="1" ht="14.25" customHeight="1" x14ac:dyDescent="0.25">
      <c r="A407" s="127" t="s">
        <v>678</v>
      </c>
      <c r="B407" s="69" t="s">
        <v>677</v>
      </c>
      <c r="C407" s="99">
        <v>1</v>
      </c>
      <c r="D407" s="67"/>
      <c r="E407" s="61">
        <f t="shared" si="208"/>
        <v>9</v>
      </c>
      <c r="F407" s="188">
        <f t="shared" si="209"/>
        <v>1.5</v>
      </c>
      <c r="G407" s="118">
        <v>352</v>
      </c>
      <c r="H407" s="59" t="str">
        <f t="shared" si="200"/>
        <v xml:space="preserve">Bone  </v>
      </c>
      <c r="I407" s="59">
        <f t="shared" si="201"/>
        <v>7.5</v>
      </c>
      <c r="J407" s="84">
        <v>1</v>
      </c>
      <c r="K407" s="132" t="s">
        <v>926</v>
      </c>
      <c r="L407" s="182" t="str">
        <f t="shared" si="202"/>
        <v>ninguno</v>
      </c>
      <c r="M407" s="182">
        <f t="shared" si="203"/>
        <v>0</v>
      </c>
      <c r="N407" s="84"/>
      <c r="O407" s="132" t="s">
        <v>926</v>
      </c>
      <c r="P407" s="59" t="str">
        <f t="shared" si="204"/>
        <v>ninguno</v>
      </c>
      <c r="Q407" s="59">
        <f t="shared" si="205"/>
        <v>0</v>
      </c>
      <c r="R407" s="84"/>
      <c r="S407" s="132" t="s">
        <v>926</v>
      </c>
      <c r="T407" s="182" t="str">
        <f t="shared" si="206"/>
        <v>ninguno</v>
      </c>
      <c r="U407" s="182">
        <f t="shared" si="207"/>
        <v>0</v>
      </c>
      <c r="V407" s="84"/>
    </row>
    <row r="408" spans="1:22" s="90" customFormat="1" ht="14.25" customHeight="1" x14ac:dyDescent="0.25">
      <c r="A408" s="115">
        <v>352</v>
      </c>
      <c r="B408" s="89" t="s">
        <v>679</v>
      </c>
      <c r="C408" s="100"/>
      <c r="D408" s="85"/>
      <c r="E408" s="85">
        <f>'ECONOMIA &amp; PROFESIONES'!G46</f>
        <v>7.5</v>
      </c>
      <c r="F408" s="188">
        <f t="shared" si="183"/>
        <v>1.25</v>
      </c>
      <c r="G408" s="118"/>
      <c r="H408" s="85"/>
      <c r="I408" s="85"/>
      <c r="J408" s="87"/>
      <c r="K408" s="134"/>
      <c r="L408" s="85"/>
      <c r="M408" s="85"/>
      <c r="N408" s="87"/>
      <c r="O408" s="134"/>
      <c r="P408" s="85"/>
      <c r="Q408" s="85"/>
      <c r="R408" s="87"/>
      <c r="S408" s="134"/>
      <c r="T408" s="85"/>
      <c r="U408" s="85"/>
      <c r="V408" s="87"/>
    </row>
    <row r="409" spans="1:22" s="108" customFormat="1" ht="14.25" customHeight="1" x14ac:dyDescent="0.25">
      <c r="A409" s="119">
        <v>353</v>
      </c>
      <c r="B409" s="68" t="s">
        <v>680</v>
      </c>
      <c r="C409" s="99">
        <v>1</v>
      </c>
      <c r="D409" s="67"/>
      <c r="E409" s="61">
        <f t="shared" ref="E409:E430" si="210">(((I409*J409)+(M409*N409)+(Q409*R409)+(U409*V409))/C409)*1.2</f>
        <v>513.6</v>
      </c>
      <c r="F409" s="188">
        <f t="shared" si="183"/>
        <v>85.6</v>
      </c>
      <c r="G409" s="118">
        <v>338</v>
      </c>
      <c r="H409" s="59" t="str">
        <f t="shared" ref="H409:H431" si="211">VLOOKUP(G409,LISTAITEMS,2,FALSE)</f>
        <v>Sugar Cane</v>
      </c>
      <c r="I409" s="59">
        <f t="shared" ref="I409:I431" si="212">VLOOKUP(G409,LISTAITEMS,5,FALSE)</f>
        <v>428</v>
      </c>
      <c r="J409" s="84">
        <v>1</v>
      </c>
      <c r="K409" s="132" t="s">
        <v>926</v>
      </c>
      <c r="L409" s="107" t="str">
        <f t="shared" ref="L409:L431" si="213">VLOOKUP(K409,LISTAITEMS,2,FALSE)</f>
        <v>ninguno</v>
      </c>
      <c r="M409" s="107">
        <f t="shared" ref="M409:M431" si="214">VLOOKUP(K409,LISTAITEMS,5,FALSE)</f>
        <v>0</v>
      </c>
      <c r="N409" s="84"/>
      <c r="O409" s="132" t="s">
        <v>926</v>
      </c>
      <c r="P409" s="59" t="str">
        <f t="shared" ref="P409:P431" si="215">VLOOKUP(O409,LISTAITEMS,2,FALSE)</f>
        <v>ninguno</v>
      </c>
      <c r="Q409" s="59">
        <f t="shared" ref="Q409:Q431" si="216">VLOOKUP(O409,LISTAITEMS,5,FALSE)</f>
        <v>0</v>
      </c>
      <c r="R409" s="84"/>
      <c r="S409" s="132" t="s">
        <v>926</v>
      </c>
      <c r="T409" s="107" t="str">
        <f t="shared" ref="T409:T431" si="217">VLOOKUP(S409,LISTAITEMS,2,FALSE)</f>
        <v>ninguno</v>
      </c>
      <c r="U409" s="107">
        <f t="shared" ref="U409:U431" si="218">VLOOKUP(S409,LISTAITEMS,5,FALSE)</f>
        <v>0</v>
      </c>
      <c r="V409" s="84"/>
    </row>
    <row r="410" spans="1:22" s="108" customFormat="1" ht="14.25" customHeight="1" x14ac:dyDescent="0.25">
      <c r="A410" s="119">
        <v>354</v>
      </c>
      <c r="B410" s="68" t="s">
        <v>681</v>
      </c>
      <c r="C410" s="99">
        <v>1</v>
      </c>
      <c r="D410" s="67"/>
      <c r="E410" s="61">
        <f t="shared" si="210"/>
        <v>3423.48</v>
      </c>
      <c r="F410" s="188">
        <f t="shared" si="183"/>
        <v>570.58000000000004</v>
      </c>
      <c r="G410" s="118">
        <v>353</v>
      </c>
      <c r="H410" s="59" t="str">
        <f t="shared" si="211"/>
        <v>Sugar</v>
      </c>
      <c r="I410" s="59">
        <f t="shared" si="212"/>
        <v>513.6</v>
      </c>
      <c r="J410" s="84">
        <v>2</v>
      </c>
      <c r="K410" s="132">
        <v>335</v>
      </c>
      <c r="L410" s="107" t="str">
        <f t="shared" si="213"/>
        <v>Bucket (milk)</v>
      </c>
      <c r="M410" s="107">
        <f t="shared" si="214"/>
        <v>0</v>
      </c>
      <c r="N410" s="84">
        <v>1</v>
      </c>
      <c r="O410" s="132">
        <v>344</v>
      </c>
      <c r="P410" s="59" t="str">
        <f t="shared" si="215"/>
        <v>Egg</v>
      </c>
      <c r="Q410" s="59">
        <f t="shared" si="216"/>
        <v>28.700000000000003</v>
      </c>
      <c r="R410" s="84">
        <v>1</v>
      </c>
      <c r="S410" s="132">
        <v>296</v>
      </c>
      <c r="T410" s="107" t="str">
        <f t="shared" si="217"/>
        <v>Wheat</v>
      </c>
      <c r="U410" s="107">
        <f t="shared" si="218"/>
        <v>599</v>
      </c>
      <c r="V410" s="84">
        <v>3</v>
      </c>
    </row>
    <row r="411" spans="1:22" s="108" customFormat="1" ht="14.25" customHeight="1" x14ac:dyDescent="0.25">
      <c r="A411" s="119">
        <v>355</v>
      </c>
      <c r="B411" s="68" t="s">
        <v>1064</v>
      </c>
      <c r="C411" s="99">
        <v>1</v>
      </c>
      <c r="D411" s="67"/>
      <c r="E411" s="61">
        <f t="shared" si="210"/>
        <v>82.079999999999984</v>
      </c>
      <c r="F411" s="188">
        <f t="shared" si="183"/>
        <v>13.68</v>
      </c>
      <c r="G411" s="118">
        <v>5</v>
      </c>
      <c r="H411" s="59" t="str">
        <f t="shared" si="211"/>
        <v>Oak Planks</v>
      </c>
      <c r="I411" s="59">
        <f t="shared" si="212"/>
        <v>1.2</v>
      </c>
      <c r="J411" s="84">
        <v>3</v>
      </c>
      <c r="K411" s="132">
        <v>35</v>
      </c>
      <c r="L411" s="107" t="str">
        <f t="shared" si="213"/>
        <v>Wool</v>
      </c>
      <c r="M411" s="107">
        <f t="shared" si="214"/>
        <v>21.599999999999998</v>
      </c>
      <c r="N411" s="84">
        <v>3</v>
      </c>
      <c r="O411" s="132" t="s">
        <v>926</v>
      </c>
      <c r="P411" s="59" t="str">
        <f t="shared" si="215"/>
        <v>ninguno</v>
      </c>
      <c r="Q411" s="59">
        <f t="shared" si="216"/>
        <v>0</v>
      </c>
      <c r="R411" s="84"/>
      <c r="S411" s="132" t="s">
        <v>926</v>
      </c>
      <c r="T411" s="107" t="str">
        <f t="shared" si="217"/>
        <v>ninguno</v>
      </c>
      <c r="U411" s="107">
        <f t="shared" si="218"/>
        <v>0</v>
      </c>
      <c r="V411" s="84"/>
    </row>
    <row r="412" spans="1:22" s="266" customFormat="1" ht="14.25" customHeight="1" x14ac:dyDescent="0.25">
      <c r="A412" s="261" t="s">
        <v>1049</v>
      </c>
      <c r="B412" s="260" t="s">
        <v>1065</v>
      </c>
      <c r="C412" s="99">
        <v>1</v>
      </c>
      <c r="D412" s="67"/>
      <c r="E412" s="61">
        <f t="shared" ref="E412:E426" si="219">(((I412*J412)+(M412*N412)+(Q412*R412)+(U412*V412))/C412)*1.2</f>
        <v>190.94399999999996</v>
      </c>
      <c r="F412" s="188">
        <f t="shared" ref="F412:F426" si="220">ROUNDUP(E412/6,2)</f>
        <v>31.830000000000002</v>
      </c>
      <c r="G412" s="118">
        <v>5</v>
      </c>
      <c r="H412" s="59" t="str">
        <f t="shared" ref="H412:H426" si="221">VLOOKUP(G412,LISTAITEMS,2,FALSE)</f>
        <v>Oak Planks</v>
      </c>
      <c r="I412" s="59">
        <f t="shared" ref="I412:I426" si="222">VLOOKUP(G412,LISTAITEMS,5,FALSE)</f>
        <v>1.2</v>
      </c>
      <c r="J412" s="84">
        <v>3</v>
      </c>
      <c r="K412" s="132" t="s">
        <v>260</v>
      </c>
      <c r="L412" s="264" t="str">
        <f t="shared" ref="L412:L426" si="223">VLOOKUP(K412,LISTAITEMS,2,FALSE)</f>
        <v>Orange Wool</v>
      </c>
      <c r="M412" s="264">
        <f t="shared" ref="M412:M426" si="224">VLOOKUP(K412,LISTAITEMS,5,FALSE)</f>
        <v>51.839999999999996</v>
      </c>
      <c r="N412" s="84">
        <v>3</v>
      </c>
      <c r="O412" s="132" t="s">
        <v>926</v>
      </c>
      <c r="P412" s="59" t="str">
        <f t="shared" ref="P412:P426" si="225">VLOOKUP(O412,LISTAITEMS,2,FALSE)</f>
        <v>ninguno</v>
      </c>
      <c r="Q412" s="59">
        <f t="shared" ref="Q412:Q426" si="226">VLOOKUP(O412,LISTAITEMS,5,FALSE)</f>
        <v>0</v>
      </c>
      <c r="R412" s="84"/>
      <c r="S412" s="132" t="s">
        <v>926</v>
      </c>
      <c r="T412" s="264" t="str">
        <f t="shared" ref="T412:T426" si="227">VLOOKUP(S412,LISTAITEMS,2,FALSE)</f>
        <v>ninguno</v>
      </c>
      <c r="U412" s="264">
        <f t="shared" ref="U412:U426" si="228">VLOOKUP(S412,LISTAITEMS,5,FALSE)</f>
        <v>0</v>
      </c>
      <c r="V412" s="84"/>
    </row>
    <row r="413" spans="1:22" s="266" customFormat="1" ht="14.25" customHeight="1" x14ac:dyDescent="0.25">
      <c r="A413" s="261" t="s">
        <v>1050</v>
      </c>
      <c r="B413" s="260" t="s">
        <v>1066</v>
      </c>
      <c r="C413" s="99">
        <v>1</v>
      </c>
      <c r="D413" s="67"/>
      <c r="E413" s="61">
        <f t="shared" si="219"/>
        <v>321.58080000000001</v>
      </c>
      <c r="F413" s="188">
        <f t="shared" si="220"/>
        <v>53.6</v>
      </c>
      <c r="G413" s="118">
        <v>5</v>
      </c>
      <c r="H413" s="59" t="str">
        <f t="shared" si="221"/>
        <v>Oak Planks</v>
      </c>
      <c r="I413" s="59">
        <f t="shared" si="222"/>
        <v>1.2</v>
      </c>
      <c r="J413" s="84">
        <v>3</v>
      </c>
      <c r="K413" s="132" t="s">
        <v>262</v>
      </c>
      <c r="L413" s="264" t="str">
        <f t="shared" si="223"/>
        <v>Magenta Wool</v>
      </c>
      <c r="M413" s="264">
        <f t="shared" si="224"/>
        <v>88.128</v>
      </c>
      <c r="N413" s="84">
        <v>3</v>
      </c>
      <c r="O413" s="132" t="s">
        <v>926</v>
      </c>
      <c r="P413" s="59" t="str">
        <f t="shared" si="225"/>
        <v>ninguno</v>
      </c>
      <c r="Q413" s="59">
        <f t="shared" si="226"/>
        <v>0</v>
      </c>
      <c r="R413" s="84"/>
      <c r="S413" s="132" t="s">
        <v>926</v>
      </c>
      <c r="T413" s="264" t="str">
        <f t="shared" si="227"/>
        <v>ninguno</v>
      </c>
      <c r="U413" s="264">
        <f t="shared" si="228"/>
        <v>0</v>
      </c>
      <c r="V413" s="84"/>
    </row>
    <row r="414" spans="1:22" s="266" customFormat="1" ht="14.25" customHeight="1" x14ac:dyDescent="0.25">
      <c r="A414" s="261" t="s">
        <v>1051</v>
      </c>
      <c r="B414" s="260" t="s">
        <v>1067</v>
      </c>
      <c r="C414" s="99">
        <v>1</v>
      </c>
      <c r="D414" s="67"/>
      <c r="E414" s="61">
        <f t="shared" si="219"/>
        <v>190.94399999999996</v>
      </c>
      <c r="F414" s="188">
        <f t="shared" si="220"/>
        <v>31.830000000000002</v>
      </c>
      <c r="G414" s="118">
        <v>5</v>
      </c>
      <c r="H414" s="59" t="str">
        <f t="shared" si="221"/>
        <v>Oak Planks</v>
      </c>
      <c r="I414" s="59">
        <f t="shared" si="222"/>
        <v>1.2</v>
      </c>
      <c r="J414" s="84">
        <v>3</v>
      </c>
      <c r="K414" s="132" t="s">
        <v>264</v>
      </c>
      <c r="L414" s="264" t="str">
        <f t="shared" si="223"/>
        <v>Light Blue Wool</v>
      </c>
      <c r="M414" s="264">
        <f t="shared" si="224"/>
        <v>51.839999999999996</v>
      </c>
      <c r="N414" s="84">
        <v>3</v>
      </c>
      <c r="O414" s="132" t="s">
        <v>926</v>
      </c>
      <c r="P414" s="59" t="str">
        <f t="shared" si="225"/>
        <v>ninguno</v>
      </c>
      <c r="Q414" s="59">
        <f t="shared" si="226"/>
        <v>0</v>
      </c>
      <c r="R414" s="84"/>
      <c r="S414" s="132" t="s">
        <v>926</v>
      </c>
      <c r="T414" s="264" t="str">
        <f t="shared" si="227"/>
        <v>ninguno</v>
      </c>
      <c r="U414" s="264">
        <f t="shared" si="228"/>
        <v>0</v>
      </c>
      <c r="V414" s="84"/>
    </row>
    <row r="415" spans="1:22" s="266" customFormat="1" ht="14.25" customHeight="1" x14ac:dyDescent="0.25">
      <c r="A415" s="261" t="s">
        <v>1052</v>
      </c>
      <c r="B415" s="260" t="s">
        <v>1068</v>
      </c>
      <c r="C415" s="99">
        <v>1</v>
      </c>
      <c r="D415" s="67"/>
      <c r="E415" s="61">
        <f t="shared" si="219"/>
        <v>136.51199999999997</v>
      </c>
      <c r="F415" s="188">
        <f t="shared" si="220"/>
        <v>22.76</v>
      </c>
      <c r="G415" s="118">
        <v>5</v>
      </c>
      <c r="H415" s="59" t="str">
        <f t="shared" si="221"/>
        <v>Oak Planks</v>
      </c>
      <c r="I415" s="59">
        <f t="shared" si="222"/>
        <v>1.2</v>
      </c>
      <c r="J415" s="84">
        <v>3</v>
      </c>
      <c r="K415" s="132" t="s">
        <v>265</v>
      </c>
      <c r="L415" s="264" t="str">
        <f t="shared" si="223"/>
        <v>Yellow Wool</v>
      </c>
      <c r="M415" s="264">
        <f t="shared" si="224"/>
        <v>36.72</v>
      </c>
      <c r="N415" s="84">
        <v>3</v>
      </c>
      <c r="O415" s="132" t="s">
        <v>926</v>
      </c>
      <c r="P415" s="59" t="str">
        <f t="shared" si="225"/>
        <v>ninguno</v>
      </c>
      <c r="Q415" s="59">
        <f t="shared" si="226"/>
        <v>0</v>
      </c>
      <c r="R415" s="84"/>
      <c r="S415" s="132" t="s">
        <v>926</v>
      </c>
      <c r="T415" s="264" t="str">
        <f t="shared" si="227"/>
        <v>ninguno</v>
      </c>
      <c r="U415" s="264">
        <f t="shared" si="228"/>
        <v>0</v>
      </c>
      <c r="V415" s="84"/>
    </row>
    <row r="416" spans="1:22" s="266" customFormat="1" ht="14.25" customHeight="1" x14ac:dyDescent="0.25">
      <c r="A416" s="261" t="s">
        <v>1053</v>
      </c>
      <c r="B416" s="260" t="s">
        <v>1069</v>
      </c>
      <c r="C416" s="99">
        <v>1</v>
      </c>
      <c r="D416" s="67"/>
      <c r="E416" s="61">
        <f t="shared" si="219"/>
        <v>237.59999999999997</v>
      </c>
      <c r="F416" s="188">
        <f t="shared" si="220"/>
        <v>39.6</v>
      </c>
      <c r="G416" s="118">
        <v>5</v>
      </c>
      <c r="H416" s="59" t="str">
        <f t="shared" si="221"/>
        <v>Oak Planks</v>
      </c>
      <c r="I416" s="59">
        <f t="shared" si="222"/>
        <v>1.2</v>
      </c>
      <c r="J416" s="84">
        <v>3</v>
      </c>
      <c r="K416" s="132" t="s">
        <v>267</v>
      </c>
      <c r="L416" s="264" t="str">
        <f t="shared" si="223"/>
        <v>Lime Wool</v>
      </c>
      <c r="M416" s="264">
        <f t="shared" si="224"/>
        <v>64.8</v>
      </c>
      <c r="N416" s="84">
        <v>3</v>
      </c>
      <c r="O416" s="132" t="s">
        <v>926</v>
      </c>
      <c r="P416" s="59" t="str">
        <f t="shared" si="225"/>
        <v>ninguno</v>
      </c>
      <c r="Q416" s="59">
        <f t="shared" si="226"/>
        <v>0</v>
      </c>
      <c r="R416" s="84"/>
      <c r="S416" s="132" t="s">
        <v>926</v>
      </c>
      <c r="T416" s="264" t="str">
        <f t="shared" si="227"/>
        <v>ninguno</v>
      </c>
      <c r="U416" s="264">
        <f t="shared" si="228"/>
        <v>0</v>
      </c>
      <c r="V416" s="84"/>
    </row>
    <row r="417" spans="1:22" s="266" customFormat="1" ht="14.25" customHeight="1" x14ac:dyDescent="0.25">
      <c r="A417" s="261" t="s">
        <v>1054</v>
      </c>
      <c r="B417" s="260" t="s">
        <v>1070</v>
      </c>
      <c r="C417" s="99">
        <v>1</v>
      </c>
      <c r="D417" s="67"/>
      <c r="E417" s="61">
        <f t="shared" si="219"/>
        <v>190.94399999999996</v>
      </c>
      <c r="F417" s="188">
        <f t="shared" si="220"/>
        <v>31.830000000000002</v>
      </c>
      <c r="G417" s="118">
        <v>5</v>
      </c>
      <c r="H417" s="59" t="str">
        <f t="shared" si="221"/>
        <v>Oak Planks</v>
      </c>
      <c r="I417" s="59">
        <f t="shared" si="222"/>
        <v>1.2</v>
      </c>
      <c r="J417" s="84">
        <v>3</v>
      </c>
      <c r="K417" s="132" t="s">
        <v>268</v>
      </c>
      <c r="L417" s="264" t="str">
        <f t="shared" si="223"/>
        <v>Pink Wool</v>
      </c>
      <c r="M417" s="264">
        <f t="shared" si="224"/>
        <v>51.839999999999996</v>
      </c>
      <c r="N417" s="84">
        <v>3</v>
      </c>
      <c r="O417" s="132" t="s">
        <v>926</v>
      </c>
      <c r="P417" s="59" t="str">
        <f t="shared" si="225"/>
        <v>ninguno</v>
      </c>
      <c r="Q417" s="59">
        <f t="shared" si="226"/>
        <v>0</v>
      </c>
      <c r="R417" s="84"/>
      <c r="S417" s="132" t="s">
        <v>926</v>
      </c>
      <c r="T417" s="264" t="str">
        <f t="shared" si="227"/>
        <v>ninguno</v>
      </c>
      <c r="U417" s="264">
        <f t="shared" si="228"/>
        <v>0</v>
      </c>
      <c r="V417" s="84"/>
    </row>
    <row r="418" spans="1:22" s="266" customFormat="1" ht="14.25" customHeight="1" x14ac:dyDescent="0.25">
      <c r="A418" s="261" t="s">
        <v>1055</v>
      </c>
      <c r="B418" s="260" t="s">
        <v>1071</v>
      </c>
      <c r="C418" s="99">
        <v>1</v>
      </c>
      <c r="D418" s="67"/>
      <c r="E418" s="61">
        <f t="shared" si="219"/>
        <v>190.94399999999996</v>
      </c>
      <c r="F418" s="188">
        <f t="shared" si="220"/>
        <v>31.830000000000002</v>
      </c>
      <c r="G418" s="118">
        <v>5</v>
      </c>
      <c r="H418" s="59" t="str">
        <f t="shared" si="221"/>
        <v>Oak Planks</v>
      </c>
      <c r="I418" s="59">
        <f t="shared" si="222"/>
        <v>1.2</v>
      </c>
      <c r="J418" s="84">
        <v>3</v>
      </c>
      <c r="K418" s="132" t="s">
        <v>269</v>
      </c>
      <c r="L418" s="264" t="str">
        <f t="shared" si="223"/>
        <v>Gray Wool</v>
      </c>
      <c r="M418" s="264">
        <f t="shared" si="224"/>
        <v>51.839999999999996</v>
      </c>
      <c r="N418" s="84">
        <v>3</v>
      </c>
      <c r="O418" s="132" t="s">
        <v>926</v>
      </c>
      <c r="P418" s="59" t="str">
        <f t="shared" si="225"/>
        <v>ninguno</v>
      </c>
      <c r="Q418" s="59">
        <f t="shared" si="226"/>
        <v>0</v>
      </c>
      <c r="R418" s="84"/>
      <c r="S418" s="132" t="s">
        <v>926</v>
      </c>
      <c r="T418" s="264" t="str">
        <f t="shared" si="227"/>
        <v>ninguno</v>
      </c>
      <c r="U418" s="264">
        <f t="shared" si="228"/>
        <v>0</v>
      </c>
      <c r="V418" s="84"/>
    </row>
    <row r="419" spans="1:22" s="266" customFormat="1" ht="14.25" customHeight="1" x14ac:dyDescent="0.25">
      <c r="A419" s="261" t="s">
        <v>1056</v>
      </c>
      <c r="B419" s="260" t="s">
        <v>1072</v>
      </c>
      <c r="C419" s="99">
        <v>1</v>
      </c>
      <c r="D419" s="67"/>
      <c r="E419" s="61">
        <f t="shared" si="219"/>
        <v>256.26239999999996</v>
      </c>
      <c r="F419" s="188">
        <f t="shared" si="220"/>
        <v>42.72</v>
      </c>
      <c r="G419" s="118">
        <v>5</v>
      </c>
      <c r="H419" s="59" t="str">
        <f t="shared" si="221"/>
        <v>Oak Planks</v>
      </c>
      <c r="I419" s="59">
        <f t="shared" si="222"/>
        <v>1.2</v>
      </c>
      <c r="J419" s="84">
        <v>3</v>
      </c>
      <c r="K419" s="132" t="s">
        <v>270</v>
      </c>
      <c r="L419" s="264" t="str">
        <f t="shared" si="223"/>
        <v>Light Gray Wool</v>
      </c>
      <c r="M419" s="264">
        <f t="shared" si="224"/>
        <v>69.983999999999995</v>
      </c>
      <c r="N419" s="84">
        <v>3</v>
      </c>
      <c r="O419" s="132" t="s">
        <v>926</v>
      </c>
      <c r="P419" s="59" t="str">
        <f t="shared" si="225"/>
        <v>ninguno</v>
      </c>
      <c r="Q419" s="59">
        <f t="shared" si="226"/>
        <v>0</v>
      </c>
      <c r="R419" s="84"/>
      <c r="S419" s="132" t="s">
        <v>926</v>
      </c>
      <c r="T419" s="264" t="str">
        <f t="shared" si="227"/>
        <v>ninguno</v>
      </c>
      <c r="U419" s="264">
        <f t="shared" si="228"/>
        <v>0</v>
      </c>
      <c r="V419" s="84"/>
    </row>
    <row r="420" spans="1:22" s="266" customFormat="1" ht="14.25" customHeight="1" x14ac:dyDescent="0.25">
      <c r="A420" s="261" t="s">
        <v>1057</v>
      </c>
      <c r="B420" s="260" t="s">
        <v>1073</v>
      </c>
      <c r="C420" s="99">
        <v>1</v>
      </c>
      <c r="D420" s="67"/>
      <c r="E420" s="61">
        <f t="shared" si="219"/>
        <v>190.94399999999996</v>
      </c>
      <c r="F420" s="188">
        <f t="shared" si="220"/>
        <v>31.830000000000002</v>
      </c>
      <c r="G420" s="118">
        <v>5</v>
      </c>
      <c r="H420" s="59" t="str">
        <f t="shared" si="221"/>
        <v>Oak Planks</v>
      </c>
      <c r="I420" s="59">
        <f t="shared" si="222"/>
        <v>1.2</v>
      </c>
      <c r="J420" s="84">
        <v>3</v>
      </c>
      <c r="K420" s="132" t="s">
        <v>271</v>
      </c>
      <c r="L420" s="264" t="str">
        <f t="shared" si="223"/>
        <v>Cyan Wool</v>
      </c>
      <c r="M420" s="264">
        <f t="shared" si="224"/>
        <v>51.839999999999996</v>
      </c>
      <c r="N420" s="84">
        <v>3</v>
      </c>
      <c r="O420" s="132" t="s">
        <v>926</v>
      </c>
      <c r="P420" s="59" t="str">
        <f t="shared" si="225"/>
        <v>ninguno</v>
      </c>
      <c r="Q420" s="59">
        <f t="shared" si="226"/>
        <v>0</v>
      </c>
      <c r="R420" s="84"/>
      <c r="S420" s="132" t="s">
        <v>926</v>
      </c>
      <c r="T420" s="264" t="str">
        <f t="shared" si="227"/>
        <v>ninguno</v>
      </c>
      <c r="U420" s="264">
        <f t="shared" si="228"/>
        <v>0</v>
      </c>
      <c r="V420" s="84"/>
    </row>
    <row r="421" spans="1:22" s="266" customFormat="1" ht="14.25" customHeight="1" x14ac:dyDescent="0.25">
      <c r="A421" s="261" t="s">
        <v>1058</v>
      </c>
      <c r="B421" s="260" t="s">
        <v>1074</v>
      </c>
      <c r="C421" s="99">
        <v>1</v>
      </c>
      <c r="D421" s="67"/>
      <c r="E421" s="61">
        <f t="shared" si="219"/>
        <v>190.94399999999996</v>
      </c>
      <c r="F421" s="188">
        <f t="shared" si="220"/>
        <v>31.830000000000002</v>
      </c>
      <c r="G421" s="118">
        <v>5</v>
      </c>
      <c r="H421" s="59" t="str">
        <f t="shared" si="221"/>
        <v>Oak Planks</v>
      </c>
      <c r="I421" s="59">
        <f t="shared" si="222"/>
        <v>1.2</v>
      </c>
      <c r="J421" s="84">
        <v>3</v>
      </c>
      <c r="K421" s="132" t="s">
        <v>273</v>
      </c>
      <c r="L421" s="264" t="str">
        <f t="shared" si="223"/>
        <v>Purple Wool</v>
      </c>
      <c r="M421" s="264">
        <f t="shared" si="224"/>
        <v>51.839999999999996</v>
      </c>
      <c r="N421" s="84">
        <v>3</v>
      </c>
      <c r="O421" s="132" t="s">
        <v>926</v>
      </c>
      <c r="P421" s="59" t="str">
        <f t="shared" si="225"/>
        <v>ninguno</v>
      </c>
      <c r="Q421" s="59">
        <f t="shared" si="226"/>
        <v>0</v>
      </c>
      <c r="R421" s="84"/>
      <c r="S421" s="132" t="s">
        <v>926</v>
      </c>
      <c r="T421" s="264" t="str">
        <f t="shared" si="227"/>
        <v>ninguno</v>
      </c>
      <c r="U421" s="264">
        <f t="shared" si="228"/>
        <v>0</v>
      </c>
      <c r="V421" s="84"/>
    </row>
    <row r="422" spans="1:22" s="266" customFormat="1" ht="14.25" customHeight="1" x14ac:dyDescent="0.25">
      <c r="A422" s="261" t="s">
        <v>1059</v>
      </c>
      <c r="B422" s="260" t="s">
        <v>1075</v>
      </c>
      <c r="C422" s="99">
        <v>1</v>
      </c>
      <c r="D422" s="67"/>
      <c r="E422" s="61">
        <f t="shared" si="219"/>
        <v>136.51199999999997</v>
      </c>
      <c r="F422" s="188">
        <f t="shared" si="220"/>
        <v>22.76</v>
      </c>
      <c r="G422" s="118">
        <v>5</v>
      </c>
      <c r="H422" s="59" t="str">
        <f t="shared" si="221"/>
        <v>Oak Planks</v>
      </c>
      <c r="I422" s="59">
        <f t="shared" si="222"/>
        <v>1.2</v>
      </c>
      <c r="J422" s="84">
        <v>3</v>
      </c>
      <c r="K422" s="132" t="s">
        <v>275</v>
      </c>
      <c r="L422" s="264" t="str">
        <f t="shared" si="223"/>
        <v>Blue Wool</v>
      </c>
      <c r="M422" s="264">
        <f t="shared" si="224"/>
        <v>36.72</v>
      </c>
      <c r="N422" s="84">
        <v>3</v>
      </c>
      <c r="O422" s="132" t="s">
        <v>926</v>
      </c>
      <c r="P422" s="59" t="str">
        <f t="shared" si="225"/>
        <v>ninguno</v>
      </c>
      <c r="Q422" s="59">
        <f t="shared" si="226"/>
        <v>0</v>
      </c>
      <c r="R422" s="84"/>
      <c r="S422" s="132" t="s">
        <v>926</v>
      </c>
      <c r="T422" s="264" t="str">
        <f t="shared" si="227"/>
        <v>ninguno</v>
      </c>
      <c r="U422" s="264">
        <f t="shared" si="228"/>
        <v>0</v>
      </c>
      <c r="V422" s="84"/>
    </row>
    <row r="423" spans="1:22" s="266" customFormat="1" ht="14.25" customHeight="1" x14ac:dyDescent="0.25">
      <c r="A423" s="261" t="s">
        <v>1060</v>
      </c>
      <c r="B423" s="260" t="s">
        <v>1076</v>
      </c>
      <c r="C423" s="99">
        <v>1</v>
      </c>
      <c r="D423" s="67"/>
      <c r="E423" s="61">
        <f t="shared" si="219"/>
        <v>136.51199999999997</v>
      </c>
      <c r="F423" s="188">
        <f t="shared" si="220"/>
        <v>22.76</v>
      </c>
      <c r="G423" s="118">
        <v>5</v>
      </c>
      <c r="H423" s="59" t="str">
        <f t="shared" si="221"/>
        <v>Oak Planks</v>
      </c>
      <c r="I423" s="59">
        <f t="shared" si="222"/>
        <v>1.2</v>
      </c>
      <c r="J423" s="84">
        <v>3</v>
      </c>
      <c r="K423" s="132" t="s">
        <v>277</v>
      </c>
      <c r="L423" s="264" t="str">
        <f t="shared" si="223"/>
        <v>Brown Wool</v>
      </c>
      <c r="M423" s="264">
        <f t="shared" si="224"/>
        <v>36.72</v>
      </c>
      <c r="N423" s="84">
        <v>3</v>
      </c>
      <c r="O423" s="132" t="s">
        <v>926</v>
      </c>
      <c r="P423" s="59" t="str">
        <f t="shared" si="225"/>
        <v>ninguno</v>
      </c>
      <c r="Q423" s="59">
        <f t="shared" si="226"/>
        <v>0</v>
      </c>
      <c r="R423" s="84"/>
      <c r="S423" s="132" t="s">
        <v>926</v>
      </c>
      <c r="T423" s="264" t="str">
        <f t="shared" si="227"/>
        <v>ninguno</v>
      </c>
      <c r="U423" s="264">
        <f t="shared" si="228"/>
        <v>0</v>
      </c>
      <c r="V423" s="84"/>
    </row>
    <row r="424" spans="1:22" s="266" customFormat="1" ht="14.25" customHeight="1" x14ac:dyDescent="0.25">
      <c r="A424" s="261" t="s">
        <v>1061</v>
      </c>
      <c r="B424" s="260" t="s">
        <v>1077</v>
      </c>
      <c r="C424" s="99">
        <v>1</v>
      </c>
      <c r="D424" s="67"/>
      <c r="E424" s="61">
        <f t="shared" si="219"/>
        <v>136.51199999999997</v>
      </c>
      <c r="F424" s="188">
        <f t="shared" si="220"/>
        <v>22.76</v>
      </c>
      <c r="G424" s="118">
        <v>5</v>
      </c>
      <c r="H424" s="59" t="str">
        <f t="shared" si="221"/>
        <v>Oak Planks</v>
      </c>
      <c r="I424" s="59">
        <f t="shared" si="222"/>
        <v>1.2</v>
      </c>
      <c r="J424" s="84">
        <v>3</v>
      </c>
      <c r="K424" s="132" t="s">
        <v>279</v>
      </c>
      <c r="L424" s="264" t="str">
        <f t="shared" si="223"/>
        <v>Green Wool</v>
      </c>
      <c r="M424" s="264">
        <f t="shared" si="224"/>
        <v>36.72</v>
      </c>
      <c r="N424" s="84">
        <v>3</v>
      </c>
      <c r="O424" s="132" t="s">
        <v>926</v>
      </c>
      <c r="P424" s="59" t="str">
        <f t="shared" si="225"/>
        <v>ninguno</v>
      </c>
      <c r="Q424" s="59">
        <f t="shared" si="226"/>
        <v>0</v>
      </c>
      <c r="R424" s="84"/>
      <c r="S424" s="132" t="s">
        <v>926</v>
      </c>
      <c r="T424" s="264" t="str">
        <f t="shared" si="227"/>
        <v>ninguno</v>
      </c>
      <c r="U424" s="264">
        <f t="shared" si="228"/>
        <v>0</v>
      </c>
      <c r="V424" s="84"/>
    </row>
    <row r="425" spans="1:22" s="266" customFormat="1" ht="14.25" customHeight="1" x14ac:dyDescent="0.25">
      <c r="A425" s="261" t="s">
        <v>1062</v>
      </c>
      <c r="B425" s="260" t="s">
        <v>1078</v>
      </c>
      <c r="C425" s="99">
        <v>1</v>
      </c>
      <c r="D425" s="67"/>
      <c r="E425" s="61">
        <f t="shared" si="219"/>
        <v>136.51199999999997</v>
      </c>
      <c r="F425" s="188">
        <f t="shared" si="220"/>
        <v>22.76</v>
      </c>
      <c r="G425" s="118">
        <v>5</v>
      </c>
      <c r="H425" s="59" t="str">
        <f t="shared" si="221"/>
        <v>Oak Planks</v>
      </c>
      <c r="I425" s="59">
        <f t="shared" si="222"/>
        <v>1.2</v>
      </c>
      <c r="J425" s="84">
        <v>3</v>
      </c>
      <c r="K425" s="132" t="s">
        <v>281</v>
      </c>
      <c r="L425" s="264" t="str">
        <f t="shared" si="223"/>
        <v>Red Wool</v>
      </c>
      <c r="M425" s="264">
        <f t="shared" si="224"/>
        <v>36.72</v>
      </c>
      <c r="N425" s="84">
        <v>3</v>
      </c>
      <c r="O425" s="132" t="s">
        <v>926</v>
      </c>
      <c r="P425" s="59" t="str">
        <f t="shared" si="225"/>
        <v>ninguno</v>
      </c>
      <c r="Q425" s="59">
        <f t="shared" si="226"/>
        <v>0</v>
      </c>
      <c r="R425" s="84"/>
      <c r="S425" s="132" t="s">
        <v>926</v>
      </c>
      <c r="T425" s="264" t="str">
        <f t="shared" si="227"/>
        <v>ninguno</v>
      </c>
      <c r="U425" s="264">
        <f t="shared" si="228"/>
        <v>0</v>
      </c>
      <c r="V425" s="84"/>
    </row>
    <row r="426" spans="1:22" s="266" customFormat="1" ht="14.25" customHeight="1" x14ac:dyDescent="0.25">
      <c r="A426" s="261" t="s">
        <v>1063</v>
      </c>
      <c r="B426" s="260" t="s">
        <v>1079</v>
      </c>
      <c r="C426" s="99">
        <v>1</v>
      </c>
      <c r="D426" s="67"/>
      <c r="E426" s="61">
        <f t="shared" si="219"/>
        <v>136.51199999999997</v>
      </c>
      <c r="F426" s="188">
        <f t="shared" si="220"/>
        <v>22.76</v>
      </c>
      <c r="G426" s="118">
        <v>5</v>
      </c>
      <c r="H426" s="59" t="str">
        <f t="shared" si="221"/>
        <v>Oak Planks</v>
      </c>
      <c r="I426" s="59">
        <f t="shared" si="222"/>
        <v>1.2</v>
      </c>
      <c r="J426" s="84">
        <v>3</v>
      </c>
      <c r="K426" s="132" t="s">
        <v>283</v>
      </c>
      <c r="L426" s="264" t="str">
        <f t="shared" si="223"/>
        <v>Black Wool</v>
      </c>
      <c r="M426" s="264">
        <f t="shared" si="224"/>
        <v>36.72</v>
      </c>
      <c r="N426" s="84">
        <v>3</v>
      </c>
      <c r="O426" s="132" t="s">
        <v>926</v>
      </c>
      <c r="P426" s="59" t="str">
        <f t="shared" si="225"/>
        <v>ninguno</v>
      </c>
      <c r="Q426" s="59">
        <f t="shared" si="226"/>
        <v>0</v>
      </c>
      <c r="R426" s="84"/>
      <c r="S426" s="132" t="s">
        <v>926</v>
      </c>
      <c r="T426" s="264" t="str">
        <f t="shared" si="227"/>
        <v>ninguno</v>
      </c>
      <c r="U426" s="264">
        <f t="shared" si="228"/>
        <v>0</v>
      </c>
      <c r="V426" s="84"/>
    </row>
    <row r="427" spans="1:22" s="108" customFormat="1" ht="14.25" customHeight="1" x14ac:dyDescent="0.25">
      <c r="A427" s="119">
        <v>356</v>
      </c>
      <c r="B427" s="68" t="s">
        <v>683</v>
      </c>
      <c r="C427" s="99">
        <v>1</v>
      </c>
      <c r="D427" s="67"/>
      <c r="E427" s="61">
        <f>(((I427*J427)+(M427*N427)+(Q427*R427)+(U427*V427))/C427)*1.2</f>
        <v>53.078399999999995</v>
      </c>
      <c r="F427" s="188">
        <f t="shared" si="183"/>
        <v>8.85</v>
      </c>
      <c r="G427" s="118">
        <v>1</v>
      </c>
      <c r="H427" s="59" t="str">
        <f t="shared" si="211"/>
        <v>Stone</v>
      </c>
      <c r="I427" s="59">
        <f t="shared" si="212"/>
        <v>3.5999999999999996</v>
      </c>
      <c r="J427" s="84">
        <v>3</v>
      </c>
      <c r="K427" s="132">
        <v>76</v>
      </c>
      <c r="L427" s="107" t="str">
        <f t="shared" si="213"/>
        <v>Redstone Torch</v>
      </c>
      <c r="M427" s="107">
        <f t="shared" si="214"/>
        <v>18.431999999999999</v>
      </c>
      <c r="N427" s="84">
        <v>1</v>
      </c>
      <c r="O427" s="132">
        <v>331</v>
      </c>
      <c r="P427" s="59" t="str">
        <f t="shared" si="215"/>
        <v>Redstone Dust</v>
      </c>
      <c r="Q427" s="59">
        <f t="shared" si="216"/>
        <v>15</v>
      </c>
      <c r="R427" s="84">
        <v>1</v>
      </c>
      <c r="S427" s="132" t="s">
        <v>926</v>
      </c>
      <c r="T427" s="107" t="str">
        <f t="shared" si="217"/>
        <v>ninguno</v>
      </c>
      <c r="U427" s="107">
        <f t="shared" si="218"/>
        <v>0</v>
      </c>
      <c r="V427" s="84"/>
    </row>
    <row r="428" spans="1:22" s="108" customFormat="1" ht="14.25" customHeight="1" x14ac:dyDescent="0.25">
      <c r="A428" s="119">
        <v>357</v>
      </c>
      <c r="B428" s="68" t="s">
        <v>684</v>
      </c>
      <c r="C428" s="99">
        <v>8</v>
      </c>
      <c r="D428" s="67"/>
      <c r="E428" s="61">
        <f t="shared" si="210"/>
        <v>181.04999999999998</v>
      </c>
      <c r="F428" s="188">
        <f t="shared" si="183"/>
        <v>30.180000000000003</v>
      </c>
      <c r="G428" s="118">
        <v>296</v>
      </c>
      <c r="H428" s="59" t="str">
        <f t="shared" si="211"/>
        <v>Wheat</v>
      </c>
      <c r="I428" s="59">
        <f t="shared" si="212"/>
        <v>599</v>
      </c>
      <c r="J428" s="84">
        <v>2</v>
      </c>
      <c r="K428" s="132" t="s">
        <v>654</v>
      </c>
      <c r="L428" s="107" t="str">
        <f t="shared" si="213"/>
        <v>Cocoa Bean</v>
      </c>
      <c r="M428" s="107">
        <f t="shared" si="214"/>
        <v>9</v>
      </c>
      <c r="N428" s="84">
        <v>1</v>
      </c>
      <c r="O428" s="132" t="s">
        <v>926</v>
      </c>
      <c r="P428" s="59" t="str">
        <f t="shared" si="215"/>
        <v>ninguno</v>
      </c>
      <c r="Q428" s="59">
        <f t="shared" si="216"/>
        <v>0</v>
      </c>
      <c r="R428" s="84"/>
      <c r="S428" s="132" t="s">
        <v>926</v>
      </c>
      <c r="T428" s="107" t="str">
        <f t="shared" si="217"/>
        <v>ninguno</v>
      </c>
      <c r="U428" s="107">
        <f t="shared" si="218"/>
        <v>0</v>
      </c>
      <c r="V428" s="84"/>
    </row>
    <row r="429" spans="1:22" s="108" customFormat="1" ht="14.25" customHeight="1" x14ac:dyDescent="0.25">
      <c r="A429" s="127">
        <v>358</v>
      </c>
      <c r="B429" s="69" t="s">
        <v>685</v>
      </c>
      <c r="C429" s="99">
        <v>1</v>
      </c>
      <c r="D429" s="67"/>
      <c r="E429" s="61">
        <f t="shared" si="210"/>
        <v>0</v>
      </c>
      <c r="F429" s="188">
        <f t="shared" si="183"/>
        <v>0</v>
      </c>
      <c r="G429" s="118" t="s">
        <v>926</v>
      </c>
      <c r="H429" s="59" t="str">
        <f t="shared" si="211"/>
        <v>ninguno</v>
      </c>
      <c r="I429" s="59">
        <f t="shared" si="212"/>
        <v>0</v>
      </c>
      <c r="J429" s="84"/>
      <c r="K429" s="132" t="s">
        <v>926</v>
      </c>
      <c r="L429" s="107" t="str">
        <f t="shared" si="213"/>
        <v>ninguno</v>
      </c>
      <c r="M429" s="107">
        <f t="shared" si="214"/>
        <v>0</v>
      </c>
      <c r="N429" s="84"/>
      <c r="O429" s="132" t="s">
        <v>926</v>
      </c>
      <c r="P429" s="59" t="str">
        <f t="shared" si="215"/>
        <v>ninguno</v>
      </c>
      <c r="Q429" s="59">
        <f t="shared" si="216"/>
        <v>0</v>
      </c>
      <c r="R429" s="84"/>
      <c r="S429" s="132" t="s">
        <v>926</v>
      </c>
      <c r="T429" s="107" t="str">
        <f t="shared" si="217"/>
        <v>ninguno</v>
      </c>
      <c r="U429" s="107">
        <f t="shared" si="218"/>
        <v>0</v>
      </c>
      <c r="V429" s="84"/>
    </row>
    <row r="430" spans="1:22" s="108" customFormat="1" ht="14.25" customHeight="1" x14ac:dyDescent="0.25">
      <c r="A430" s="119">
        <v>359</v>
      </c>
      <c r="B430" s="68" t="s">
        <v>686</v>
      </c>
      <c r="C430" s="99">
        <v>1</v>
      </c>
      <c r="D430" s="67"/>
      <c r="E430" s="61">
        <f t="shared" si="210"/>
        <v>1920</v>
      </c>
      <c r="F430" s="188">
        <f t="shared" si="183"/>
        <v>320</v>
      </c>
      <c r="G430" s="118">
        <v>265</v>
      </c>
      <c r="H430" s="59" t="str">
        <f t="shared" si="211"/>
        <v>Iron Ingot</v>
      </c>
      <c r="I430" s="59">
        <f t="shared" si="212"/>
        <v>800</v>
      </c>
      <c r="J430" s="84">
        <v>2</v>
      </c>
      <c r="K430" s="132" t="s">
        <v>926</v>
      </c>
      <c r="L430" s="107" t="str">
        <f t="shared" si="213"/>
        <v>ninguno</v>
      </c>
      <c r="M430" s="107">
        <f t="shared" si="214"/>
        <v>0</v>
      </c>
      <c r="N430" s="84"/>
      <c r="O430" s="132" t="s">
        <v>926</v>
      </c>
      <c r="P430" s="59" t="str">
        <f t="shared" si="215"/>
        <v>ninguno</v>
      </c>
      <c r="Q430" s="59">
        <f t="shared" si="216"/>
        <v>0</v>
      </c>
      <c r="R430" s="84"/>
      <c r="S430" s="132" t="s">
        <v>926</v>
      </c>
      <c r="T430" s="107" t="str">
        <f t="shared" si="217"/>
        <v>ninguno</v>
      </c>
      <c r="U430" s="107">
        <f t="shared" si="218"/>
        <v>0</v>
      </c>
      <c r="V430" s="84"/>
    </row>
    <row r="431" spans="1:22" s="114" customFormat="1" ht="14.25" customHeight="1" x14ac:dyDescent="0.25">
      <c r="A431" s="115">
        <v>360</v>
      </c>
      <c r="B431" s="89" t="s">
        <v>687</v>
      </c>
      <c r="C431" s="113"/>
      <c r="D431" s="85"/>
      <c r="E431" s="85">
        <f>'ECONOMIA &amp; PROFESIONES'!I28/4</f>
        <v>64.25</v>
      </c>
      <c r="F431" s="188">
        <f t="shared" si="183"/>
        <v>10.709999999999999</v>
      </c>
      <c r="G431" s="118"/>
      <c r="H431" s="85" t="e">
        <f t="shared" si="211"/>
        <v>#N/A</v>
      </c>
      <c r="I431" s="85" t="e">
        <f t="shared" si="212"/>
        <v>#N/A</v>
      </c>
      <c r="J431" s="85"/>
      <c r="K431" s="133" t="s">
        <v>926</v>
      </c>
      <c r="L431" s="85" t="str">
        <f t="shared" si="213"/>
        <v>ninguno</v>
      </c>
      <c r="M431" s="85">
        <f t="shared" si="214"/>
        <v>0</v>
      </c>
      <c r="N431" s="85"/>
      <c r="O431" s="133" t="s">
        <v>926</v>
      </c>
      <c r="P431" s="85" t="str">
        <f t="shared" si="215"/>
        <v>ninguno</v>
      </c>
      <c r="Q431" s="85">
        <f t="shared" si="216"/>
        <v>0</v>
      </c>
      <c r="R431" s="85"/>
      <c r="S431" s="133" t="s">
        <v>926</v>
      </c>
      <c r="T431" s="85" t="str">
        <f t="shared" si="217"/>
        <v>ninguno</v>
      </c>
      <c r="U431" s="85">
        <f t="shared" si="218"/>
        <v>0</v>
      </c>
      <c r="V431" s="85"/>
    </row>
    <row r="432" spans="1:22" s="88" customFormat="1" ht="14.25" customHeight="1" x14ac:dyDescent="0.25">
      <c r="A432" s="115">
        <v>363</v>
      </c>
      <c r="B432" s="89" t="s">
        <v>688</v>
      </c>
      <c r="C432" s="113"/>
      <c r="D432" s="85"/>
      <c r="E432" s="85">
        <f>'ECONOMIA &amp; PROFESIONES'!$K$29</f>
        <v>428</v>
      </c>
      <c r="F432" s="188">
        <f t="shared" si="183"/>
        <v>71.34</v>
      </c>
      <c r="G432" s="118"/>
      <c r="H432" s="85"/>
      <c r="I432" s="85"/>
      <c r="J432" s="85"/>
      <c r="K432" s="85"/>
      <c r="L432" s="85"/>
      <c r="M432" s="85"/>
      <c r="N432" s="85"/>
      <c r="O432" s="85"/>
      <c r="P432" s="85"/>
      <c r="Q432" s="85"/>
      <c r="R432" s="85"/>
      <c r="S432" s="85"/>
      <c r="T432" s="85"/>
      <c r="U432" s="85"/>
      <c r="V432" s="85"/>
    </row>
    <row r="433" spans="1:22" s="53" customFormat="1" ht="14.25" customHeight="1" x14ac:dyDescent="0.25">
      <c r="A433" s="128">
        <v>364</v>
      </c>
      <c r="B433" s="73" t="s">
        <v>930</v>
      </c>
      <c r="C433" s="101">
        <v>1</v>
      </c>
      <c r="D433" s="82"/>
      <c r="E433" s="61">
        <f>(((I433*J433)+(M433*N433)+(Q433*R433)+(U433*V433))/C433)*1.2</f>
        <v>513.6</v>
      </c>
      <c r="F433" s="188">
        <f t="shared" si="183"/>
        <v>85.6</v>
      </c>
      <c r="G433" s="118">
        <v>363</v>
      </c>
      <c r="H433" s="59" t="str">
        <f>VLOOKUP(G433,LISTAITEMS,2,FALSE)</f>
        <v>Raw Beef</v>
      </c>
      <c r="I433" s="59">
        <f>VLOOKUP(G433,LISTAITEMS,5,FALSE)</f>
        <v>428</v>
      </c>
      <c r="J433" s="84">
        <v>1</v>
      </c>
      <c r="K433" s="132" t="s">
        <v>926</v>
      </c>
      <c r="L433" s="107" t="str">
        <f>VLOOKUP(K433,LISTAITEMS,2,FALSE)</f>
        <v>ninguno</v>
      </c>
      <c r="M433" s="107">
        <f>VLOOKUP(K433,LISTAITEMS,5,FALSE)</f>
        <v>0</v>
      </c>
      <c r="N433" s="84"/>
      <c r="O433" s="132" t="s">
        <v>926</v>
      </c>
      <c r="P433" s="59" t="str">
        <f>VLOOKUP(O433,LISTAITEMS,2,FALSE)</f>
        <v>ninguno</v>
      </c>
      <c r="Q433" s="59">
        <f>VLOOKUP(O433,LISTAITEMS,5,FALSE)</f>
        <v>0</v>
      </c>
      <c r="R433" s="84"/>
      <c r="S433" s="132" t="s">
        <v>926</v>
      </c>
      <c r="T433" s="107" t="str">
        <f>VLOOKUP(S433,LISTAITEMS,2,FALSE)</f>
        <v>ninguno</v>
      </c>
      <c r="U433" s="107">
        <f>VLOOKUP(S433,LISTAITEMS,5,FALSE)</f>
        <v>0</v>
      </c>
      <c r="V433" s="84"/>
    </row>
    <row r="434" spans="1:22" s="88" customFormat="1" ht="14.25" customHeight="1" x14ac:dyDescent="0.25">
      <c r="A434" s="115">
        <v>365</v>
      </c>
      <c r="B434" s="89" t="s">
        <v>689</v>
      </c>
      <c r="C434" s="100"/>
      <c r="D434" s="85"/>
      <c r="E434" s="85">
        <f>'ECONOMIA &amp; PROFESIONES'!K27</f>
        <v>86</v>
      </c>
      <c r="F434" s="188">
        <f t="shared" si="183"/>
        <v>14.34</v>
      </c>
      <c r="G434" s="118"/>
      <c r="H434" s="85"/>
      <c r="I434" s="85"/>
      <c r="J434" s="87"/>
      <c r="K434" s="87"/>
      <c r="L434" s="85"/>
      <c r="M434" s="85"/>
      <c r="N434" s="87"/>
      <c r="O434" s="87"/>
      <c r="P434" s="85"/>
      <c r="Q434" s="85"/>
      <c r="R434" s="87"/>
      <c r="S434" s="87"/>
      <c r="T434" s="85"/>
      <c r="U434" s="85"/>
      <c r="V434" s="87"/>
    </row>
    <row r="435" spans="1:22" s="108" customFormat="1" ht="14.25" customHeight="1" x14ac:dyDescent="0.25">
      <c r="A435" s="119">
        <v>366</v>
      </c>
      <c r="B435" s="68" t="s">
        <v>690</v>
      </c>
      <c r="C435" s="99">
        <v>1</v>
      </c>
      <c r="D435" s="67"/>
      <c r="E435" s="61">
        <f>(((I435*J435)+(M435*N435)+(Q435*R435)+(U435*V435))/C435)*1.2</f>
        <v>103.2</v>
      </c>
      <c r="F435" s="188">
        <f t="shared" si="183"/>
        <v>17.2</v>
      </c>
      <c r="G435" s="118">
        <v>365</v>
      </c>
      <c r="H435" s="59" t="str">
        <f t="shared" ref="H435:H465" si="229">VLOOKUP(G435,LISTAITEMS,2,FALSE)</f>
        <v>Raw Chicken</v>
      </c>
      <c r="I435" s="59">
        <f t="shared" ref="I435:I465" si="230">VLOOKUP(G435,LISTAITEMS,5,FALSE)</f>
        <v>86</v>
      </c>
      <c r="J435" s="84">
        <v>1</v>
      </c>
      <c r="K435" s="132" t="s">
        <v>926</v>
      </c>
      <c r="L435" s="107" t="str">
        <f t="shared" ref="L435:L465" si="231">VLOOKUP(K435,LISTAITEMS,2,FALSE)</f>
        <v>ninguno</v>
      </c>
      <c r="M435" s="107">
        <f t="shared" ref="M435:M465" si="232">VLOOKUP(K435,LISTAITEMS,5,FALSE)</f>
        <v>0</v>
      </c>
      <c r="N435" s="84"/>
      <c r="O435" s="132" t="s">
        <v>926</v>
      </c>
      <c r="P435" s="59" t="str">
        <f t="shared" ref="P435:P465" si="233">VLOOKUP(O435,LISTAITEMS,2,FALSE)</f>
        <v>ninguno</v>
      </c>
      <c r="Q435" s="59">
        <f t="shared" ref="Q435:Q465" si="234">VLOOKUP(O435,LISTAITEMS,5,FALSE)</f>
        <v>0</v>
      </c>
      <c r="R435" s="84"/>
      <c r="S435" s="132" t="s">
        <v>926</v>
      </c>
      <c r="T435" s="107" t="str">
        <f t="shared" ref="T435:T465" si="235">VLOOKUP(S435,LISTAITEMS,2,FALSE)</f>
        <v>ninguno</v>
      </c>
      <c r="U435" s="107">
        <f t="shared" ref="U435:U465" si="236">VLOOKUP(S435,LISTAITEMS,5,FALSE)</f>
        <v>0</v>
      </c>
      <c r="V435" s="84"/>
    </row>
    <row r="436" spans="1:22" s="114" customFormat="1" ht="14.25" customHeight="1" x14ac:dyDescent="0.25">
      <c r="A436" s="115">
        <v>367</v>
      </c>
      <c r="B436" s="89" t="s">
        <v>691</v>
      </c>
      <c r="C436" s="113"/>
      <c r="D436" s="85"/>
      <c r="E436" s="85">
        <f>'ECONOMIA &amp; PROFESIONES'!G44</f>
        <v>3</v>
      </c>
      <c r="F436" s="188">
        <f t="shared" si="183"/>
        <v>0.5</v>
      </c>
      <c r="G436" s="118"/>
      <c r="H436" s="85" t="e">
        <f t="shared" si="229"/>
        <v>#N/A</v>
      </c>
      <c r="I436" s="85" t="e">
        <f t="shared" si="230"/>
        <v>#N/A</v>
      </c>
      <c r="J436" s="85"/>
      <c r="K436" s="133" t="s">
        <v>926</v>
      </c>
      <c r="L436" s="85" t="str">
        <f t="shared" si="231"/>
        <v>ninguno</v>
      </c>
      <c r="M436" s="85">
        <f t="shared" si="232"/>
        <v>0</v>
      </c>
      <c r="N436" s="85"/>
      <c r="O436" s="133" t="s">
        <v>926</v>
      </c>
      <c r="P436" s="85" t="str">
        <f t="shared" si="233"/>
        <v>ninguno</v>
      </c>
      <c r="Q436" s="85">
        <f t="shared" si="234"/>
        <v>0</v>
      </c>
      <c r="R436" s="85"/>
      <c r="S436" s="133" t="s">
        <v>926</v>
      </c>
      <c r="T436" s="85" t="str">
        <f t="shared" si="235"/>
        <v>ninguno</v>
      </c>
      <c r="U436" s="85">
        <f t="shared" si="236"/>
        <v>0</v>
      </c>
      <c r="V436" s="85"/>
    </row>
    <row r="437" spans="1:22" s="114" customFormat="1" ht="14.25" customHeight="1" x14ac:dyDescent="0.25">
      <c r="A437" s="115">
        <v>368</v>
      </c>
      <c r="B437" s="89" t="s">
        <v>692</v>
      </c>
      <c r="C437" s="113"/>
      <c r="D437" s="85"/>
      <c r="E437" s="85">
        <f>'ECONOMIA &amp; PROFESIONES'!G53</f>
        <v>27</v>
      </c>
      <c r="F437" s="188">
        <f t="shared" si="183"/>
        <v>4.5</v>
      </c>
      <c r="G437" s="118"/>
      <c r="H437" s="85" t="e">
        <f t="shared" si="229"/>
        <v>#N/A</v>
      </c>
      <c r="I437" s="85" t="e">
        <f t="shared" si="230"/>
        <v>#N/A</v>
      </c>
      <c r="J437" s="85"/>
      <c r="K437" s="133" t="s">
        <v>926</v>
      </c>
      <c r="L437" s="85" t="str">
        <f t="shared" si="231"/>
        <v>ninguno</v>
      </c>
      <c r="M437" s="85">
        <f t="shared" si="232"/>
        <v>0</v>
      </c>
      <c r="N437" s="85"/>
      <c r="O437" s="133" t="s">
        <v>926</v>
      </c>
      <c r="P437" s="85" t="str">
        <f t="shared" si="233"/>
        <v>ninguno</v>
      </c>
      <c r="Q437" s="85">
        <f t="shared" si="234"/>
        <v>0</v>
      </c>
      <c r="R437" s="85"/>
      <c r="S437" s="133" t="s">
        <v>926</v>
      </c>
      <c r="T437" s="85" t="str">
        <f t="shared" si="235"/>
        <v>ninguno</v>
      </c>
      <c r="U437" s="85">
        <f t="shared" si="236"/>
        <v>0</v>
      </c>
      <c r="V437" s="85"/>
    </row>
    <row r="438" spans="1:22" s="114" customFormat="1" ht="14.25" customHeight="1" x14ac:dyDescent="0.25">
      <c r="A438" s="115">
        <v>369</v>
      </c>
      <c r="B438" s="89" t="s">
        <v>693</v>
      </c>
      <c r="C438" s="113"/>
      <c r="D438" s="85"/>
      <c r="E438" s="85">
        <f>'ECONOMIA &amp; PROFESIONES'!G52</f>
        <v>13.5</v>
      </c>
      <c r="F438" s="188">
        <f t="shared" ref="F438:F501" si="237">ROUNDUP(E438/6,2)</f>
        <v>2.25</v>
      </c>
      <c r="G438" s="118"/>
      <c r="H438" s="85" t="e">
        <f t="shared" si="229"/>
        <v>#N/A</v>
      </c>
      <c r="I438" s="85" t="e">
        <f t="shared" si="230"/>
        <v>#N/A</v>
      </c>
      <c r="J438" s="85"/>
      <c r="K438" s="133" t="s">
        <v>926</v>
      </c>
      <c r="L438" s="85" t="str">
        <f t="shared" si="231"/>
        <v>ninguno</v>
      </c>
      <c r="M438" s="85">
        <f t="shared" si="232"/>
        <v>0</v>
      </c>
      <c r="N438" s="85"/>
      <c r="O438" s="133" t="s">
        <v>926</v>
      </c>
      <c r="P438" s="85" t="str">
        <f t="shared" si="233"/>
        <v>ninguno</v>
      </c>
      <c r="Q438" s="85">
        <f t="shared" si="234"/>
        <v>0</v>
      </c>
      <c r="R438" s="85"/>
      <c r="S438" s="133" t="s">
        <v>926</v>
      </c>
      <c r="T438" s="85" t="str">
        <f t="shared" si="235"/>
        <v>ninguno</v>
      </c>
      <c r="U438" s="85">
        <f t="shared" si="236"/>
        <v>0</v>
      </c>
      <c r="V438" s="85"/>
    </row>
    <row r="439" spans="1:22" s="114" customFormat="1" ht="14.25" customHeight="1" x14ac:dyDescent="0.25">
      <c r="A439" s="115">
        <v>370</v>
      </c>
      <c r="B439" s="89" t="s">
        <v>694</v>
      </c>
      <c r="C439" s="113"/>
      <c r="D439" s="85"/>
      <c r="E439" s="85">
        <f>'ECONOMIA &amp; PROFESIONES'!G51</f>
        <v>13.5</v>
      </c>
      <c r="F439" s="188">
        <f t="shared" si="237"/>
        <v>2.25</v>
      </c>
      <c r="G439" s="118"/>
      <c r="H439" s="85" t="e">
        <f t="shared" si="229"/>
        <v>#N/A</v>
      </c>
      <c r="I439" s="85" t="e">
        <f t="shared" si="230"/>
        <v>#N/A</v>
      </c>
      <c r="J439" s="85"/>
      <c r="K439" s="133" t="s">
        <v>926</v>
      </c>
      <c r="L439" s="85" t="str">
        <f t="shared" si="231"/>
        <v>ninguno</v>
      </c>
      <c r="M439" s="85">
        <f t="shared" si="232"/>
        <v>0</v>
      </c>
      <c r="N439" s="85"/>
      <c r="O439" s="133" t="s">
        <v>926</v>
      </c>
      <c r="P439" s="85" t="str">
        <f t="shared" si="233"/>
        <v>ninguno</v>
      </c>
      <c r="Q439" s="85">
        <f t="shared" si="234"/>
        <v>0</v>
      </c>
      <c r="R439" s="85"/>
      <c r="S439" s="133" t="s">
        <v>926</v>
      </c>
      <c r="T439" s="85" t="str">
        <f t="shared" si="235"/>
        <v>ninguno</v>
      </c>
      <c r="U439" s="85">
        <f t="shared" si="236"/>
        <v>0</v>
      </c>
      <c r="V439" s="85"/>
    </row>
    <row r="440" spans="1:22" s="114" customFormat="1" ht="14.25" customHeight="1" x14ac:dyDescent="0.25">
      <c r="A440" s="115">
        <v>371</v>
      </c>
      <c r="B440" s="89" t="s">
        <v>695</v>
      </c>
      <c r="C440" s="113"/>
      <c r="D440" s="85"/>
      <c r="E440" s="85">
        <f>'ECONOMIA &amp; PROFESIONES'!G48</f>
        <v>10.5</v>
      </c>
      <c r="F440" s="188">
        <f t="shared" si="237"/>
        <v>1.75</v>
      </c>
      <c r="G440" s="118"/>
      <c r="H440" s="85" t="e">
        <f t="shared" si="229"/>
        <v>#N/A</v>
      </c>
      <c r="I440" s="85" t="e">
        <f t="shared" si="230"/>
        <v>#N/A</v>
      </c>
      <c r="J440" s="85"/>
      <c r="K440" s="133" t="s">
        <v>926</v>
      </c>
      <c r="L440" s="85" t="str">
        <f t="shared" si="231"/>
        <v>ninguno</v>
      </c>
      <c r="M440" s="85">
        <f t="shared" si="232"/>
        <v>0</v>
      </c>
      <c r="N440" s="85"/>
      <c r="O440" s="133" t="s">
        <v>926</v>
      </c>
      <c r="P440" s="85" t="str">
        <f t="shared" si="233"/>
        <v>ninguno</v>
      </c>
      <c r="Q440" s="85">
        <f t="shared" si="234"/>
        <v>0</v>
      </c>
      <c r="R440" s="85"/>
      <c r="S440" s="133" t="s">
        <v>926</v>
      </c>
      <c r="T440" s="85" t="str">
        <f t="shared" si="235"/>
        <v>ninguno</v>
      </c>
      <c r="U440" s="85">
        <f t="shared" si="236"/>
        <v>0</v>
      </c>
      <c r="V440" s="85"/>
    </row>
    <row r="441" spans="1:22" s="114" customFormat="1" ht="14.25" customHeight="1" x14ac:dyDescent="0.25">
      <c r="A441" s="115">
        <v>372</v>
      </c>
      <c r="B441" s="89" t="s">
        <v>696</v>
      </c>
      <c r="C441" s="113"/>
      <c r="D441" s="85"/>
      <c r="E441" s="85">
        <f>'ECONOMIA &amp; PROFESIONES'!I36/20</f>
        <v>47.1</v>
      </c>
      <c r="F441" s="188">
        <f t="shared" si="237"/>
        <v>7.85</v>
      </c>
      <c r="G441" s="118"/>
      <c r="H441" s="85" t="e">
        <f t="shared" si="229"/>
        <v>#N/A</v>
      </c>
      <c r="I441" s="85" t="e">
        <f t="shared" si="230"/>
        <v>#N/A</v>
      </c>
      <c r="J441" s="85"/>
      <c r="K441" s="133" t="s">
        <v>926</v>
      </c>
      <c r="L441" s="85" t="str">
        <f t="shared" si="231"/>
        <v>ninguno</v>
      </c>
      <c r="M441" s="85">
        <f t="shared" si="232"/>
        <v>0</v>
      </c>
      <c r="N441" s="85"/>
      <c r="O441" s="133" t="s">
        <v>926</v>
      </c>
      <c r="P441" s="85" t="str">
        <f t="shared" si="233"/>
        <v>ninguno</v>
      </c>
      <c r="Q441" s="85">
        <f t="shared" si="234"/>
        <v>0</v>
      </c>
      <c r="R441" s="85"/>
      <c r="S441" s="133" t="s">
        <v>926</v>
      </c>
      <c r="T441" s="85" t="str">
        <f t="shared" si="235"/>
        <v>ninguno</v>
      </c>
      <c r="U441" s="85">
        <f t="shared" si="236"/>
        <v>0</v>
      </c>
      <c r="V441" s="85"/>
    </row>
    <row r="442" spans="1:22" s="108" customFormat="1" ht="14.25" customHeight="1" x14ac:dyDescent="0.25">
      <c r="A442" s="210" t="s">
        <v>698</v>
      </c>
      <c r="B442" s="68" t="s">
        <v>697</v>
      </c>
      <c r="C442" s="99">
        <v>1</v>
      </c>
      <c r="D442" s="67"/>
      <c r="E442" s="61">
        <f t="shared" ref="E442:E473" si="238">(((I442*J442)+(M442*N442)+(Q442*R442)+(U442*V442))/C442)*1.2</f>
        <v>56.52</v>
      </c>
      <c r="F442" s="188">
        <f t="shared" si="237"/>
        <v>9.42</v>
      </c>
      <c r="G442" s="118">
        <v>372</v>
      </c>
      <c r="H442" s="59" t="str">
        <f t="shared" si="229"/>
        <v>Nether Wart Seed</v>
      </c>
      <c r="I442" s="59">
        <f t="shared" si="230"/>
        <v>47.1</v>
      </c>
      <c r="J442" s="84">
        <v>1</v>
      </c>
      <c r="K442" s="132" t="s">
        <v>926</v>
      </c>
      <c r="L442" s="107" t="str">
        <f t="shared" si="231"/>
        <v>ninguno</v>
      </c>
      <c r="M442" s="107">
        <f t="shared" si="232"/>
        <v>0</v>
      </c>
      <c r="N442" s="84"/>
      <c r="O442" s="132" t="s">
        <v>926</v>
      </c>
      <c r="P442" s="59" t="str">
        <f t="shared" si="233"/>
        <v>ninguno</v>
      </c>
      <c r="Q442" s="59">
        <f t="shared" si="234"/>
        <v>0</v>
      </c>
      <c r="R442" s="84"/>
      <c r="S442" s="132" t="s">
        <v>926</v>
      </c>
      <c r="T442" s="107" t="str">
        <f t="shared" si="235"/>
        <v>ninguno</v>
      </c>
      <c r="U442" s="107">
        <f t="shared" si="236"/>
        <v>0</v>
      </c>
      <c r="V442" s="84"/>
    </row>
    <row r="443" spans="1:22" s="108" customFormat="1" ht="14.25" customHeight="1" x14ac:dyDescent="0.25">
      <c r="A443" s="210" t="s">
        <v>700</v>
      </c>
      <c r="B443" s="68" t="s">
        <v>699</v>
      </c>
      <c r="C443" s="99">
        <v>1</v>
      </c>
      <c r="D443" s="67"/>
      <c r="E443" s="61">
        <f t="shared" si="238"/>
        <v>22.8</v>
      </c>
      <c r="F443" s="188">
        <f t="shared" si="237"/>
        <v>3.8</v>
      </c>
      <c r="G443" s="118">
        <v>348</v>
      </c>
      <c r="H443" s="59" t="str">
        <f t="shared" si="229"/>
        <v>Glowstone Dust</v>
      </c>
      <c r="I443" s="59">
        <f t="shared" si="230"/>
        <v>19</v>
      </c>
      <c r="J443" s="84">
        <v>1</v>
      </c>
      <c r="K443" s="132" t="s">
        <v>926</v>
      </c>
      <c r="L443" s="107" t="str">
        <f t="shared" si="231"/>
        <v>ninguno</v>
      </c>
      <c r="M443" s="107">
        <f t="shared" si="232"/>
        <v>0</v>
      </c>
      <c r="N443" s="84"/>
      <c r="O443" s="132" t="s">
        <v>926</v>
      </c>
      <c r="P443" s="59" t="str">
        <f t="shared" si="233"/>
        <v>ninguno</v>
      </c>
      <c r="Q443" s="59">
        <f t="shared" si="234"/>
        <v>0</v>
      </c>
      <c r="R443" s="84"/>
      <c r="S443" s="132" t="s">
        <v>926</v>
      </c>
      <c r="T443" s="107" t="str">
        <f t="shared" si="235"/>
        <v>ninguno</v>
      </c>
      <c r="U443" s="107">
        <f t="shared" si="236"/>
        <v>0</v>
      </c>
      <c r="V443" s="84"/>
    </row>
    <row r="444" spans="1:22" s="108" customFormat="1" ht="14.25" customHeight="1" x14ac:dyDescent="0.25">
      <c r="A444" s="210" t="s">
        <v>702</v>
      </c>
      <c r="B444" s="68" t="s">
        <v>701</v>
      </c>
      <c r="C444" s="99">
        <v>1</v>
      </c>
      <c r="D444" s="67"/>
      <c r="E444" s="61">
        <f t="shared" si="238"/>
        <v>18</v>
      </c>
      <c r="F444" s="188">
        <f t="shared" si="237"/>
        <v>3</v>
      </c>
      <c r="G444" s="118">
        <v>331</v>
      </c>
      <c r="H444" s="59" t="str">
        <f t="shared" si="229"/>
        <v>Redstone Dust</v>
      </c>
      <c r="I444" s="59">
        <f t="shared" si="230"/>
        <v>15</v>
      </c>
      <c r="J444" s="84">
        <v>1</v>
      </c>
      <c r="K444" s="132" t="s">
        <v>926</v>
      </c>
      <c r="L444" s="107" t="str">
        <f t="shared" si="231"/>
        <v>ninguno</v>
      </c>
      <c r="M444" s="107">
        <f t="shared" si="232"/>
        <v>0</v>
      </c>
      <c r="N444" s="84"/>
      <c r="O444" s="132" t="s">
        <v>926</v>
      </c>
      <c r="P444" s="59" t="str">
        <f t="shared" si="233"/>
        <v>ninguno</v>
      </c>
      <c r="Q444" s="59">
        <f t="shared" si="234"/>
        <v>0</v>
      </c>
      <c r="R444" s="84"/>
      <c r="S444" s="132" t="s">
        <v>926</v>
      </c>
      <c r="T444" s="107" t="str">
        <f t="shared" si="235"/>
        <v>ninguno</v>
      </c>
      <c r="U444" s="107">
        <f t="shared" si="236"/>
        <v>0</v>
      </c>
      <c r="V444" s="84"/>
    </row>
    <row r="445" spans="1:22" s="108" customFormat="1" ht="14.25" customHeight="1" x14ac:dyDescent="0.25">
      <c r="A445" s="210" t="s">
        <v>704</v>
      </c>
      <c r="B445" s="68" t="s">
        <v>703</v>
      </c>
      <c r="C445" s="99">
        <v>1</v>
      </c>
      <c r="D445" s="67"/>
      <c r="E445" s="61">
        <f t="shared" si="238"/>
        <v>84.024000000000015</v>
      </c>
      <c r="F445" s="188">
        <f t="shared" si="237"/>
        <v>14.01</v>
      </c>
      <c r="G445" s="118" t="s">
        <v>698</v>
      </c>
      <c r="H445" s="59" t="str">
        <f t="shared" si="229"/>
        <v>Awkward Potion</v>
      </c>
      <c r="I445" s="59">
        <f t="shared" si="230"/>
        <v>56.52</v>
      </c>
      <c r="J445" s="84">
        <v>1</v>
      </c>
      <c r="K445" s="132">
        <v>370</v>
      </c>
      <c r="L445" s="107" t="str">
        <f t="shared" si="231"/>
        <v>Ghast Tear</v>
      </c>
      <c r="M445" s="107">
        <f t="shared" si="232"/>
        <v>13.5</v>
      </c>
      <c r="N445" s="84">
        <v>1</v>
      </c>
      <c r="O445" s="132" t="s">
        <v>926</v>
      </c>
      <c r="P445" s="59" t="str">
        <f t="shared" si="233"/>
        <v>ninguno</v>
      </c>
      <c r="Q445" s="59">
        <f t="shared" si="234"/>
        <v>0</v>
      </c>
      <c r="R445" s="84"/>
      <c r="S445" s="132" t="s">
        <v>926</v>
      </c>
      <c r="T445" s="107" t="str">
        <f t="shared" si="235"/>
        <v>ninguno</v>
      </c>
      <c r="U445" s="107">
        <f t="shared" si="236"/>
        <v>0</v>
      </c>
      <c r="V445" s="84"/>
    </row>
    <row r="446" spans="1:22" s="108" customFormat="1" ht="14.25" customHeight="1" x14ac:dyDescent="0.25">
      <c r="A446" s="210" t="s">
        <v>706</v>
      </c>
      <c r="B446" s="68" t="s">
        <v>705</v>
      </c>
      <c r="C446" s="99">
        <v>1</v>
      </c>
      <c r="D446" s="67"/>
      <c r="E446" s="61">
        <f t="shared" si="238"/>
        <v>684.14400000000001</v>
      </c>
      <c r="F446" s="188">
        <f t="shared" si="237"/>
        <v>114.03</v>
      </c>
      <c r="G446" s="118" t="s">
        <v>698</v>
      </c>
      <c r="H446" s="59" t="str">
        <f t="shared" si="229"/>
        <v>Awkward Potion</v>
      </c>
      <c r="I446" s="59">
        <f t="shared" si="230"/>
        <v>56.52</v>
      </c>
      <c r="J446" s="84">
        <v>1</v>
      </c>
      <c r="K446" s="132">
        <v>353</v>
      </c>
      <c r="L446" s="107" t="str">
        <f t="shared" si="231"/>
        <v>Sugar</v>
      </c>
      <c r="M446" s="107">
        <f t="shared" si="232"/>
        <v>513.6</v>
      </c>
      <c r="N446" s="84">
        <v>1</v>
      </c>
      <c r="O446" s="132" t="s">
        <v>926</v>
      </c>
      <c r="P446" s="59" t="str">
        <f t="shared" si="233"/>
        <v>ninguno</v>
      </c>
      <c r="Q446" s="59">
        <f t="shared" si="234"/>
        <v>0</v>
      </c>
      <c r="R446" s="84"/>
      <c r="S446" s="132" t="s">
        <v>926</v>
      </c>
      <c r="T446" s="107" t="str">
        <f t="shared" si="235"/>
        <v>ninguno</v>
      </c>
      <c r="U446" s="107">
        <f t="shared" si="236"/>
        <v>0</v>
      </c>
      <c r="V446" s="84"/>
    </row>
    <row r="447" spans="1:22" s="108" customFormat="1" ht="14.25" customHeight="1" x14ac:dyDescent="0.25">
      <c r="A447" s="210" t="s">
        <v>708</v>
      </c>
      <c r="B447" s="68" t="s">
        <v>707</v>
      </c>
      <c r="C447" s="99">
        <v>1</v>
      </c>
      <c r="D447" s="67"/>
      <c r="E447" s="61">
        <f t="shared" si="238"/>
        <v>81.791999999999987</v>
      </c>
      <c r="F447" s="188">
        <f t="shared" si="237"/>
        <v>13.64</v>
      </c>
      <c r="G447" s="118" t="s">
        <v>698</v>
      </c>
      <c r="H447" s="59" t="str">
        <f t="shared" si="229"/>
        <v>Awkward Potion</v>
      </c>
      <c r="I447" s="59">
        <f t="shared" si="230"/>
        <v>56.52</v>
      </c>
      <c r="J447" s="84">
        <v>1</v>
      </c>
      <c r="K447" s="132">
        <v>378</v>
      </c>
      <c r="L447" s="107" t="str">
        <f t="shared" si="231"/>
        <v>Magma Cream</v>
      </c>
      <c r="M447" s="107">
        <f t="shared" si="232"/>
        <v>11.64</v>
      </c>
      <c r="N447" s="84">
        <v>1</v>
      </c>
      <c r="O447" s="132" t="s">
        <v>926</v>
      </c>
      <c r="P447" s="59" t="str">
        <f t="shared" si="233"/>
        <v>ninguno</v>
      </c>
      <c r="Q447" s="59">
        <f t="shared" si="234"/>
        <v>0</v>
      </c>
      <c r="R447" s="84"/>
      <c r="S447" s="132" t="s">
        <v>926</v>
      </c>
      <c r="T447" s="107" t="str">
        <f t="shared" si="235"/>
        <v>ninguno</v>
      </c>
      <c r="U447" s="107">
        <f t="shared" si="236"/>
        <v>0</v>
      </c>
      <c r="V447" s="84"/>
    </row>
    <row r="448" spans="1:22" s="108" customFormat="1" ht="14.25" customHeight="1" x14ac:dyDescent="0.25">
      <c r="A448" s="210" t="s">
        <v>710</v>
      </c>
      <c r="B448" s="68" t="s">
        <v>709</v>
      </c>
      <c r="C448" s="99">
        <v>1</v>
      </c>
      <c r="D448" s="67"/>
      <c r="E448" s="61">
        <f t="shared" si="238"/>
        <v>73.224000000000004</v>
      </c>
      <c r="F448" s="188">
        <f t="shared" si="237"/>
        <v>12.209999999999999</v>
      </c>
      <c r="G448" s="118" t="s">
        <v>698</v>
      </c>
      <c r="H448" s="59" t="str">
        <f t="shared" si="229"/>
        <v>Awkward Potion</v>
      </c>
      <c r="I448" s="59">
        <f t="shared" si="230"/>
        <v>56.52</v>
      </c>
      <c r="J448" s="84">
        <v>1</v>
      </c>
      <c r="K448" s="132">
        <v>375</v>
      </c>
      <c r="L448" s="107" t="str">
        <f t="shared" si="231"/>
        <v>Spider Eye</v>
      </c>
      <c r="M448" s="107">
        <f t="shared" si="232"/>
        <v>4.5</v>
      </c>
      <c r="N448" s="84">
        <v>1</v>
      </c>
      <c r="O448" s="132" t="s">
        <v>926</v>
      </c>
      <c r="P448" s="59" t="str">
        <f t="shared" si="233"/>
        <v>ninguno</v>
      </c>
      <c r="Q448" s="59">
        <f t="shared" si="234"/>
        <v>0</v>
      </c>
      <c r="R448" s="84"/>
      <c r="S448" s="132" t="s">
        <v>926</v>
      </c>
      <c r="T448" s="107" t="str">
        <f t="shared" si="235"/>
        <v>ninguno</v>
      </c>
      <c r="U448" s="107">
        <f t="shared" si="236"/>
        <v>0</v>
      </c>
      <c r="V448" s="84"/>
    </row>
    <row r="449" spans="1:22" s="108" customFormat="1" ht="14.25" customHeight="1" x14ac:dyDescent="0.25">
      <c r="A449" s="210" t="s">
        <v>712</v>
      </c>
      <c r="B449" s="68" t="s">
        <v>711</v>
      </c>
      <c r="C449" s="99">
        <v>1</v>
      </c>
      <c r="D449" s="67"/>
      <c r="E449" s="61">
        <f t="shared" si="238"/>
        <v>281.30400000000003</v>
      </c>
      <c r="F449" s="188">
        <f t="shared" si="237"/>
        <v>46.89</v>
      </c>
      <c r="G449" s="118" t="s">
        <v>698</v>
      </c>
      <c r="H449" s="59" t="str">
        <f t="shared" si="229"/>
        <v>Awkward Potion</v>
      </c>
      <c r="I449" s="59">
        <f t="shared" si="230"/>
        <v>56.52</v>
      </c>
      <c r="J449" s="84">
        <v>1</v>
      </c>
      <c r="K449" s="132">
        <v>382</v>
      </c>
      <c r="L449" s="107" t="str">
        <f t="shared" si="231"/>
        <v>Glistering Melon Slice</v>
      </c>
      <c r="M449" s="107">
        <f t="shared" si="232"/>
        <v>177.9</v>
      </c>
      <c r="N449" s="84">
        <v>1</v>
      </c>
      <c r="O449" s="132" t="s">
        <v>926</v>
      </c>
      <c r="P449" s="59" t="str">
        <f t="shared" si="233"/>
        <v>ninguno</v>
      </c>
      <c r="Q449" s="59">
        <f t="shared" si="234"/>
        <v>0</v>
      </c>
      <c r="R449" s="84"/>
      <c r="S449" s="132" t="s">
        <v>926</v>
      </c>
      <c r="T449" s="107" t="str">
        <f t="shared" si="235"/>
        <v>ninguno</v>
      </c>
      <c r="U449" s="107">
        <f t="shared" si="236"/>
        <v>0</v>
      </c>
      <c r="V449" s="84"/>
    </row>
    <row r="450" spans="1:22" s="108" customFormat="1" ht="14.25" customHeight="1" x14ac:dyDescent="0.25">
      <c r="A450" s="210" t="s">
        <v>714</v>
      </c>
      <c r="B450" s="68" t="s">
        <v>713</v>
      </c>
      <c r="C450" s="99">
        <v>1</v>
      </c>
      <c r="D450" s="67"/>
      <c r="E450" s="61">
        <f t="shared" si="238"/>
        <v>805.10399999999993</v>
      </c>
      <c r="F450" s="188">
        <f t="shared" si="237"/>
        <v>134.19</v>
      </c>
      <c r="G450" s="118" t="s">
        <v>698</v>
      </c>
      <c r="H450" s="59" t="str">
        <f t="shared" si="229"/>
        <v>Awkward Potion</v>
      </c>
      <c r="I450" s="59">
        <f t="shared" si="230"/>
        <v>56.52</v>
      </c>
      <c r="J450" s="84">
        <v>1</v>
      </c>
      <c r="K450" s="132">
        <v>396</v>
      </c>
      <c r="L450" s="107" t="str">
        <f t="shared" si="231"/>
        <v>Golden Carrot</v>
      </c>
      <c r="M450" s="107">
        <f t="shared" si="232"/>
        <v>614.4</v>
      </c>
      <c r="N450" s="84">
        <v>1</v>
      </c>
      <c r="O450" s="132" t="s">
        <v>926</v>
      </c>
      <c r="P450" s="59" t="str">
        <f t="shared" si="233"/>
        <v>ninguno</v>
      </c>
      <c r="Q450" s="59">
        <f t="shared" si="234"/>
        <v>0</v>
      </c>
      <c r="R450" s="84"/>
      <c r="S450" s="132" t="s">
        <v>926</v>
      </c>
      <c r="T450" s="107" t="str">
        <f t="shared" si="235"/>
        <v>ninguno</v>
      </c>
      <c r="U450" s="107">
        <f t="shared" si="236"/>
        <v>0</v>
      </c>
      <c r="V450" s="84"/>
    </row>
    <row r="451" spans="1:22" s="108" customFormat="1" ht="14.25" customHeight="1" x14ac:dyDescent="0.25">
      <c r="A451" s="210" t="s">
        <v>716</v>
      </c>
      <c r="B451" s="68" t="s">
        <v>715</v>
      </c>
      <c r="C451" s="99">
        <v>1</v>
      </c>
      <c r="D451" s="67"/>
      <c r="E451" s="61">
        <f t="shared" si="238"/>
        <v>768.67199999999991</v>
      </c>
      <c r="F451" s="188">
        <f t="shared" si="237"/>
        <v>128.12</v>
      </c>
      <c r="G451" s="118" t="s">
        <v>698</v>
      </c>
      <c r="H451" s="59" t="str">
        <f t="shared" si="229"/>
        <v>Awkward Potion</v>
      </c>
      <c r="I451" s="59">
        <f t="shared" si="230"/>
        <v>56.52</v>
      </c>
      <c r="J451" s="84">
        <v>1</v>
      </c>
      <c r="K451" s="132">
        <v>376</v>
      </c>
      <c r="L451" s="107" t="str">
        <f t="shared" si="231"/>
        <v>Fermented Spider Eye</v>
      </c>
      <c r="M451" s="107">
        <f t="shared" si="232"/>
        <v>584.04</v>
      </c>
      <c r="N451" s="84">
        <v>1</v>
      </c>
      <c r="O451" s="132" t="s">
        <v>926</v>
      </c>
      <c r="P451" s="59" t="str">
        <f t="shared" si="233"/>
        <v>ninguno</v>
      </c>
      <c r="Q451" s="59">
        <f t="shared" si="234"/>
        <v>0</v>
      </c>
      <c r="R451" s="84"/>
      <c r="S451" s="132" t="s">
        <v>926</v>
      </c>
      <c r="T451" s="107" t="str">
        <f t="shared" si="235"/>
        <v>ninguno</v>
      </c>
      <c r="U451" s="107">
        <f t="shared" si="236"/>
        <v>0</v>
      </c>
      <c r="V451" s="84"/>
    </row>
    <row r="452" spans="1:22" s="108" customFormat="1" ht="14.25" customHeight="1" x14ac:dyDescent="0.25">
      <c r="A452" s="210" t="s">
        <v>718</v>
      </c>
      <c r="B452" s="68" t="s">
        <v>717</v>
      </c>
      <c r="C452" s="99">
        <v>1</v>
      </c>
      <c r="D452" s="67"/>
      <c r="E452" s="61">
        <f t="shared" si="238"/>
        <v>77.543999999999997</v>
      </c>
      <c r="F452" s="188">
        <f t="shared" si="237"/>
        <v>12.93</v>
      </c>
      <c r="G452" s="118" t="s">
        <v>698</v>
      </c>
      <c r="H452" s="59" t="str">
        <f t="shared" si="229"/>
        <v>Awkward Potion</v>
      </c>
      <c r="I452" s="59">
        <f t="shared" si="230"/>
        <v>56.52</v>
      </c>
      <c r="J452" s="84">
        <v>1</v>
      </c>
      <c r="K452" s="132">
        <v>377</v>
      </c>
      <c r="L452" s="107" t="str">
        <f t="shared" si="231"/>
        <v>Blaze Powder</v>
      </c>
      <c r="M452" s="107">
        <f t="shared" si="232"/>
        <v>8.1</v>
      </c>
      <c r="N452" s="84">
        <v>1</v>
      </c>
      <c r="O452" s="132" t="s">
        <v>926</v>
      </c>
      <c r="P452" s="59" t="str">
        <f t="shared" si="233"/>
        <v>ninguno</v>
      </c>
      <c r="Q452" s="59">
        <f t="shared" si="234"/>
        <v>0</v>
      </c>
      <c r="R452" s="84"/>
      <c r="S452" s="132" t="s">
        <v>926</v>
      </c>
      <c r="T452" s="107" t="str">
        <f t="shared" si="235"/>
        <v>ninguno</v>
      </c>
      <c r="U452" s="107">
        <f t="shared" si="236"/>
        <v>0</v>
      </c>
      <c r="V452" s="84"/>
    </row>
    <row r="453" spans="1:22" s="108" customFormat="1" ht="14.25" customHeight="1" x14ac:dyDescent="0.25">
      <c r="A453" s="210" t="s">
        <v>720</v>
      </c>
      <c r="B453" s="68" t="s">
        <v>719</v>
      </c>
      <c r="C453" s="99">
        <v>1</v>
      </c>
      <c r="D453" s="67"/>
      <c r="E453" s="61">
        <f t="shared" si="238"/>
        <v>798.99839999999995</v>
      </c>
      <c r="F453" s="188">
        <f t="shared" si="237"/>
        <v>133.16999999999999</v>
      </c>
      <c r="G453" s="118" t="s">
        <v>708</v>
      </c>
      <c r="H453" s="59" t="str">
        <f t="shared" si="229"/>
        <v>Fire Resistance Potion (3:00)</v>
      </c>
      <c r="I453" s="59">
        <f t="shared" si="230"/>
        <v>81.791999999999987</v>
      </c>
      <c r="J453" s="84">
        <v>1</v>
      </c>
      <c r="K453" s="132">
        <v>376</v>
      </c>
      <c r="L453" s="107" t="str">
        <f t="shared" si="231"/>
        <v>Fermented Spider Eye</v>
      </c>
      <c r="M453" s="107">
        <f t="shared" si="232"/>
        <v>584.04</v>
      </c>
      <c r="N453" s="84">
        <v>1</v>
      </c>
      <c r="O453" s="132" t="s">
        <v>926</v>
      </c>
      <c r="P453" s="59" t="str">
        <f t="shared" si="233"/>
        <v>ninguno</v>
      </c>
      <c r="Q453" s="59">
        <f t="shared" si="234"/>
        <v>0</v>
      </c>
      <c r="R453" s="84"/>
      <c r="S453" s="132" t="s">
        <v>926</v>
      </c>
      <c r="T453" s="107" t="str">
        <f t="shared" si="235"/>
        <v>ninguno</v>
      </c>
      <c r="U453" s="107">
        <f t="shared" si="236"/>
        <v>0</v>
      </c>
      <c r="V453" s="84"/>
    </row>
    <row r="454" spans="1:22" s="108" customFormat="1" ht="14.25" customHeight="1" x14ac:dyDescent="0.25">
      <c r="A454" s="210" t="s">
        <v>722</v>
      </c>
      <c r="B454" s="68" t="s">
        <v>721</v>
      </c>
      <c r="C454" s="99">
        <v>1</v>
      </c>
      <c r="D454" s="67"/>
      <c r="E454" s="61">
        <f t="shared" si="238"/>
        <v>788.71680000000003</v>
      </c>
      <c r="F454" s="188">
        <f t="shared" si="237"/>
        <v>131.45999999999998</v>
      </c>
      <c r="G454" s="118" t="s">
        <v>710</v>
      </c>
      <c r="H454" s="59" t="str">
        <f t="shared" si="229"/>
        <v>Poison Potion (0:45)</v>
      </c>
      <c r="I454" s="59">
        <f t="shared" si="230"/>
        <v>73.224000000000004</v>
      </c>
      <c r="J454" s="84">
        <v>1</v>
      </c>
      <c r="K454" s="132">
        <v>376</v>
      </c>
      <c r="L454" s="107" t="str">
        <f t="shared" si="231"/>
        <v>Fermented Spider Eye</v>
      </c>
      <c r="M454" s="107">
        <f t="shared" si="232"/>
        <v>584.04</v>
      </c>
      <c r="N454" s="84">
        <v>1</v>
      </c>
      <c r="O454" s="132" t="s">
        <v>926</v>
      </c>
      <c r="P454" s="59" t="str">
        <f t="shared" si="233"/>
        <v>ninguno</v>
      </c>
      <c r="Q454" s="59">
        <f t="shared" si="234"/>
        <v>0</v>
      </c>
      <c r="R454" s="84"/>
      <c r="S454" s="132" t="s">
        <v>926</v>
      </c>
      <c r="T454" s="107" t="str">
        <f t="shared" si="235"/>
        <v>ninguno</v>
      </c>
      <c r="U454" s="107">
        <f t="shared" si="236"/>
        <v>0</v>
      </c>
      <c r="V454" s="84"/>
    </row>
    <row r="455" spans="1:22" s="108" customFormat="1" ht="14.25" customHeight="1" x14ac:dyDescent="0.25">
      <c r="A455" s="210" t="s">
        <v>724</v>
      </c>
      <c r="B455" s="68" t="s">
        <v>723</v>
      </c>
      <c r="C455" s="99">
        <v>1</v>
      </c>
      <c r="D455" s="67"/>
      <c r="E455" s="61">
        <f t="shared" si="238"/>
        <v>376.22399999999999</v>
      </c>
      <c r="F455" s="188">
        <f t="shared" si="237"/>
        <v>62.71</v>
      </c>
      <c r="G455" s="118" t="s">
        <v>698</v>
      </c>
      <c r="H455" s="59" t="str">
        <f t="shared" si="229"/>
        <v>Awkward Potion</v>
      </c>
      <c r="I455" s="59">
        <f t="shared" si="230"/>
        <v>56.52</v>
      </c>
      <c r="J455" s="84">
        <v>1</v>
      </c>
      <c r="K455" s="132" t="s">
        <v>642</v>
      </c>
      <c r="L455" s="107" t="str">
        <f t="shared" si="231"/>
        <v>Pufferfish</v>
      </c>
      <c r="M455" s="107">
        <f t="shared" si="232"/>
        <v>257</v>
      </c>
      <c r="N455" s="84">
        <v>1</v>
      </c>
      <c r="O455" s="132" t="s">
        <v>926</v>
      </c>
      <c r="P455" s="59" t="str">
        <f t="shared" si="233"/>
        <v>ninguno</v>
      </c>
      <c r="Q455" s="59">
        <f t="shared" si="234"/>
        <v>0</v>
      </c>
      <c r="R455" s="84"/>
      <c r="S455" s="132" t="s">
        <v>926</v>
      </c>
      <c r="T455" s="107" t="str">
        <f t="shared" si="235"/>
        <v>ninguno</v>
      </c>
      <c r="U455" s="107">
        <f t="shared" si="236"/>
        <v>0</v>
      </c>
      <c r="V455" s="84"/>
    </row>
    <row r="456" spans="1:22" s="108" customFormat="1" ht="14.25" customHeight="1" x14ac:dyDescent="0.25">
      <c r="A456" s="210" t="s">
        <v>726</v>
      </c>
      <c r="B456" s="68" t="s">
        <v>725</v>
      </c>
      <c r="C456" s="99">
        <v>1</v>
      </c>
      <c r="D456" s="67"/>
      <c r="E456" s="61">
        <f t="shared" si="238"/>
        <v>788.71680000000003</v>
      </c>
      <c r="F456" s="188">
        <f t="shared" si="237"/>
        <v>131.45999999999998</v>
      </c>
      <c r="G456" s="118" t="s">
        <v>710</v>
      </c>
      <c r="H456" s="59" t="str">
        <f t="shared" si="229"/>
        <v>Poison Potion (0:45)</v>
      </c>
      <c r="I456" s="59">
        <f t="shared" si="230"/>
        <v>73.224000000000004</v>
      </c>
      <c r="J456" s="84">
        <v>1</v>
      </c>
      <c r="K456" s="132">
        <v>376</v>
      </c>
      <c r="L456" s="107" t="str">
        <f t="shared" si="231"/>
        <v>Fermented Spider Eye</v>
      </c>
      <c r="M456" s="107">
        <f t="shared" si="232"/>
        <v>584.04</v>
      </c>
      <c r="N456" s="84">
        <v>1</v>
      </c>
      <c r="O456" s="132" t="s">
        <v>926</v>
      </c>
      <c r="P456" s="59" t="str">
        <f t="shared" si="233"/>
        <v>ninguno</v>
      </c>
      <c r="Q456" s="59">
        <f t="shared" si="234"/>
        <v>0</v>
      </c>
      <c r="R456" s="84"/>
      <c r="S456" s="132" t="s">
        <v>926</v>
      </c>
      <c r="T456" s="107" t="str">
        <f t="shared" si="235"/>
        <v>ninguno</v>
      </c>
      <c r="U456" s="107">
        <f t="shared" si="236"/>
        <v>0</v>
      </c>
      <c r="V456" s="84"/>
    </row>
    <row r="457" spans="1:22" s="108" customFormat="1" ht="14.25" customHeight="1" x14ac:dyDescent="0.25">
      <c r="A457" s="210" t="s">
        <v>728</v>
      </c>
      <c r="B457" s="68" t="s">
        <v>727</v>
      </c>
      <c r="C457" s="99">
        <v>1</v>
      </c>
      <c r="D457" s="67"/>
      <c r="E457" s="61">
        <f t="shared" si="238"/>
        <v>123.62880000000001</v>
      </c>
      <c r="F457" s="188">
        <f t="shared" si="237"/>
        <v>20.610000000000003</v>
      </c>
      <c r="G457" s="118" t="s">
        <v>704</v>
      </c>
      <c r="H457" s="59" t="str">
        <f t="shared" si="229"/>
        <v>Regeneration Potion (0:45)</v>
      </c>
      <c r="I457" s="59">
        <f t="shared" si="230"/>
        <v>84.024000000000015</v>
      </c>
      <c r="J457" s="84">
        <v>1</v>
      </c>
      <c r="K457" s="132">
        <v>348</v>
      </c>
      <c r="L457" s="107" t="str">
        <f t="shared" si="231"/>
        <v>Glowstone Dust</v>
      </c>
      <c r="M457" s="107">
        <f t="shared" si="232"/>
        <v>19</v>
      </c>
      <c r="N457" s="84">
        <v>1</v>
      </c>
      <c r="O457" s="132" t="s">
        <v>926</v>
      </c>
      <c r="P457" s="59" t="str">
        <f t="shared" si="233"/>
        <v>ninguno</v>
      </c>
      <c r="Q457" s="59">
        <f t="shared" si="234"/>
        <v>0</v>
      </c>
      <c r="R457" s="84"/>
      <c r="S457" s="132" t="s">
        <v>926</v>
      </c>
      <c r="T457" s="107" t="str">
        <f t="shared" si="235"/>
        <v>ninguno</v>
      </c>
      <c r="U457" s="107">
        <f t="shared" si="236"/>
        <v>0</v>
      </c>
      <c r="V457" s="84"/>
    </row>
    <row r="458" spans="1:22" s="108" customFormat="1" ht="14.25" customHeight="1" x14ac:dyDescent="0.25">
      <c r="A458" s="210" t="s">
        <v>730</v>
      </c>
      <c r="B458" s="68" t="s">
        <v>729</v>
      </c>
      <c r="C458" s="99">
        <v>1</v>
      </c>
      <c r="D458" s="67"/>
      <c r="E458" s="61">
        <f t="shared" si="238"/>
        <v>843.77279999999996</v>
      </c>
      <c r="F458" s="188">
        <f t="shared" si="237"/>
        <v>140.63</v>
      </c>
      <c r="G458" s="118" t="s">
        <v>706</v>
      </c>
      <c r="H458" s="59" t="str">
        <f t="shared" si="229"/>
        <v>Swiftness Potion (3:00)</v>
      </c>
      <c r="I458" s="59">
        <f t="shared" si="230"/>
        <v>684.14400000000001</v>
      </c>
      <c r="J458" s="84">
        <v>1</v>
      </c>
      <c r="K458" s="132">
        <v>348</v>
      </c>
      <c r="L458" s="107" t="str">
        <f t="shared" si="231"/>
        <v>Glowstone Dust</v>
      </c>
      <c r="M458" s="107">
        <f t="shared" si="232"/>
        <v>19</v>
      </c>
      <c r="N458" s="84">
        <v>1</v>
      </c>
      <c r="O458" s="132" t="s">
        <v>926</v>
      </c>
      <c r="P458" s="59" t="str">
        <f t="shared" si="233"/>
        <v>ninguno</v>
      </c>
      <c r="Q458" s="59">
        <f t="shared" si="234"/>
        <v>0</v>
      </c>
      <c r="R458" s="84"/>
      <c r="S458" s="132" t="s">
        <v>926</v>
      </c>
      <c r="T458" s="107" t="str">
        <f t="shared" si="235"/>
        <v>ninguno</v>
      </c>
      <c r="U458" s="107">
        <f t="shared" si="236"/>
        <v>0</v>
      </c>
      <c r="V458" s="84"/>
    </row>
    <row r="459" spans="1:22" s="108" customFormat="1" ht="14.25" customHeight="1" x14ac:dyDescent="0.25">
      <c r="A459" s="210" t="s">
        <v>732</v>
      </c>
      <c r="B459" s="68" t="s">
        <v>1028</v>
      </c>
      <c r="C459" s="99">
        <v>1</v>
      </c>
      <c r="D459" s="67"/>
      <c r="E459" s="61">
        <f t="shared" si="238"/>
        <v>120.95039999999997</v>
      </c>
      <c r="F459" s="188">
        <f t="shared" si="237"/>
        <v>20.16</v>
      </c>
      <c r="G459" s="118" t="s">
        <v>708</v>
      </c>
      <c r="H459" s="59" t="str">
        <f t="shared" si="229"/>
        <v>Fire Resistance Potion (3:00)</v>
      </c>
      <c r="I459" s="59">
        <f t="shared" si="230"/>
        <v>81.791999999999987</v>
      </c>
      <c r="J459" s="84">
        <v>1</v>
      </c>
      <c r="K459" s="132">
        <v>348</v>
      </c>
      <c r="L459" s="107" t="str">
        <f t="shared" si="231"/>
        <v>Glowstone Dust</v>
      </c>
      <c r="M459" s="107">
        <f t="shared" si="232"/>
        <v>19</v>
      </c>
      <c r="N459" s="84">
        <v>1</v>
      </c>
      <c r="O459" s="132" t="s">
        <v>926</v>
      </c>
      <c r="P459" s="59" t="str">
        <f t="shared" si="233"/>
        <v>ninguno</v>
      </c>
      <c r="Q459" s="59">
        <f t="shared" si="234"/>
        <v>0</v>
      </c>
      <c r="R459" s="84"/>
      <c r="S459" s="132" t="s">
        <v>926</v>
      </c>
      <c r="T459" s="107" t="str">
        <f t="shared" si="235"/>
        <v>ninguno</v>
      </c>
      <c r="U459" s="107">
        <f t="shared" si="236"/>
        <v>0</v>
      </c>
      <c r="V459" s="84"/>
    </row>
    <row r="460" spans="1:22" s="108" customFormat="1" ht="14.25" customHeight="1" x14ac:dyDescent="0.25">
      <c r="A460" s="210" t="s">
        <v>734</v>
      </c>
      <c r="B460" s="68" t="s">
        <v>733</v>
      </c>
      <c r="C460" s="99">
        <v>1</v>
      </c>
      <c r="D460" s="67"/>
      <c r="E460" s="61">
        <f t="shared" si="238"/>
        <v>360.3648</v>
      </c>
      <c r="F460" s="188">
        <f t="shared" si="237"/>
        <v>60.07</v>
      </c>
      <c r="G460" s="118" t="s">
        <v>712</v>
      </c>
      <c r="H460" s="59" t="str">
        <f t="shared" si="229"/>
        <v>Healing Potion</v>
      </c>
      <c r="I460" s="59">
        <f t="shared" si="230"/>
        <v>281.30400000000003</v>
      </c>
      <c r="J460" s="84">
        <v>1</v>
      </c>
      <c r="K460" s="132">
        <v>348</v>
      </c>
      <c r="L460" s="107" t="str">
        <f t="shared" si="231"/>
        <v>Glowstone Dust</v>
      </c>
      <c r="M460" s="107">
        <f t="shared" si="232"/>
        <v>19</v>
      </c>
      <c r="N460" s="84">
        <v>1</v>
      </c>
      <c r="O460" s="132" t="s">
        <v>926</v>
      </c>
      <c r="P460" s="59" t="str">
        <f t="shared" si="233"/>
        <v>ninguno</v>
      </c>
      <c r="Q460" s="59">
        <f t="shared" si="234"/>
        <v>0</v>
      </c>
      <c r="R460" s="84"/>
      <c r="S460" s="132" t="s">
        <v>926</v>
      </c>
      <c r="T460" s="107" t="str">
        <f t="shared" si="235"/>
        <v>ninguno</v>
      </c>
      <c r="U460" s="107">
        <f t="shared" si="236"/>
        <v>0</v>
      </c>
      <c r="V460" s="84"/>
    </row>
    <row r="461" spans="1:22" s="108" customFormat="1" ht="14.25" customHeight="1" x14ac:dyDescent="0.25">
      <c r="A461" s="210" t="s">
        <v>736</v>
      </c>
      <c r="B461" s="68" t="s">
        <v>1026</v>
      </c>
      <c r="C461" s="99">
        <v>1</v>
      </c>
      <c r="D461" s="67"/>
      <c r="E461" s="61">
        <f t="shared" si="238"/>
        <v>115.85279999999999</v>
      </c>
      <c r="F461" s="188">
        <f t="shared" si="237"/>
        <v>19.310000000000002</v>
      </c>
      <c r="G461" s="118" t="s">
        <v>718</v>
      </c>
      <c r="H461" s="59" t="str">
        <f t="shared" si="229"/>
        <v>Strength Potion (3:00)</v>
      </c>
      <c r="I461" s="59">
        <f t="shared" si="230"/>
        <v>77.543999999999997</v>
      </c>
      <c r="J461" s="84">
        <v>1</v>
      </c>
      <c r="K461" s="132">
        <v>348</v>
      </c>
      <c r="L461" s="107" t="str">
        <f t="shared" si="231"/>
        <v>Glowstone Dust</v>
      </c>
      <c r="M461" s="107">
        <f t="shared" si="232"/>
        <v>19</v>
      </c>
      <c r="N461" s="84">
        <v>1</v>
      </c>
      <c r="O461" s="132" t="s">
        <v>926</v>
      </c>
      <c r="P461" s="59" t="str">
        <f t="shared" si="233"/>
        <v>ninguno</v>
      </c>
      <c r="Q461" s="59">
        <f t="shared" si="234"/>
        <v>0</v>
      </c>
      <c r="R461" s="84"/>
      <c r="S461" s="132" t="s">
        <v>926</v>
      </c>
      <c r="T461" s="107" t="str">
        <f t="shared" si="235"/>
        <v>ninguno</v>
      </c>
      <c r="U461" s="107">
        <f t="shared" si="236"/>
        <v>0</v>
      </c>
      <c r="V461" s="84"/>
    </row>
    <row r="462" spans="1:22" s="108" customFormat="1" ht="14.25" customHeight="1" x14ac:dyDescent="0.25">
      <c r="A462" s="211" t="s">
        <v>738</v>
      </c>
      <c r="B462" s="72" t="s">
        <v>1027</v>
      </c>
      <c r="C462" s="99">
        <v>1</v>
      </c>
      <c r="D462" s="67"/>
      <c r="E462" s="61">
        <f t="shared" si="238"/>
        <v>1099.1088</v>
      </c>
      <c r="F462" s="188">
        <f t="shared" si="237"/>
        <v>183.19</v>
      </c>
      <c r="G462" s="118" t="s">
        <v>758</v>
      </c>
      <c r="H462" s="59" t="str">
        <f t="shared" si="229"/>
        <v>Leaping Potion (3:00)</v>
      </c>
      <c r="I462" s="59">
        <f t="shared" si="230"/>
        <v>530.42399999999998</v>
      </c>
      <c r="J462" s="84">
        <v>1</v>
      </c>
      <c r="K462" s="132">
        <v>414</v>
      </c>
      <c r="L462" s="107" t="str">
        <f t="shared" si="231"/>
        <v>Rabbits Foot</v>
      </c>
      <c r="M462" s="107">
        <f t="shared" si="232"/>
        <v>385.5</v>
      </c>
      <c r="N462" s="84">
        <v>1</v>
      </c>
      <c r="O462" s="132" t="s">
        <v>926</v>
      </c>
      <c r="P462" s="59" t="str">
        <f t="shared" si="233"/>
        <v>ninguno</v>
      </c>
      <c r="Q462" s="59">
        <f t="shared" si="234"/>
        <v>0</v>
      </c>
      <c r="R462" s="84"/>
      <c r="S462" s="132" t="s">
        <v>926</v>
      </c>
      <c r="T462" s="107" t="str">
        <f t="shared" si="235"/>
        <v>ninguno</v>
      </c>
      <c r="U462" s="107">
        <f t="shared" si="236"/>
        <v>0</v>
      </c>
      <c r="V462" s="84"/>
    </row>
    <row r="463" spans="1:22" s="108" customFormat="1" ht="14.25" customHeight="1" x14ac:dyDescent="0.25">
      <c r="A463" s="210" t="s">
        <v>740</v>
      </c>
      <c r="B463" s="68" t="s">
        <v>739</v>
      </c>
      <c r="C463" s="99">
        <v>1</v>
      </c>
      <c r="D463" s="67"/>
      <c r="E463" s="61">
        <f t="shared" si="238"/>
        <v>969.26016000000004</v>
      </c>
      <c r="F463" s="188">
        <f t="shared" si="237"/>
        <v>161.54999999999998</v>
      </c>
      <c r="G463" s="118" t="s">
        <v>722</v>
      </c>
      <c r="H463" s="59" t="str">
        <f t="shared" si="229"/>
        <v>Harming Potion</v>
      </c>
      <c r="I463" s="59">
        <f>VLOOKUP(G463,LISTAITEMS,5,FALSE)</f>
        <v>788.71680000000003</v>
      </c>
      <c r="J463" s="84">
        <v>1</v>
      </c>
      <c r="K463" s="132">
        <v>348</v>
      </c>
      <c r="L463" s="107" t="str">
        <f t="shared" si="231"/>
        <v>Glowstone Dust</v>
      </c>
      <c r="M463" s="107">
        <f t="shared" si="232"/>
        <v>19</v>
      </c>
      <c r="N463" s="84">
        <v>1</v>
      </c>
      <c r="O463" s="132" t="s">
        <v>926</v>
      </c>
      <c r="P463" s="59" t="str">
        <f t="shared" si="233"/>
        <v>ninguno</v>
      </c>
      <c r="Q463" s="59">
        <f t="shared" si="234"/>
        <v>0</v>
      </c>
      <c r="R463" s="84"/>
      <c r="S463" s="132" t="s">
        <v>926</v>
      </c>
      <c r="T463" s="107" t="str">
        <f t="shared" si="235"/>
        <v>ninguno</v>
      </c>
      <c r="U463" s="107">
        <f t="shared" si="236"/>
        <v>0</v>
      </c>
      <c r="V463" s="84"/>
    </row>
    <row r="464" spans="1:22" s="108" customFormat="1" ht="14.25" customHeight="1" x14ac:dyDescent="0.25">
      <c r="A464" s="210" t="s">
        <v>742</v>
      </c>
      <c r="B464" s="68" t="s">
        <v>741</v>
      </c>
      <c r="C464" s="99">
        <v>1</v>
      </c>
      <c r="D464" s="67"/>
      <c r="E464" s="61">
        <f t="shared" si="238"/>
        <v>118.82880000000002</v>
      </c>
      <c r="F464" s="188">
        <f t="shared" si="237"/>
        <v>19.810000000000002</v>
      </c>
      <c r="G464" s="118" t="s">
        <v>704</v>
      </c>
      <c r="H464" s="59" t="str">
        <f t="shared" si="229"/>
        <v>Regeneration Potion (0:45)</v>
      </c>
      <c r="I464" s="59">
        <f t="shared" si="230"/>
        <v>84.024000000000015</v>
      </c>
      <c r="J464" s="84">
        <v>1</v>
      </c>
      <c r="K464" s="132">
        <v>331</v>
      </c>
      <c r="L464" s="107" t="str">
        <f t="shared" si="231"/>
        <v>Redstone Dust</v>
      </c>
      <c r="M464" s="107">
        <f t="shared" si="232"/>
        <v>15</v>
      </c>
      <c r="N464" s="84">
        <v>1</v>
      </c>
      <c r="O464" s="132" t="s">
        <v>926</v>
      </c>
      <c r="P464" s="59" t="str">
        <f t="shared" si="233"/>
        <v>ninguno</v>
      </c>
      <c r="Q464" s="59">
        <f t="shared" si="234"/>
        <v>0</v>
      </c>
      <c r="R464" s="84"/>
      <c r="S464" s="132" t="s">
        <v>926</v>
      </c>
      <c r="T464" s="107" t="str">
        <f t="shared" si="235"/>
        <v>ninguno</v>
      </c>
      <c r="U464" s="107">
        <f t="shared" si="236"/>
        <v>0</v>
      </c>
      <c r="V464" s="84"/>
    </row>
    <row r="465" spans="1:22" s="108" customFormat="1" ht="14.25" customHeight="1" x14ac:dyDescent="0.25">
      <c r="A465" s="210" t="s">
        <v>744</v>
      </c>
      <c r="B465" s="68" t="s">
        <v>743</v>
      </c>
      <c r="C465" s="99">
        <v>1</v>
      </c>
      <c r="D465" s="67"/>
      <c r="E465" s="61">
        <f t="shared" si="238"/>
        <v>838.97280000000001</v>
      </c>
      <c r="F465" s="188">
        <f t="shared" si="237"/>
        <v>139.82999999999998</v>
      </c>
      <c r="G465" s="118" t="s">
        <v>706</v>
      </c>
      <c r="H465" s="59" t="str">
        <f t="shared" si="229"/>
        <v>Swiftness Potion (3:00)</v>
      </c>
      <c r="I465" s="59">
        <f t="shared" si="230"/>
        <v>684.14400000000001</v>
      </c>
      <c r="J465" s="84">
        <v>1</v>
      </c>
      <c r="K465" s="132">
        <v>331</v>
      </c>
      <c r="L465" s="107" t="str">
        <f t="shared" si="231"/>
        <v>Redstone Dust</v>
      </c>
      <c r="M465" s="107">
        <f t="shared" si="232"/>
        <v>15</v>
      </c>
      <c r="N465" s="84">
        <v>1</v>
      </c>
      <c r="O465" s="132" t="s">
        <v>926</v>
      </c>
      <c r="P465" s="59" t="str">
        <f t="shared" si="233"/>
        <v>ninguno</v>
      </c>
      <c r="Q465" s="59">
        <f t="shared" si="234"/>
        <v>0</v>
      </c>
      <c r="R465" s="84"/>
      <c r="S465" s="132" t="s">
        <v>926</v>
      </c>
      <c r="T465" s="107" t="str">
        <f t="shared" si="235"/>
        <v>ninguno</v>
      </c>
      <c r="U465" s="107">
        <f t="shared" si="236"/>
        <v>0</v>
      </c>
      <c r="V465" s="84"/>
    </row>
    <row r="466" spans="1:22" s="108" customFormat="1" ht="14.25" customHeight="1" x14ac:dyDescent="0.25">
      <c r="A466" s="210" t="s">
        <v>746</v>
      </c>
      <c r="B466" s="68" t="s">
        <v>745</v>
      </c>
      <c r="C466" s="99">
        <v>1</v>
      </c>
      <c r="D466" s="67"/>
      <c r="E466" s="61">
        <f t="shared" si="238"/>
        <v>116.15039999999998</v>
      </c>
      <c r="F466" s="188">
        <f t="shared" si="237"/>
        <v>19.360000000000003</v>
      </c>
      <c r="G466" s="118" t="s">
        <v>708</v>
      </c>
      <c r="H466" s="59" t="str">
        <f t="shared" ref="H466:H497" si="239">VLOOKUP(G466,LISTAITEMS,2,FALSE)</f>
        <v>Fire Resistance Potion (3:00)</v>
      </c>
      <c r="I466" s="59">
        <f t="shared" ref="I466:I497" si="240">VLOOKUP(G466,LISTAITEMS,5,FALSE)</f>
        <v>81.791999999999987</v>
      </c>
      <c r="J466" s="84">
        <v>1</v>
      </c>
      <c r="K466" s="132">
        <v>331</v>
      </c>
      <c r="L466" s="107" t="str">
        <f t="shared" ref="L466:L497" si="241">VLOOKUP(K466,LISTAITEMS,2,FALSE)</f>
        <v>Redstone Dust</v>
      </c>
      <c r="M466" s="107">
        <f t="shared" ref="M466:M497" si="242">VLOOKUP(K466,LISTAITEMS,5,FALSE)</f>
        <v>15</v>
      </c>
      <c r="N466" s="84">
        <v>1</v>
      </c>
      <c r="O466" s="132" t="s">
        <v>926</v>
      </c>
      <c r="P466" s="59" t="str">
        <f t="shared" ref="P466:P497" si="243">VLOOKUP(O466,LISTAITEMS,2,FALSE)</f>
        <v>ninguno</v>
      </c>
      <c r="Q466" s="59">
        <f t="shared" ref="Q466:Q497" si="244">VLOOKUP(O466,LISTAITEMS,5,FALSE)</f>
        <v>0</v>
      </c>
      <c r="R466" s="84"/>
      <c r="S466" s="132" t="s">
        <v>926</v>
      </c>
      <c r="T466" s="107" t="str">
        <f t="shared" ref="T466:T497" si="245">VLOOKUP(S466,LISTAITEMS,2,FALSE)</f>
        <v>ninguno</v>
      </c>
      <c r="U466" s="107">
        <f t="shared" ref="U466:U497" si="246">VLOOKUP(S466,LISTAITEMS,5,FALSE)</f>
        <v>0</v>
      </c>
      <c r="V466" s="84"/>
    </row>
    <row r="467" spans="1:22" s="108" customFormat="1" ht="14.25" customHeight="1" x14ac:dyDescent="0.25">
      <c r="A467" s="210" t="s">
        <v>748</v>
      </c>
      <c r="B467" s="68" t="s">
        <v>747</v>
      </c>
      <c r="C467" s="99">
        <v>1</v>
      </c>
      <c r="D467" s="67"/>
      <c r="E467" s="61">
        <f t="shared" si="238"/>
        <v>105.86880000000001</v>
      </c>
      <c r="F467" s="188">
        <f t="shared" si="237"/>
        <v>17.650000000000002</v>
      </c>
      <c r="G467" s="118" t="s">
        <v>710</v>
      </c>
      <c r="H467" s="59" t="str">
        <f t="shared" si="239"/>
        <v>Poison Potion (0:45)</v>
      </c>
      <c r="I467" s="59">
        <f t="shared" si="240"/>
        <v>73.224000000000004</v>
      </c>
      <c r="J467" s="84">
        <v>1</v>
      </c>
      <c r="K467" s="132">
        <v>331</v>
      </c>
      <c r="L467" s="107" t="str">
        <f t="shared" si="241"/>
        <v>Redstone Dust</v>
      </c>
      <c r="M467" s="107">
        <f t="shared" si="242"/>
        <v>15</v>
      </c>
      <c r="N467" s="84">
        <v>1</v>
      </c>
      <c r="O467" s="132" t="s">
        <v>926</v>
      </c>
      <c r="P467" s="59" t="str">
        <f t="shared" si="243"/>
        <v>ninguno</v>
      </c>
      <c r="Q467" s="59">
        <f t="shared" si="244"/>
        <v>0</v>
      </c>
      <c r="R467" s="84"/>
      <c r="S467" s="132" t="s">
        <v>926</v>
      </c>
      <c r="T467" s="107" t="str">
        <f t="shared" si="245"/>
        <v>ninguno</v>
      </c>
      <c r="U467" s="107">
        <f t="shared" si="246"/>
        <v>0</v>
      </c>
      <c r="V467" s="84"/>
    </row>
    <row r="468" spans="1:22" s="108" customFormat="1" ht="14.25" customHeight="1" x14ac:dyDescent="0.25">
      <c r="A468" s="210" t="s">
        <v>750</v>
      </c>
      <c r="B468" s="68" t="s">
        <v>749</v>
      </c>
      <c r="C468" s="99">
        <v>1</v>
      </c>
      <c r="D468" s="67"/>
      <c r="E468" s="61">
        <f t="shared" si="238"/>
        <v>984.12479999999982</v>
      </c>
      <c r="F468" s="188">
        <f t="shared" si="237"/>
        <v>164.03</v>
      </c>
      <c r="G468" s="118" t="s">
        <v>714</v>
      </c>
      <c r="H468" s="59" t="str">
        <f t="shared" si="239"/>
        <v>Night Vision Potion (3:00)</v>
      </c>
      <c r="I468" s="59">
        <f t="shared" si="240"/>
        <v>805.10399999999993</v>
      </c>
      <c r="J468" s="84">
        <v>1</v>
      </c>
      <c r="K468" s="132">
        <v>331</v>
      </c>
      <c r="L468" s="107" t="str">
        <f t="shared" si="241"/>
        <v>Redstone Dust</v>
      </c>
      <c r="M468" s="107">
        <f t="shared" si="242"/>
        <v>15</v>
      </c>
      <c r="N468" s="84">
        <v>1</v>
      </c>
      <c r="O468" s="132" t="s">
        <v>926</v>
      </c>
      <c r="P468" s="59" t="str">
        <f t="shared" si="243"/>
        <v>ninguno</v>
      </c>
      <c r="Q468" s="59">
        <f t="shared" si="244"/>
        <v>0</v>
      </c>
      <c r="R468" s="84"/>
      <c r="S468" s="132" t="s">
        <v>926</v>
      </c>
      <c r="T468" s="107" t="str">
        <f t="shared" si="245"/>
        <v>ninguno</v>
      </c>
      <c r="U468" s="107">
        <f t="shared" si="246"/>
        <v>0</v>
      </c>
      <c r="V468" s="84"/>
    </row>
    <row r="469" spans="1:22" s="108" customFormat="1" ht="14.25" customHeight="1" x14ac:dyDescent="0.25">
      <c r="A469" s="210" t="s">
        <v>752</v>
      </c>
      <c r="B469" s="68" t="s">
        <v>751</v>
      </c>
      <c r="C469" s="99">
        <v>1</v>
      </c>
      <c r="D469" s="67"/>
      <c r="E469" s="61">
        <f t="shared" si="238"/>
        <v>722.44799999999998</v>
      </c>
      <c r="F469" s="188">
        <f t="shared" si="237"/>
        <v>120.41000000000001</v>
      </c>
      <c r="G469" s="118" t="s">
        <v>702</v>
      </c>
      <c r="H469" s="59" t="str">
        <f t="shared" si="239"/>
        <v>Mundane Potion</v>
      </c>
      <c r="I469" s="59">
        <f t="shared" si="240"/>
        <v>18</v>
      </c>
      <c r="J469" s="84">
        <v>1</v>
      </c>
      <c r="K469" s="132">
        <v>376</v>
      </c>
      <c r="L469" s="107" t="str">
        <f t="shared" si="241"/>
        <v>Fermented Spider Eye</v>
      </c>
      <c r="M469" s="107">
        <f t="shared" si="242"/>
        <v>584.04</v>
      </c>
      <c r="N469" s="84">
        <v>1</v>
      </c>
      <c r="O469" s="132" t="s">
        <v>926</v>
      </c>
      <c r="P469" s="59" t="str">
        <f t="shared" si="243"/>
        <v>ninguno</v>
      </c>
      <c r="Q469" s="59">
        <f t="shared" si="244"/>
        <v>0</v>
      </c>
      <c r="R469" s="84"/>
      <c r="S469" s="132" t="s">
        <v>926</v>
      </c>
      <c r="T469" s="107" t="str">
        <f t="shared" si="245"/>
        <v>ninguno</v>
      </c>
      <c r="U469" s="107">
        <f t="shared" si="246"/>
        <v>0</v>
      </c>
      <c r="V469" s="84"/>
    </row>
    <row r="470" spans="1:22" s="108" customFormat="1" ht="14.25" customHeight="1" x14ac:dyDescent="0.25">
      <c r="A470" s="210" t="s">
        <v>754</v>
      </c>
      <c r="B470" s="68" t="s">
        <v>753</v>
      </c>
      <c r="C470" s="99">
        <v>1</v>
      </c>
      <c r="D470" s="67"/>
      <c r="E470" s="61">
        <f t="shared" si="238"/>
        <v>111.05279999999999</v>
      </c>
      <c r="F470" s="188">
        <f t="shared" si="237"/>
        <v>18.510000000000002</v>
      </c>
      <c r="G470" s="118" t="s">
        <v>718</v>
      </c>
      <c r="H470" s="59" t="str">
        <f t="shared" si="239"/>
        <v>Strength Potion (3:00)</v>
      </c>
      <c r="I470" s="59">
        <f t="shared" si="240"/>
        <v>77.543999999999997</v>
      </c>
      <c r="J470" s="84">
        <v>1</v>
      </c>
      <c r="K470" s="132">
        <v>331</v>
      </c>
      <c r="L470" s="107" t="str">
        <f t="shared" si="241"/>
        <v>Redstone Dust</v>
      </c>
      <c r="M470" s="107">
        <f t="shared" si="242"/>
        <v>15</v>
      </c>
      <c r="N470" s="84">
        <v>1</v>
      </c>
      <c r="O470" s="132" t="s">
        <v>926</v>
      </c>
      <c r="P470" s="59" t="str">
        <f t="shared" si="243"/>
        <v>ninguno</v>
      </c>
      <c r="Q470" s="59">
        <f t="shared" si="244"/>
        <v>0</v>
      </c>
      <c r="R470" s="84"/>
      <c r="S470" s="132" t="s">
        <v>926</v>
      </c>
      <c r="T470" s="107" t="str">
        <f t="shared" si="245"/>
        <v>ninguno</v>
      </c>
      <c r="U470" s="107">
        <f t="shared" si="246"/>
        <v>0</v>
      </c>
      <c r="V470" s="84"/>
    </row>
    <row r="471" spans="1:22" s="108" customFormat="1" ht="14.25" customHeight="1" x14ac:dyDescent="0.25">
      <c r="A471" s="210" t="s">
        <v>756</v>
      </c>
      <c r="B471" s="68" t="s">
        <v>755</v>
      </c>
      <c r="C471" s="99">
        <v>1</v>
      </c>
      <c r="D471" s="67"/>
      <c r="E471" s="61">
        <f t="shared" si="238"/>
        <v>840.22847999999988</v>
      </c>
      <c r="F471" s="188">
        <f t="shared" si="237"/>
        <v>140.04</v>
      </c>
      <c r="G471" s="118" t="s">
        <v>746</v>
      </c>
      <c r="H471" s="59" t="str">
        <f t="shared" si="239"/>
        <v>Fire Resistance Potion (8:00)</v>
      </c>
      <c r="I471" s="59">
        <f t="shared" si="240"/>
        <v>116.15039999999998</v>
      </c>
      <c r="J471" s="84">
        <v>1</v>
      </c>
      <c r="K471" s="132">
        <v>376</v>
      </c>
      <c r="L471" s="107" t="str">
        <f t="shared" si="241"/>
        <v>Fermented Spider Eye</v>
      </c>
      <c r="M471" s="107">
        <f t="shared" si="242"/>
        <v>584.04</v>
      </c>
      <c r="N471" s="84">
        <v>1</v>
      </c>
      <c r="O471" s="132" t="s">
        <v>926</v>
      </c>
      <c r="P471" s="59" t="str">
        <f t="shared" si="243"/>
        <v>ninguno</v>
      </c>
      <c r="Q471" s="59">
        <f t="shared" si="244"/>
        <v>0</v>
      </c>
      <c r="R471" s="84"/>
      <c r="S471" s="132" t="s">
        <v>926</v>
      </c>
      <c r="T471" s="107" t="str">
        <f t="shared" si="245"/>
        <v>ninguno</v>
      </c>
      <c r="U471" s="107">
        <f t="shared" si="246"/>
        <v>0</v>
      </c>
      <c r="V471" s="84"/>
    </row>
    <row r="472" spans="1:22" s="108" customFormat="1" ht="14.25" customHeight="1" x14ac:dyDescent="0.25">
      <c r="A472" s="211" t="s">
        <v>758</v>
      </c>
      <c r="B472" s="71" t="s">
        <v>757</v>
      </c>
      <c r="C472" s="99">
        <v>1</v>
      </c>
      <c r="D472" s="67"/>
      <c r="E472" s="61">
        <f t="shared" si="238"/>
        <v>530.42399999999998</v>
      </c>
      <c r="F472" s="188">
        <f t="shared" si="237"/>
        <v>88.410000000000011</v>
      </c>
      <c r="G472" s="118" t="s">
        <v>698</v>
      </c>
      <c r="H472" s="59" t="str">
        <f t="shared" si="239"/>
        <v>Awkward Potion</v>
      </c>
      <c r="I472" s="59">
        <f t="shared" si="240"/>
        <v>56.52</v>
      </c>
      <c r="J472" s="84">
        <v>1</v>
      </c>
      <c r="K472" s="132">
        <v>414</v>
      </c>
      <c r="L472" s="107" t="str">
        <f t="shared" si="241"/>
        <v>Rabbits Foot</v>
      </c>
      <c r="M472" s="107">
        <f t="shared" si="242"/>
        <v>385.5</v>
      </c>
      <c r="N472" s="84">
        <v>1</v>
      </c>
      <c r="O472" s="132" t="s">
        <v>926</v>
      </c>
      <c r="P472" s="59" t="str">
        <f t="shared" si="243"/>
        <v>ninguno</v>
      </c>
      <c r="Q472" s="59">
        <f t="shared" si="244"/>
        <v>0</v>
      </c>
      <c r="R472" s="84"/>
      <c r="S472" s="132" t="s">
        <v>926</v>
      </c>
      <c r="T472" s="107" t="str">
        <f t="shared" si="245"/>
        <v>ninguno</v>
      </c>
      <c r="U472" s="107">
        <f t="shared" si="246"/>
        <v>0</v>
      </c>
      <c r="V472" s="84"/>
    </row>
    <row r="473" spans="1:22" s="108" customFormat="1" ht="14.25" customHeight="1" x14ac:dyDescent="0.25">
      <c r="A473" s="210" t="s">
        <v>760</v>
      </c>
      <c r="B473" s="68" t="s">
        <v>759</v>
      </c>
      <c r="C473" s="99">
        <v>1</v>
      </c>
      <c r="D473" s="67"/>
      <c r="E473" s="61">
        <f t="shared" si="238"/>
        <v>469.46879999999999</v>
      </c>
      <c r="F473" s="188">
        <f t="shared" si="237"/>
        <v>78.25</v>
      </c>
      <c r="G473" s="118" t="s">
        <v>724</v>
      </c>
      <c r="H473" s="59" t="str">
        <f t="shared" si="239"/>
        <v>Water Breathing Potion (3:00)</v>
      </c>
      <c r="I473" s="59">
        <f t="shared" si="240"/>
        <v>376.22399999999999</v>
      </c>
      <c r="J473" s="84">
        <v>1</v>
      </c>
      <c r="K473" s="132">
        <v>331</v>
      </c>
      <c r="L473" s="107" t="str">
        <f t="shared" si="241"/>
        <v>Redstone Dust</v>
      </c>
      <c r="M473" s="107">
        <f t="shared" si="242"/>
        <v>15</v>
      </c>
      <c r="N473" s="84">
        <v>1</v>
      </c>
      <c r="O473" s="132" t="s">
        <v>926</v>
      </c>
      <c r="P473" s="59" t="str">
        <f t="shared" si="243"/>
        <v>ninguno</v>
      </c>
      <c r="Q473" s="59">
        <f t="shared" si="244"/>
        <v>0</v>
      </c>
      <c r="R473" s="84"/>
      <c r="S473" s="132" t="s">
        <v>926</v>
      </c>
      <c r="T473" s="107" t="str">
        <f t="shared" si="245"/>
        <v>ninguno</v>
      </c>
      <c r="U473" s="107">
        <f t="shared" si="246"/>
        <v>0</v>
      </c>
      <c r="V473" s="84"/>
    </row>
    <row r="474" spans="1:22" s="108" customFormat="1" ht="14.25" customHeight="1" x14ac:dyDescent="0.25">
      <c r="A474" s="210" t="s">
        <v>762</v>
      </c>
      <c r="B474" s="68" t="s">
        <v>761</v>
      </c>
      <c r="C474" s="99">
        <v>1</v>
      </c>
      <c r="D474" s="67"/>
      <c r="E474" s="61">
        <f t="shared" ref="E474:E505" si="247">(((I474*J474)+(M474*N474)+(Q474*R474)+(U474*V474))/C474)*1.2</f>
        <v>964.46015999999997</v>
      </c>
      <c r="F474" s="188">
        <f t="shared" si="237"/>
        <v>160.75</v>
      </c>
      <c r="G474" s="118" t="s">
        <v>726</v>
      </c>
      <c r="H474" s="59" t="str">
        <f t="shared" si="239"/>
        <v>Invisibility Potion (3:00)</v>
      </c>
      <c r="I474" s="59">
        <f t="shared" si="240"/>
        <v>788.71680000000003</v>
      </c>
      <c r="J474" s="84">
        <v>1</v>
      </c>
      <c r="K474" s="132">
        <v>331</v>
      </c>
      <c r="L474" s="107" t="str">
        <f t="shared" si="241"/>
        <v>Redstone Dust</v>
      </c>
      <c r="M474" s="107">
        <f t="shared" si="242"/>
        <v>15</v>
      </c>
      <c r="N474" s="84">
        <v>1</v>
      </c>
      <c r="O474" s="132" t="s">
        <v>926</v>
      </c>
      <c r="P474" s="59" t="str">
        <f t="shared" si="243"/>
        <v>ninguno</v>
      </c>
      <c r="Q474" s="59">
        <f t="shared" si="244"/>
        <v>0</v>
      </c>
      <c r="R474" s="84"/>
      <c r="S474" s="132" t="s">
        <v>926</v>
      </c>
      <c r="T474" s="107" t="str">
        <f t="shared" si="245"/>
        <v>ninguno</v>
      </c>
      <c r="U474" s="107">
        <f t="shared" si="246"/>
        <v>0</v>
      </c>
      <c r="V474" s="84"/>
    </row>
    <row r="475" spans="1:22" s="108" customFormat="1" ht="14.25" customHeight="1" x14ac:dyDescent="0.25">
      <c r="A475" s="212" t="s">
        <v>764</v>
      </c>
      <c r="B475" s="69" t="s">
        <v>763</v>
      </c>
      <c r="C475" s="99">
        <v>1</v>
      </c>
      <c r="D475" s="67"/>
      <c r="E475" s="61">
        <f t="shared" si="247"/>
        <v>166.35456000000002</v>
      </c>
      <c r="F475" s="188">
        <f t="shared" si="237"/>
        <v>27.73</v>
      </c>
      <c r="G475" s="118" t="s">
        <v>728</v>
      </c>
      <c r="H475" s="59" t="str">
        <f t="shared" si="239"/>
        <v>Regeneration Potion II (0:22)</v>
      </c>
      <c r="I475" s="59">
        <f t="shared" si="240"/>
        <v>123.62880000000001</v>
      </c>
      <c r="J475" s="84">
        <v>1</v>
      </c>
      <c r="K475" s="132">
        <v>331</v>
      </c>
      <c r="L475" s="107" t="str">
        <f t="shared" si="241"/>
        <v>Redstone Dust</v>
      </c>
      <c r="M475" s="107">
        <f t="shared" si="242"/>
        <v>15</v>
      </c>
      <c r="N475" s="84">
        <v>1</v>
      </c>
      <c r="O475" s="132" t="s">
        <v>926</v>
      </c>
      <c r="P475" s="59" t="str">
        <f t="shared" si="243"/>
        <v>ninguno</v>
      </c>
      <c r="Q475" s="59">
        <f t="shared" si="244"/>
        <v>0</v>
      </c>
      <c r="R475" s="84"/>
      <c r="S475" s="132" t="s">
        <v>926</v>
      </c>
      <c r="T475" s="107" t="str">
        <f t="shared" si="245"/>
        <v>ninguno</v>
      </c>
      <c r="U475" s="107">
        <f t="shared" si="246"/>
        <v>0</v>
      </c>
      <c r="V475" s="84"/>
    </row>
    <row r="476" spans="1:22" s="108" customFormat="1" ht="14.25" customHeight="1" x14ac:dyDescent="0.25">
      <c r="A476" s="212" t="s">
        <v>766</v>
      </c>
      <c r="B476" s="69" t="s">
        <v>765</v>
      </c>
      <c r="C476" s="99">
        <v>1</v>
      </c>
      <c r="D476" s="67"/>
      <c r="E476" s="61">
        <f t="shared" si="247"/>
        <v>1030.5273599999998</v>
      </c>
      <c r="F476" s="188">
        <f t="shared" si="237"/>
        <v>171.76</v>
      </c>
      <c r="G476" s="118" t="s">
        <v>730</v>
      </c>
      <c r="H476" s="59" t="str">
        <f t="shared" si="239"/>
        <v>Swiftness Potion II (1:30)</v>
      </c>
      <c r="I476" s="59">
        <f t="shared" si="240"/>
        <v>843.77279999999996</v>
      </c>
      <c r="J476" s="84">
        <v>1</v>
      </c>
      <c r="K476" s="132">
        <v>331</v>
      </c>
      <c r="L476" s="107" t="str">
        <f t="shared" si="241"/>
        <v>Redstone Dust</v>
      </c>
      <c r="M476" s="107">
        <f t="shared" si="242"/>
        <v>15</v>
      </c>
      <c r="N476" s="84">
        <v>1</v>
      </c>
      <c r="O476" s="132" t="s">
        <v>926</v>
      </c>
      <c r="P476" s="59" t="str">
        <f t="shared" si="243"/>
        <v>ninguno</v>
      </c>
      <c r="Q476" s="59">
        <f t="shared" si="244"/>
        <v>0</v>
      </c>
      <c r="R476" s="84"/>
      <c r="S476" s="132" t="s">
        <v>926</v>
      </c>
      <c r="T476" s="107" t="str">
        <f t="shared" si="245"/>
        <v>ninguno</v>
      </c>
      <c r="U476" s="107">
        <f t="shared" si="246"/>
        <v>0</v>
      </c>
      <c r="V476" s="84"/>
    </row>
    <row r="477" spans="1:22" s="108" customFormat="1" ht="14.25" customHeight="1" x14ac:dyDescent="0.25">
      <c r="A477" s="212" t="s">
        <v>768</v>
      </c>
      <c r="B477" s="69" t="s">
        <v>767</v>
      </c>
      <c r="C477" s="99">
        <v>1</v>
      </c>
      <c r="D477" s="67"/>
      <c r="E477" s="61">
        <f t="shared" si="247"/>
        <v>163.14047999999997</v>
      </c>
      <c r="F477" s="188">
        <f t="shared" si="237"/>
        <v>27.200000000000003</v>
      </c>
      <c r="G477" s="118" t="s">
        <v>732</v>
      </c>
      <c r="H477" s="59" t="str">
        <f t="shared" si="239"/>
        <v>Poison Potion II (0:22)</v>
      </c>
      <c r="I477" s="59">
        <f t="shared" si="240"/>
        <v>120.95039999999997</v>
      </c>
      <c r="J477" s="84">
        <v>1</v>
      </c>
      <c r="K477" s="132">
        <v>331</v>
      </c>
      <c r="L477" s="107" t="str">
        <f t="shared" si="241"/>
        <v>Redstone Dust</v>
      </c>
      <c r="M477" s="107">
        <f t="shared" si="242"/>
        <v>15</v>
      </c>
      <c r="N477" s="84">
        <v>1</v>
      </c>
      <c r="O477" s="132" t="s">
        <v>926</v>
      </c>
      <c r="P477" s="59" t="str">
        <f t="shared" si="243"/>
        <v>ninguno</v>
      </c>
      <c r="Q477" s="59">
        <f t="shared" si="244"/>
        <v>0</v>
      </c>
      <c r="R477" s="84"/>
      <c r="S477" s="132" t="s">
        <v>926</v>
      </c>
      <c r="T477" s="107" t="str">
        <f t="shared" si="245"/>
        <v>ninguno</v>
      </c>
      <c r="U477" s="107">
        <f t="shared" si="246"/>
        <v>0</v>
      </c>
      <c r="V477" s="84"/>
    </row>
    <row r="478" spans="1:22" s="108" customFormat="1" ht="14.25" customHeight="1" x14ac:dyDescent="0.25">
      <c r="A478" s="212" t="s">
        <v>770</v>
      </c>
      <c r="B478" s="69" t="s">
        <v>769</v>
      </c>
      <c r="C478" s="99">
        <v>1</v>
      </c>
      <c r="D478" s="67"/>
      <c r="E478" s="61">
        <f t="shared" si="247"/>
        <v>157.02336</v>
      </c>
      <c r="F478" s="188">
        <f t="shared" si="237"/>
        <v>26.180000000000003</v>
      </c>
      <c r="G478" s="118" t="s">
        <v>736</v>
      </c>
      <c r="H478" s="59" t="str">
        <f t="shared" si="239"/>
        <v>Strength Potion II(1:30)</v>
      </c>
      <c r="I478" s="59">
        <f t="shared" si="240"/>
        <v>115.85279999999999</v>
      </c>
      <c r="J478" s="84">
        <v>1</v>
      </c>
      <c r="K478" s="132">
        <v>331</v>
      </c>
      <c r="L478" s="107" t="str">
        <f t="shared" si="241"/>
        <v>Redstone Dust</v>
      </c>
      <c r="M478" s="107">
        <f t="shared" si="242"/>
        <v>15</v>
      </c>
      <c r="N478" s="84">
        <v>1</v>
      </c>
      <c r="O478" s="132" t="s">
        <v>926</v>
      </c>
      <c r="P478" s="59" t="str">
        <f t="shared" si="243"/>
        <v>ninguno</v>
      </c>
      <c r="Q478" s="59">
        <f t="shared" si="244"/>
        <v>0</v>
      </c>
      <c r="R478" s="84"/>
      <c r="S478" s="132" t="s">
        <v>926</v>
      </c>
      <c r="T478" s="107" t="str">
        <f t="shared" si="245"/>
        <v>ninguno</v>
      </c>
      <c r="U478" s="107">
        <f t="shared" si="246"/>
        <v>0</v>
      </c>
      <c r="V478" s="84"/>
    </row>
    <row r="479" spans="1:22" s="108" customFormat="1" ht="14.25" customHeight="1" x14ac:dyDescent="0.25">
      <c r="A479" s="210" t="s">
        <v>772</v>
      </c>
      <c r="B479" s="68" t="s">
        <v>771</v>
      </c>
      <c r="C479" s="99">
        <v>1</v>
      </c>
      <c r="D479" s="67"/>
      <c r="E479" s="61">
        <f t="shared" si="247"/>
        <v>118.82880000000002</v>
      </c>
      <c r="F479" s="188">
        <f t="shared" si="237"/>
        <v>19.810000000000002</v>
      </c>
      <c r="G479" s="118" t="s">
        <v>704</v>
      </c>
      <c r="H479" s="59" t="str">
        <f t="shared" si="239"/>
        <v>Regeneration Potion (0:45)</v>
      </c>
      <c r="I479" s="59">
        <f t="shared" si="240"/>
        <v>84.024000000000015</v>
      </c>
      <c r="J479" s="84">
        <v>1</v>
      </c>
      <c r="K479" s="132">
        <v>289</v>
      </c>
      <c r="L479" s="107" t="str">
        <f t="shared" si="241"/>
        <v>Gunpowder</v>
      </c>
      <c r="M479" s="107">
        <f t="shared" si="242"/>
        <v>15</v>
      </c>
      <c r="N479" s="84">
        <v>1</v>
      </c>
      <c r="O479" s="132" t="s">
        <v>926</v>
      </c>
      <c r="P479" s="59" t="str">
        <f t="shared" si="243"/>
        <v>ninguno</v>
      </c>
      <c r="Q479" s="59">
        <f t="shared" si="244"/>
        <v>0</v>
      </c>
      <c r="R479" s="84"/>
      <c r="S479" s="132" t="s">
        <v>926</v>
      </c>
      <c r="T479" s="107" t="str">
        <f t="shared" si="245"/>
        <v>ninguno</v>
      </c>
      <c r="U479" s="107">
        <f t="shared" si="246"/>
        <v>0</v>
      </c>
      <c r="V479" s="84"/>
    </row>
    <row r="480" spans="1:22" s="108" customFormat="1" ht="14.25" customHeight="1" x14ac:dyDescent="0.25">
      <c r="A480" s="210" t="s">
        <v>774</v>
      </c>
      <c r="B480" s="68" t="s">
        <v>773</v>
      </c>
      <c r="C480" s="99">
        <v>1</v>
      </c>
      <c r="D480" s="67"/>
      <c r="E480" s="61">
        <f t="shared" si="247"/>
        <v>838.97280000000001</v>
      </c>
      <c r="F480" s="188">
        <f t="shared" si="237"/>
        <v>139.82999999999998</v>
      </c>
      <c r="G480" s="118" t="s">
        <v>706</v>
      </c>
      <c r="H480" s="59" t="str">
        <f t="shared" si="239"/>
        <v>Swiftness Potion (3:00)</v>
      </c>
      <c r="I480" s="59">
        <f t="shared" si="240"/>
        <v>684.14400000000001</v>
      </c>
      <c r="J480" s="84">
        <v>1</v>
      </c>
      <c r="K480" s="132">
        <v>289</v>
      </c>
      <c r="L480" s="107" t="str">
        <f t="shared" si="241"/>
        <v>Gunpowder</v>
      </c>
      <c r="M480" s="107">
        <f t="shared" si="242"/>
        <v>15</v>
      </c>
      <c r="N480" s="84">
        <v>1</v>
      </c>
      <c r="O480" s="132" t="s">
        <v>926</v>
      </c>
      <c r="P480" s="59" t="str">
        <f t="shared" si="243"/>
        <v>ninguno</v>
      </c>
      <c r="Q480" s="59">
        <f t="shared" si="244"/>
        <v>0</v>
      </c>
      <c r="R480" s="84"/>
      <c r="S480" s="132" t="s">
        <v>926</v>
      </c>
      <c r="T480" s="107" t="str">
        <f t="shared" si="245"/>
        <v>ninguno</v>
      </c>
      <c r="U480" s="107">
        <f t="shared" si="246"/>
        <v>0</v>
      </c>
      <c r="V480" s="84"/>
    </row>
    <row r="481" spans="1:22" s="108" customFormat="1" ht="14.25" customHeight="1" x14ac:dyDescent="0.25">
      <c r="A481" s="210" t="s">
        <v>776</v>
      </c>
      <c r="B481" s="68" t="s">
        <v>775</v>
      </c>
      <c r="C481" s="99">
        <v>1</v>
      </c>
      <c r="D481" s="67"/>
      <c r="E481" s="61">
        <f t="shared" si="247"/>
        <v>116.15039999999998</v>
      </c>
      <c r="F481" s="188">
        <f t="shared" si="237"/>
        <v>19.360000000000003</v>
      </c>
      <c r="G481" s="118" t="s">
        <v>708</v>
      </c>
      <c r="H481" s="59" t="str">
        <f t="shared" si="239"/>
        <v>Fire Resistance Potion (3:00)</v>
      </c>
      <c r="I481" s="59">
        <f t="shared" si="240"/>
        <v>81.791999999999987</v>
      </c>
      <c r="J481" s="84">
        <v>1</v>
      </c>
      <c r="K481" s="132">
        <v>289</v>
      </c>
      <c r="L481" s="107" t="str">
        <f t="shared" si="241"/>
        <v>Gunpowder</v>
      </c>
      <c r="M481" s="107">
        <f t="shared" si="242"/>
        <v>15</v>
      </c>
      <c r="N481" s="84">
        <v>1</v>
      </c>
      <c r="O481" s="132" t="s">
        <v>926</v>
      </c>
      <c r="P481" s="59" t="str">
        <f t="shared" si="243"/>
        <v>ninguno</v>
      </c>
      <c r="Q481" s="59">
        <f t="shared" si="244"/>
        <v>0</v>
      </c>
      <c r="R481" s="84"/>
      <c r="S481" s="132" t="s">
        <v>926</v>
      </c>
      <c r="T481" s="107" t="str">
        <f t="shared" si="245"/>
        <v>ninguno</v>
      </c>
      <c r="U481" s="107">
        <f t="shared" si="246"/>
        <v>0</v>
      </c>
      <c r="V481" s="84"/>
    </row>
    <row r="482" spans="1:22" s="108" customFormat="1" ht="14.25" customHeight="1" x14ac:dyDescent="0.25">
      <c r="A482" s="210" t="s">
        <v>778</v>
      </c>
      <c r="B482" s="68" t="s">
        <v>777</v>
      </c>
      <c r="C482" s="99">
        <v>1</v>
      </c>
      <c r="D482" s="67"/>
      <c r="E482" s="61">
        <f t="shared" si="247"/>
        <v>105.86880000000001</v>
      </c>
      <c r="F482" s="188">
        <f t="shared" si="237"/>
        <v>17.650000000000002</v>
      </c>
      <c r="G482" s="118" t="s">
        <v>710</v>
      </c>
      <c r="H482" s="59" t="str">
        <f t="shared" si="239"/>
        <v>Poison Potion (0:45)</v>
      </c>
      <c r="I482" s="59">
        <f t="shared" si="240"/>
        <v>73.224000000000004</v>
      </c>
      <c r="J482" s="84">
        <v>1</v>
      </c>
      <c r="K482" s="132">
        <v>289</v>
      </c>
      <c r="L482" s="107" t="str">
        <f t="shared" si="241"/>
        <v>Gunpowder</v>
      </c>
      <c r="M482" s="107">
        <f t="shared" si="242"/>
        <v>15</v>
      </c>
      <c r="N482" s="84">
        <v>1</v>
      </c>
      <c r="O482" s="132" t="s">
        <v>926</v>
      </c>
      <c r="P482" s="59" t="str">
        <f t="shared" si="243"/>
        <v>ninguno</v>
      </c>
      <c r="Q482" s="59">
        <f t="shared" si="244"/>
        <v>0</v>
      </c>
      <c r="R482" s="84"/>
      <c r="S482" s="132" t="s">
        <v>926</v>
      </c>
      <c r="T482" s="107" t="str">
        <f t="shared" si="245"/>
        <v>ninguno</v>
      </c>
      <c r="U482" s="107">
        <f t="shared" si="246"/>
        <v>0</v>
      </c>
      <c r="V482" s="84"/>
    </row>
    <row r="483" spans="1:22" s="108" customFormat="1" ht="14.25" customHeight="1" x14ac:dyDescent="0.25">
      <c r="A483" s="210" t="s">
        <v>780</v>
      </c>
      <c r="B483" s="68" t="s">
        <v>779</v>
      </c>
      <c r="C483" s="99">
        <v>1</v>
      </c>
      <c r="D483" s="67"/>
      <c r="E483" s="61">
        <f t="shared" si="247"/>
        <v>355.56480000000005</v>
      </c>
      <c r="F483" s="188">
        <f t="shared" si="237"/>
        <v>59.269999999999996</v>
      </c>
      <c r="G483" s="118" t="s">
        <v>712</v>
      </c>
      <c r="H483" s="59" t="str">
        <f t="shared" si="239"/>
        <v>Healing Potion</v>
      </c>
      <c r="I483" s="59">
        <f t="shared" si="240"/>
        <v>281.30400000000003</v>
      </c>
      <c r="J483" s="84">
        <v>1</v>
      </c>
      <c r="K483" s="132">
        <v>289</v>
      </c>
      <c r="L483" s="107" t="str">
        <f t="shared" si="241"/>
        <v>Gunpowder</v>
      </c>
      <c r="M483" s="107">
        <f t="shared" si="242"/>
        <v>15</v>
      </c>
      <c r="N483" s="84">
        <v>1</v>
      </c>
      <c r="O483" s="132" t="s">
        <v>926</v>
      </c>
      <c r="P483" s="59" t="str">
        <f t="shared" si="243"/>
        <v>ninguno</v>
      </c>
      <c r="Q483" s="59">
        <f t="shared" si="244"/>
        <v>0</v>
      </c>
      <c r="R483" s="84"/>
      <c r="S483" s="132" t="s">
        <v>926</v>
      </c>
      <c r="T483" s="107" t="str">
        <f t="shared" si="245"/>
        <v>ninguno</v>
      </c>
      <c r="U483" s="107">
        <f t="shared" si="246"/>
        <v>0</v>
      </c>
      <c r="V483" s="84"/>
    </row>
    <row r="484" spans="1:22" s="108" customFormat="1" ht="14.25" customHeight="1" x14ac:dyDescent="0.25">
      <c r="A484" s="210" t="s">
        <v>782</v>
      </c>
      <c r="B484" s="68" t="s">
        <v>781</v>
      </c>
      <c r="C484" s="99">
        <v>1</v>
      </c>
      <c r="D484" s="67"/>
      <c r="E484" s="61">
        <f t="shared" si="247"/>
        <v>984.12479999999982</v>
      </c>
      <c r="F484" s="188">
        <f t="shared" si="237"/>
        <v>164.03</v>
      </c>
      <c r="G484" s="118" t="s">
        <v>714</v>
      </c>
      <c r="H484" s="59" t="str">
        <f t="shared" si="239"/>
        <v>Night Vision Potion (3:00)</v>
      </c>
      <c r="I484" s="59">
        <f t="shared" si="240"/>
        <v>805.10399999999993</v>
      </c>
      <c r="J484" s="84">
        <v>1</v>
      </c>
      <c r="K484" s="132">
        <v>289</v>
      </c>
      <c r="L484" s="107" t="str">
        <f t="shared" si="241"/>
        <v>Gunpowder</v>
      </c>
      <c r="M484" s="107">
        <f t="shared" si="242"/>
        <v>15</v>
      </c>
      <c r="N484" s="84">
        <v>1</v>
      </c>
      <c r="O484" s="132" t="s">
        <v>926</v>
      </c>
      <c r="P484" s="59" t="str">
        <f t="shared" si="243"/>
        <v>ninguno</v>
      </c>
      <c r="Q484" s="59">
        <f t="shared" si="244"/>
        <v>0</v>
      </c>
      <c r="R484" s="84"/>
      <c r="S484" s="132" t="s">
        <v>926</v>
      </c>
      <c r="T484" s="107" t="str">
        <f t="shared" si="245"/>
        <v>ninguno</v>
      </c>
      <c r="U484" s="107">
        <f t="shared" si="246"/>
        <v>0</v>
      </c>
      <c r="V484" s="84"/>
    </row>
    <row r="485" spans="1:22" s="108" customFormat="1" ht="14.25" customHeight="1" x14ac:dyDescent="0.25">
      <c r="A485" s="210" t="s">
        <v>784</v>
      </c>
      <c r="B485" s="68" t="s">
        <v>783</v>
      </c>
      <c r="C485" s="99">
        <v>1</v>
      </c>
      <c r="D485" s="67"/>
      <c r="E485" s="61">
        <f t="shared" si="247"/>
        <v>940.40639999999985</v>
      </c>
      <c r="F485" s="188">
        <f t="shared" si="237"/>
        <v>156.73999999999998</v>
      </c>
      <c r="G485" s="118" t="s">
        <v>716</v>
      </c>
      <c r="H485" s="59" t="str">
        <f t="shared" si="239"/>
        <v>Weakness Potion (1:30)</v>
      </c>
      <c r="I485" s="59">
        <f t="shared" si="240"/>
        <v>768.67199999999991</v>
      </c>
      <c r="J485" s="84">
        <v>1</v>
      </c>
      <c r="K485" s="132">
        <v>289</v>
      </c>
      <c r="L485" s="107" t="str">
        <f t="shared" si="241"/>
        <v>Gunpowder</v>
      </c>
      <c r="M485" s="107">
        <f t="shared" si="242"/>
        <v>15</v>
      </c>
      <c r="N485" s="84">
        <v>1</v>
      </c>
      <c r="O485" s="132" t="s">
        <v>926</v>
      </c>
      <c r="P485" s="59" t="str">
        <f t="shared" si="243"/>
        <v>ninguno</v>
      </c>
      <c r="Q485" s="59">
        <f t="shared" si="244"/>
        <v>0</v>
      </c>
      <c r="R485" s="84"/>
      <c r="S485" s="132" t="s">
        <v>926</v>
      </c>
      <c r="T485" s="107" t="str">
        <f t="shared" si="245"/>
        <v>ninguno</v>
      </c>
      <c r="U485" s="107">
        <f t="shared" si="246"/>
        <v>0</v>
      </c>
      <c r="V485" s="84"/>
    </row>
    <row r="486" spans="1:22" s="108" customFormat="1" ht="14.25" customHeight="1" x14ac:dyDescent="0.25">
      <c r="A486" s="210" t="s">
        <v>786</v>
      </c>
      <c r="B486" s="68" t="s">
        <v>785</v>
      </c>
      <c r="C486" s="99">
        <v>1</v>
      </c>
      <c r="D486" s="67"/>
      <c r="E486" s="61">
        <f t="shared" si="247"/>
        <v>111.05279999999999</v>
      </c>
      <c r="F486" s="188">
        <f t="shared" si="237"/>
        <v>18.510000000000002</v>
      </c>
      <c r="G486" s="118" t="s">
        <v>718</v>
      </c>
      <c r="H486" s="59" t="str">
        <f t="shared" si="239"/>
        <v>Strength Potion (3:00)</v>
      </c>
      <c r="I486" s="59">
        <f t="shared" si="240"/>
        <v>77.543999999999997</v>
      </c>
      <c r="J486" s="84">
        <v>1</v>
      </c>
      <c r="K486" s="132">
        <v>289</v>
      </c>
      <c r="L486" s="107" t="str">
        <f t="shared" si="241"/>
        <v>Gunpowder</v>
      </c>
      <c r="M486" s="107">
        <f t="shared" si="242"/>
        <v>15</v>
      </c>
      <c r="N486" s="84">
        <v>1</v>
      </c>
      <c r="O486" s="132" t="s">
        <v>926</v>
      </c>
      <c r="P486" s="59" t="str">
        <f t="shared" si="243"/>
        <v>ninguno</v>
      </c>
      <c r="Q486" s="59">
        <f t="shared" si="244"/>
        <v>0</v>
      </c>
      <c r="R486" s="84"/>
      <c r="S486" s="132" t="s">
        <v>926</v>
      </c>
      <c r="T486" s="107" t="str">
        <f t="shared" si="245"/>
        <v>ninguno</v>
      </c>
      <c r="U486" s="107">
        <f t="shared" si="246"/>
        <v>0</v>
      </c>
      <c r="V486" s="84"/>
    </row>
    <row r="487" spans="1:22" s="108" customFormat="1" ht="14.25" customHeight="1" x14ac:dyDescent="0.25">
      <c r="A487" s="210" t="s">
        <v>788</v>
      </c>
      <c r="B487" s="68" t="s">
        <v>787</v>
      </c>
      <c r="C487" s="99">
        <v>1</v>
      </c>
      <c r="D487" s="67"/>
      <c r="E487" s="61">
        <f t="shared" si="247"/>
        <v>976.79807999999991</v>
      </c>
      <c r="F487" s="188">
        <f t="shared" si="237"/>
        <v>162.79999999999998</v>
      </c>
      <c r="G487" s="118" t="s">
        <v>720</v>
      </c>
      <c r="H487" s="59" t="str">
        <f t="shared" si="239"/>
        <v>Slowness Potion (1:30)</v>
      </c>
      <c r="I487" s="59">
        <f t="shared" si="240"/>
        <v>798.99839999999995</v>
      </c>
      <c r="J487" s="84">
        <v>1</v>
      </c>
      <c r="K487" s="132">
        <v>289</v>
      </c>
      <c r="L487" s="107" t="str">
        <f t="shared" si="241"/>
        <v>Gunpowder</v>
      </c>
      <c r="M487" s="107">
        <f t="shared" si="242"/>
        <v>15</v>
      </c>
      <c r="N487" s="84">
        <v>1</v>
      </c>
      <c r="O487" s="132" t="s">
        <v>926</v>
      </c>
      <c r="P487" s="59" t="str">
        <f t="shared" si="243"/>
        <v>ninguno</v>
      </c>
      <c r="Q487" s="59">
        <f t="shared" si="244"/>
        <v>0</v>
      </c>
      <c r="R487" s="84"/>
      <c r="S487" s="132" t="s">
        <v>926</v>
      </c>
      <c r="T487" s="107" t="str">
        <f t="shared" si="245"/>
        <v>ninguno</v>
      </c>
      <c r="U487" s="107">
        <f t="shared" si="246"/>
        <v>0</v>
      </c>
      <c r="V487" s="84"/>
    </row>
    <row r="488" spans="1:22" s="108" customFormat="1" ht="14.25" customHeight="1" x14ac:dyDescent="0.25">
      <c r="A488" s="210" t="s">
        <v>790</v>
      </c>
      <c r="B488" s="68" t="s">
        <v>789</v>
      </c>
      <c r="C488" s="99">
        <v>1</v>
      </c>
      <c r="D488" s="67"/>
      <c r="E488" s="61">
        <f t="shared" si="247"/>
        <v>964.46015999999997</v>
      </c>
      <c r="F488" s="188">
        <f t="shared" si="237"/>
        <v>160.75</v>
      </c>
      <c r="G488" s="118" t="s">
        <v>722</v>
      </c>
      <c r="H488" s="59" t="str">
        <f t="shared" si="239"/>
        <v>Harming Potion</v>
      </c>
      <c r="I488" s="59">
        <f t="shared" si="240"/>
        <v>788.71680000000003</v>
      </c>
      <c r="J488" s="84">
        <v>1</v>
      </c>
      <c r="K488" s="132">
        <v>289</v>
      </c>
      <c r="L488" s="107" t="str">
        <f t="shared" si="241"/>
        <v>Gunpowder</v>
      </c>
      <c r="M488" s="107">
        <f t="shared" si="242"/>
        <v>15</v>
      </c>
      <c r="N488" s="84">
        <v>1</v>
      </c>
      <c r="O488" s="132" t="s">
        <v>926</v>
      </c>
      <c r="P488" s="59" t="str">
        <f t="shared" si="243"/>
        <v>ninguno</v>
      </c>
      <c r="Q488" s="59">
        <f t="shared" si="244"/>
        <v>0</v>
      </c>
      <c r="R488" s="84"/>
      <c r="S488" s="132" t="s">
        <v>926</v>
      </c>
      <c r="T488" s="107" t="str">
        <f t="shared" si="245"/>
        <v>ninguno</v>
      </c>
      <c r="U488" s="107">
        <f t="shared" si="246"/>
        <v>0</v>
      </c>
      <c r="V488" s="84"/>
    </row>
    <row r="489" spans="1:22" s="108" customFormat="1" ht="14.25" customHeight="1" x14ac:dyDescent="0.25">
      <c r="A489" s="210" t="s">
        <v>792</v>
      </c>
      <c r="B489" s="68" t="s">
        <v>791</v>
      </c>
      <c r="C489" s="99">
        <v>1</v>
      </c>
      <c r="D489" s="67"/>
      <c r="E489" s="61">
        <f t="shared" si="247"/>
        <v>469.46879999999999</v>
      </c>
      <c r="F489" s="188">
        <f t="shared" si="237"/>
        <v>78.25</v>
      </c>
      <c r="G489" s="118" t="s">
        <v>724</v>
      </c>
      <c r="H489" s="59" t="str">
        <f t="shared" si="239"/>
        <v>Water Breathing Potion (3:00)</v>
      </c>
      <c r="I489" s="59">
        <f t="shared" si="240"/>
        <v>376.22399999999999</v>
      </c>
      <c r="J489" s="84">
        <v>1</v>
      </c>
      <c r="K489" s="132">
        <v>289</v>
      </c>
      <c r="L489" s="107" t="str">
        <f t="shared" si="241"/>
        <v>Gunpowder</v>
      </c>
      <c r="M489" s="107">
        <f t="shared" si="242"/>
        <v>15</v>
      </c>
      <c r="N489" s="84">
        <v>1</v>
      </c>
      <c r="O489" s="132" t="s">
        <v>926</v>
      </c>
      <c r="P489" s="59" t="str">
        <f t="shared" si="243"/>
        <v>ninguno</v>
      </c>
      <c r="Q489" s="59">
        <f t="shared" si="244"/>
        <v>0</v>
      </c>
      <c r="R489" s="84"/>
      <c r="S489" s="132" t="s">
        <v>926</v>
      </c>
      <c r="T489" s="107" t="str">
        <f t="shared" si="245"/>
        <v>ninguno</v>
      </c>
      <c r="U489" s="107">
        <f t="shared" si="246"/>
        <v>0</v>
      </c>
      <c r="V489" s="84"/>
    </row>
    <row r="490" spans="1:22" s="108" customFormat="1" ht="14.25" customHeight="1" x14ac:dyDescent="0.25">
      <c r="A490" s="210" t="s">
        <v>794</v>
      </c>
      <c r="B490" s="68" t="s">
        <v>793</v>
      </c>
      <c r="C490" s="99">
        <v>1</v>
      </c>
      <c r="D490" s="67"/>
      <c r="E490" s="61">
        <f t="shared" si="247"/>
        <v>964.46015999999997</v>
      </c>
      <c r="F490" s="188">
        <f t="shared" si="237"/>
        <v>160.75</v>
      </c>
      <c r="G490" s="118" t="s">
        <v>726</v>
      </c>
      <c r="H490" s="59" t="str">
        <f t="shared" si="239"/>
        <v>Invisibility Potion (3:00)</v>
      </c>
      <c r="I490" s="59">
        <f t="shared" si="240"/>
        <v>788.71680000000003</v>
      </c>
      <c r="J490" s="84">
        <v>1</v>
      </c>
      <c r="K490" s="132">
        <v>289</v>
      </c>
      <c r="L490" s="107" t="str">
        <f t="shared" si="241"/>
        <v>Gunpowder</v>
      </c>
      <c r="M490" s="107">
        <f t="shared" si="242"/>
        <v>15</v>
      </c>
      <c r="N490" s="84">
        <v>1</v>
      </c>
      <c r="O490" s="132" t="s">
        <v>926</v>
      </c>
      <c r="P490" s="59" t="str">
        <f t="shared" si="243"/>
        <v>ninguno</v>
      </c>
      <c r="Q490" s="59">
        <f t="shared" si="244"/>
        <v>0</v>
      </c>
      <c r="R490" s="84"/>
      <c r="S490" s="132" t="s">
        <v>926</v>
      </c>
      <c r="T490" s="107" t="str">
        <f t="shared" si="245"/>
        <v>ninguno</v>
      </c>
      <c r="U490" s="107">
        <f t="shared" si="246"/>
        <v>0</v>
      </c>
      <c r="V490" s="84"/>
    </row>
    <row r="491" spans="1:22" s="108" customFormat="1" ht="14.25" customHeight="1" x14ac:dyDescent="0.25">
      <c r="A491" s="210" t="s">
        <v>796</v>
      </c>
      <c r="B491" s="68" t="s">
        <v>795</v>
      </c>
      <c r="C491" s="99">
        <v>1</v>
      </c>
      <c r="D491" s="67"/>
      <c r="E491" s="61">
        <f t="shared" si="247"/>
        <v>166.35456000000002</v>
      </c>
      <c r="F491" s="188">
        <f t="shared" si="237"/>
        <v>27.73</v>
      </c>
      <c r="G491" s="118" t="s">
        <v>728</v>
      </c>
      <c r="H491" s="59" t="str">
        <f t="shared" si="239"/>
        <v>Regeneration Potion II (0:22)</v>
      </c>
      <c r="I491" s="59">
        <f t="shared" si="240"/>
        <v>123.62880000000001</v>
      </c>
      <c r="J491" s="84">
        <v>1</v>
      </c>
      <c r="K491" s="132">
        <v>289</v>
      </c>
      <c r="L491" s="107" t="str">
        <f t="shared" si="241"/>
        <v>Gunpowder</v>
      </c>
      <c r="M491" s="107">
        <f t="shared" si="242"/>
        <v>15</v>
      </c>
      <c r="N491" s="84">
        <v>1</v>
      </c>
      <c r="O491" s="132" t="s">
        <v>926</v>
      </c>
      <c r="P491" s="59" t="str">
        <f t="shared" si="243"/>
        <v>ninguno</v>
      </c>
      <c r="Q491" s="59">
        <f t="shared" si="244"/>
        <v>0</v>
      </c>
      <c r="R491" s="84"/>
      <c r="S491" s="132" t="s">
        <v>926</v>
      </c>
      <c r="T491" s="107" t="str">
        <f t="shared" si="245"/>
        <v>ninguno</v>
      </c>
      <c r="U491" s="107">
        <f t="shared" si="246"/>
        <v>0</v>
      </c>
      <c r="V491" s="84"/>
    </row>
    <row r="492" spans="1:22" s="108" customFormat="1" ht="14.25" customHeight="1" x14ac:dyDescent="0.25">
      <c r="A492" s="210" t="s">
        <v>798</v>
      </c>
      <c r="B492" s="68" t="s">
        <v>797</v>
      </c>
      <c r="C492" s="99">
        <v>1</v>
      </c>
      <c r="D492" s="67"/>
      <c r="E492" s="61">
        <f t="shared" si="247"/>
        <v>1030.5273599999998</v>
      </c>
      <c r="F492" s="188">
        <f t="shared" si="237"/>
        <v>171.76</v>
      </c>
      <c r="G492" s="118" t="s">
        <v>730</v>
      </c>
      <c r="H492" s="59" t="str">
        <f t="shared" si="239"/>
        <v>Swiftness Potion II (1:30)</v>
      </c>
      <c r="I492" s="59">
        <f t="shared" si="240"/>
        <v>843.77279999999996</v>
      </c>
      <c r="J492" s="84">
        <v>1</v>
      </c>
      <c r="K492" s="132">
        <v>289</v>
      </c>
      <c r="L492" s="107" t="str">
        <f t="shared" si="241"/>
        <v>Gunpowder</v>
      </c>
      <c r="M492" s="107">
        <f t="shared" si="242"/>
        <v>15</v>
      </c>
      <c r="N492" s="84">
        <v>1</v>
      </c>
      <c r="O492" s="132" t="s">
        <v>926</v>
      </c>
      <c r="P492" s="59" t="str">
        <f t="shared" si="243"/>
        <v>ninguno</v>
      </c>
      <c r="Q492" s="59">
        <f t="shared" si="244"/>
        <v>0</v>
      </c>
      <c r="R492" s="84"/>
      <c r="S492" s="132" t="s">
        <v>926</v>
      </c>
      <c r="T492" s="107" t="str">
        <f t="shared" si="245"/>
        <v>ninguno</v>
      </c>
      <c r="U492" s="107">
        <f t="shared" si="246"/>
        <v>0</v>
      </c>
      <c r="V492" s="84"/>
    </row>
    <row r="493" spans="1:22" s="108" customFormat="1" ht="14.25" customHeight="1" x14ac:dyDescent="0.25">
      <c r="A493" s="210" t="s">
        <v>800</v>
      </c>
      <c r="B493" s="68" t="s">
        <v>799</v>
      </c>
      <c r="C493" s="99">
        <v>1</v>
      </c>
      <c r="D493" s="67"/>
      <c r="E493" s="61">
        <f t="shared" si="247"/>
        <v>163.14047999999997</v>
      </c>
      <c r="F493" s="188">
        <f t="shared" si="237"/>
        <v>27.200000000000003</v>
      </c>
      <c r="G493" s="118" t="s">
        <v>732</v>
      </c>
      <c r="H493" s="59" t="str">
        <f t="shared" si="239"/>
        <v>Poison Potion II (0:22)</v>
      </c>
      <c r="I493" s="59">
        <f t="shared" si="240"/>
        <v>120.95039999999997</v>
      </c>
      <c r="J493" s="84">
        <v>1</v>
      </c>
      <c r="K493" s="132">
        <v>289</v>
      </c>
      <c r="L493" s="107" t="str">
        <f t="shared" si="241"/>
        <v>Gunpowder</v>
      </c>
      <c r="M493" s="107">
        <f t="shared" si="242"/>
        <v>15</v>
      </c>
      <c r="N493" s="84">
        <v>1</v>
      </c>
      <c r="O493" s="132" t="s">
        <v>926</v>
      </c>
      <c r="P493" s="59" t="str">
        <f t="shared" si="243"/>
        <v>ninguno</v>
      </c>
      <c r="Q493" s="59">
        <f t="shared" si="244"/>
        <v>0</v>
      </c>
      <c r="R493" s="84"/>
      <c r="S493" s="132" t="s">
        <v>926</v>
      </c>
      <c r="T493" s="107" t="str">
        <f t="shared" si="245"/>
        <v>ninguno</v>
      </c>
      <c r="U493" s="107">
        <f t="shared" si="246"/>
        <v>0</v>
      </c>
      <c r="V493" s="84"/>
    </row>
    <row r="494" spans="1:22" s="108" customFormat="1" ht="14.25" customHeight="1" x14ac:dyDescent="0.25">
      <c r="A494" s="210" t="s">
        <v>802</v>
      </c>
      <c r="B494" s="68" t="s">
        <v>801</v>
      </c>
      <c r="C494" s="99">
        <v>1</v>
      </c>
      <c r="D494" s="67"/>
      <c r="E494" s="61">
        <f t="shared" si="247"/>
        <v>450.43775999999997</v>
      </c>
      <c r="F494" s="188">
        <f t="shared" si="237"/>
        <v>75.08</v>
      </c>
      <c r="G494" s="118" t="s">
        <v>734</v>
      </c>
      <c r="H494" s="59" t="str">
        <f t="shared" si="239"/>
        <v>Healing Potion II</v>
      </c>
      <c r="I494" s="59">
        <f t="shared" si="240"/>
        <v>360.3648</v>
      </c>
      <c r="J494" s="84">
        <v>1</v>
      </c>
      <c r="K494" s="132">
        <v>289</v>
      </c>
      <c r="L494" s="107" t="str">
        <f t="shared" si="241"/>
        <v>Gunpowder</v>
      </c>
      <c r="M494" s="107">
        <f t="shared" si="242"/>
        <v>15</v>
      </c>
      <c r="N494" s="84">
        <v>1</v>
      </c>
      <c r="O494" s="132" t="s">
        <v>926</v>
      </c>
      <c r="P494" s="59" t="str">
        <f t="shared" si="243"/>
        <v>ninguno</v>
      </c>
      <c r="Q494" s="59">
        <f t="shared" si="244"/>
        <v>0</v>
      </c>
      <c r="R494" s="84"/>
      <c r="S494" s="132" t="s">
        <v>926</v>
      </c>
      <c r="T494" s="107" t="str">
        <f t="shared" si="245"/>
        <v>ninguno</v>
      </c>
      <c r="U494" s="107">
        <f t="shared" si="246"/>
        <v>0</v>
      </c>
      <c r="V494" s="84"/>
    </row>
    <row r="495" spans="1:22" s="108" customFormat="1" ht="14.25" customHeight="1" x14ac:dyDescent="0.25">
      <c r="A495" s="210" t="s">
        <v>804</v>
      </c>
      <c r="B495" s="68" t="s">
        <v>803</v>
      </c>
      <c r="C495" s="99">
        <v>1</v>
      </c>
      <c r="D495" s="67"/>
      <c r="E495" s="61">
        <f t="shared" si="247"/>
        <v>157.02336</v>
      </c>
      <c r="F495" s="188">
        <f t="shared" si="237"/>
        <v>26.180000000000003</v>
      </c>
      <c r="G495" s="118" t="s">
        <v>736</v>
      </c>
      <c r="H495" s="59" t="str">
        <f t="shared" si="239"/>
        <v>Strength Potion II(1:30)</v>
      </c>
      <c r="I495" s="59">
        <f t="shared" si="240"/>
        <v>115.85279999999999</v>
      </c>
      <c r="J495" s="84">
        <v>1</v>
      </c>
      <c r="K495" s="132">
        <v>289</v>
      </c>
      <c r="L495" s="107" t="str">
        <f t="shared" si="241"/>
        <v>Gunpowder</v>
      </c>
      <c r="M495" s="107">
        <f t="shared" si="242"/>
        <v>15</v>
      </c>
      <c r="N495" s="84">
        <v>1</v>
      </c>
      <c r="O495" s="132" t="s">
        <v>926</v>
      </c>
      <c r="P495" s="59" t="str">
        <f t="shared" si="243"/>
        <v>ninguno</v>
      </c>
      <c r="Q495" s="59">
        <f t="shared" si="244"/>
        <v>0</v>
      </c>
      <c r="R495" s="84"/>
      <c r="S495" s="132" t="s">
        <v>926</v>
      </c>
      <c r="T495" s="107" t="str">
        <f t="shared" si="245"/>
        <v>ninguno</v>
      </c>
      <c r="U495" s="107">
        <f t="shared" si="246"/>
        <v>0</v>
      </c>
      <c r="V495" s="84"/>
    </row>
    <row r="496" spans="1:22" s="108" customFormat="1" ht="14.25" customHeight="1" x14ac:dyDescent="0.25">
      <c r="A496" s="211" t="s">
        <v>806</v>
      </c>
      <c r="B496" s="71" t="s">
        <v>805</v>
      </c>
      <c r="C496" s="99">
        <v>1</v>
      </c>
      <c r="D496" s="67"/>
      <c r="E496" s="61">
        <f t="shared" si="247"/>
        <v>1336.93056</v>
      </c>
      <c r="F496" s="188">
        <f t="shared" si="237"/>
        <v>222.82999999999998</v>
      </c>
      <c r="G496" s="118" t="s">
        <v>738</v>
      </c>
      <c r="H496" s="59" t="str">
        <f t="shared" si="239"/>
        <v>Leaping Potion II (1:30)</v>
      </c>
      <c r="I496" s="59">
        <f t="shared" si="240"/>
        <v>1099.1088</v>
      </c>
      <c r="J496" s="84">
        <v>1</v>
      </c>
      <c r="K496" s="132">
        <v>289</v>
      </c>
      <c r="L496" s="107" t="str">
        <f t="shared" si="241"/>
        <v>Gunpowder</v>
      </c>
      <c r="M496" s="107">
        <f t="shared" si="242"/>
        <v>15</v>
      </c>
      <c r="N496" s="84">
        <v>1</v>
      </c>
      <c r="O496" s="132" t="s">
        <v>926</v>
      </c>
      <c r="P496" s="59" t="str">
        <f t="shared" si="243"/>
        <v>ninguno</v>
      </c>
      <c r="Q496" s="59">
        <f t="shared" si="244"/>
        <v>0</v>
      </c>
      <c r="R496" s="84"/>
      <c r="S496" s="132" t="s">
        <v>926</v>
      </c>
      <c r="T496" s="107" t="str">
        <f t="shared" si="245"/>
        <v>ninguno</v>
      </c>
      <c r="U496" s="107">
        <f t="shared" si="246"/>
        <v>0</v>
      </c>
      <c r="V496" s="84"/>
    </row>
    <row r="497" spans="1:22" s="108" customFormat="1" ht="14.25" customHeight="1" x14ac:dyDescent="0.25">
      <c r="A497" s="210" t="s">
        <v>808</v>
      </c>
      <c r="B497" s="68" t="s">
        <v>807</v>
      </c>
      <c r="C497" s="99">
        <v>1</v>
      </c>
      <c r="D497" s="67"/>
      <c r="E497" s="61">
        <f t="shared" si="247"/>
        <v>1181.1121920000001</v>
      </c>
      <c r="F497" s="188">
        <f t="shared" si="237"/>
        <v>196.85999999999999</v>
      </c>
      <c r="G497" s="118" t="s">
        <v>740</v>
      </c>
      <c r="H497" s="59" t="str">
        <f t="shared" si="239"/>
        <v>Harming Potion II</v>
      </c>
      <c r="I497" s="59">
        <f t="shared" si="240"/>
        <v>969.26016000000004</v>
      </c>
      <c r="J497" s="84">
        <v>1</v>
      </c>
      <c r="K497" s="132">
        <v>289</v>
      </c>
      <c r="L497" s="107" t="str">
        <f t="shared" si="241"/>
        <v>Gunpowder</v>
      </c>
      <c r="M497" s="107">
        <f t="shared" si="242"/>
        <v>15</v>
      </c>
      <c r="N497" s="84">
        <v>1</v>
      </c>
      <c r="O497" s="132" t="s">
        <v>926</v>
      </c>
      <c r="P497" s="59" t="str">
        <f t="shared" si="243"/>
        <v>ninguno</v>
      </c>
      <c r="Q497" s="59">
        <f t="shared" si="244"/>
        <v>0</v>
      </c>
      <c r="R497" s="84"/>
      <c r="S497" s="132" t="s">
        <v>926</v>
      </c>
      <c r="T497" s="107" t="str">
        <f t="shared" si="245"/>
        <v>ninguno</v>
      </c>
      <c r="U497" s="107">
        <f t="shared" si="246"/>
        <v>0</v>
      </c>
      <c r="V497" s="84"/>
    </row>
    <row r="498" spans="1:22" s="108" customFormat="1" ht="14.25" customHeight="1" x14ac:dyDescent="0.25">
      <c r="A498" s="210" t="s">
        <v>810</v>
      </c>
      <c r="B498" s="68" t="s">
        <v>809</v>
      </c>
      <c r="C498" s="99">
        <v>1</v>
      </c>
      <c r="D498" s="67"/>
      <c r="E498" s="61">
        <f t="shared" si="247"/>
        <v>160.59456</v>
      </c>
      <c r="F498" s="188">
        <f t="shared" si="237"/>
        <v>26.770000000000003</v>
      </c>
      <c r="G498" s="118" t="s">
        <v>742</v>
      </c>
      <c r="H498" s="59" t="str">
        <f t="shared" ref="H498:H524" si="248">VLOOKUP(G498,LISTAITEMS,2,FALSE)</f>
        <v>Regeneration Potion (2:00)</v>
      </c>
      <c r="I498" s="59">
        <f t="shared" ref="I498:I524" si="249">VLOOKUP(G498,LISTAITEMS,5,FALSE)</f>
        <v>118.82880000000002</v>
      </c>
      <c r="J498" s="84">
        <v>1</v>
      </c>
      <c r="K498" s="132">
        <v>289</v>
      </c>
      <c r="L498" s="107" t="str">
        <f t="shared" ref="L498:L524" si="250">VLOOKUP(K498,LISTAITEMS,2,FALSE)</f>
        <v>Gunpowder</v>
      </c>
      <c r="M498" s="107">
        <f t="shared" ref="M498:M524" si="251">VLOOKUP(K498,LISTAITEMS,5,FALSE)</f>
        <v>15</v>
      </c>
      <c r="N498" s="84">
        <v>1</v>
      </c>
      <c r="O498" s="132" t="s">
        <v>926</v>
      </c>
      <c r="P498" s="59" t="str">
        <f t="shared" ref="P498:P524" si="252">VLOOKUP(O498,LISTAITEMS,2,FALSE)</f>
        <v>ninguno</v>
      </c>
      <c r="Q498" s="59">
        <f t="shared" ref="Q498:Q524" si="253">VLOOKUP(O498,LISTAITEMS,5,FALSE)</f>
        <v>0</v>
      </c>
      <c r="R498" s="84"/>
      <c r="S498" s="132" t="s">
        <v>926</v>
      </c>
      <c r="T498" s="107" t="str">
        <f t="shared" ref="T498:T524" si="254">VLOOKUP(S498,LISTAITEMS,2,FALSE)</f>
        <v>ninguno</v>
      </c>
      <c r="U498" s="107">
        <f t="shared" ref="U498:U524" si="255">VLOOKUP(S498,LISTAITEMS,5,FALSE)</f>
        <v>0</v>
      </c>
      <c r="V498" s="84"/>
    </row>
    <row r="499" spans="1:22" s="108" customFormat="1" ht="14.25" customHeight="1" x14ac:dyDescent="0.25">
      <c r="A499" s="210" t="s">
        <v>812</v>
      </c>
      <c r="B499" s="68" t="s">
        <v>811</v>
      </c>
      <c r="C499" s="99">
        <v>1</v>
      </c>
      <c r="D499" s="67"/>
      <c r="E499" s="61">
        <f t="shared" si="247"/>
        <v>1024.7673600000001</v>
      </c>
      <c r="F499" s="188">
        <f t="shared" si="237"/>
        <v>170.79999999999998</v>
      </c>
      <c r="G499" s="118" t="s">
        <v>744</v>
      </c>
      <c r="H499" s="59" t="str">
        <f t="shared" si="248"/>
        <v>Swiftness Potion (8:00)</v>
      </c>
      <c r="I499" s="59">
        <f t="shared" si="249"/>
        <v>838.97280000000001</v>
      </c>
      <c r="J499" s="84">
        <v>1</v>
      </c>
      <c r="K499" s="132">
        <v>289</v>
      </c>
      <c r="L499" s="107" t="str">
        <f t="shared" si="250"/>
        <v>Gunpowder</v>
      </c>
      <c r="M499" s="107">
        <f t="shared" si="251"/>
        <v>15</v>
      </c>
      <c r="N499" s="84">
        <v>1</v>
      </c>
      <c r="O499" s="132" t="s">
        <v>926</v>
      </c>
      <c r="P499" s="59" t="str">
        <f t="shared" si="252"/>
        <v>ninguno</v>
      </c>
      <c r="Q499" s="59">
        <f t="shared" si="253"/>
        <v>0</v>
      </c>
      <c r="R499" s="84"/>
      <c r="S499" s="132" t="s">
        <v>926</v>
      </c>
      <c r="T499" s="107" t="str">
        <f t="shared" si="254"/>
        <v>ninguno</v>
      </c>
      <c r="U499" s="107">
        <f t="shared" si="255"/>
        <v>0</v>
      </c>
      <c r="V499" s="84"/>
    </row>
    <row r="500" spans="1:22" s="108" customFormat="1" ht="14.25" customHeight="1" x14ac:dyDescent="0.25">
      <c r="A500" s="210" t="s">
        <v>814</v>
      </c>
      <c r="B500" s="68" t="s">
        <v>813</v>
      </c>
      <c r="C500" s="99">
        <v>1</v>
      </c>
      <c r="D500" s="67"/>
      <c r="E500" s="61">
        <f t="shared" si="247"/>
        <v>157.38047999999998</v>
      </c>
      <c r="F500" s="188">
        <f t="shared" si="237"/>
        <v>26.240000000000002</v>
      </c>
      <c r="G500" s="118" t="s">
        <v>746</v>
      </c>
      <c r="H500" s="59" t="str">
        <f t="shared" si="248"/>
        <v>Fire Resistance Potion (8:00)</v>
      </c>
      <c r="I500" s="59">
        <f t="shared" si="249"/>
        <v>116.15039999999998</v>
      </c>
      <c r="J500" s="84">
        <v>1</v>
      </c>
      <c r="K500" s="132">
        <v>289</v>
      </c>
      <c r="L500" s="107" t="str">
        <f t="shared" si="250"/>
        <v>Gunpowder</v>
      </c>
      <c r="M500" s="107">
        <f t="shared" si="251"/>
        <v>15</v>
      </c>
      <c r="N500" s="84">
        <v>1</v>
      </c>
      <c r="O500" s="132" t="s">
        <v>926</v>
      </c>
      <c r="P500" s="59" t="str">
        <f t="shared" si="252"/>
        <v>ninguno</v>
      </c>
      <c r="Q500" s="59">
        <f t="shared" si="253"/>
        <v>0</v>
      </c>
      <c r="R500" s="84"/>
      <c r="S500" s="132" t="s">
        <v>926</v>
      </c>
      <c r="T500" s="107" t="str">
        <f t="shared" si="254"/>
        <v>ninguno</v>
      </c>
      <c r="U500" s="107">
        <f t="shared" si="255"/>
        <v>0</v>
      </c>
      <c r="V500" s="84"/>
    </row>
    <row r="501" spans="1:22" s="108" customFormat="1" ht="14.25" customHeight="1" x14ac:dyDescent="0.25">
      <c r="A501" s="210" t="s">
        <v>816</v>
      </c>
      <c r="B501" s="68" t="s">
        <v>815</v>
      </c>
      <c r="C501" s="99">
        <v>1</v>
      </c>
      <c r="D501" s="67"/>
      <c r="E501" s="61">
        <f t="shared" si="247"/>
        <v>145.04256000000001</v>
      </c>
      <c r="F501" s="188">
        <f t="shared" si="237"/>
        <v>24.180000000000003</v>
      </c>
      <c r="G501" s="118" t="s">
        <v>748</v>
      </c>
      <c r="H501" s="59" t="str">
        <f t="shared" si="248"/>
        <v>Poison Potion (2:00)</v>
      </c>
      <c r="I501" s="59">
        <f t="shared" si="249"/>
        <v>105.86880000000001</v>
      </c>
      <c r="J501" s="84">
        <v>1</v>
      </c>
      <c r="K501" s="132">
        <v>289</v>
      </c>
      <c r="L501" s="107" t="str">
        <f t="shared" si="250"/>
        <v>Gunpowder</v>
      </c>
      <c r="M501" s="107">
        <f t="shared" si="251"/>
        <v>15</v>
      </c>
      <c r="N501" s="84">
        <v>1</v>
      </c>
      <c r="O501" s="132" t="s">
        <v>926</v>
      </c>
      <c r="P501" s="59" t="str">
        <f t="shared" si="252"/>
        <v>ninguno</v>
      </c>
      <c r="Q501" s="59">
        <f t="shared" si="253"/>
        <v>0</v>
      </c>
      <c r="R501" s="84"/>
      <c r="S501" s="132" t="s">
        <v>926</v>
      </c>
      <c r="T501" s="107" t="str">
        <f t="shared" si="254"/>
        <v>ninguno</v>
      </c>
      <c r="U501" s="107">
        <f t="shared" si="255"/>
        <v>0</v>
      </c>
      <c r="V501" s="84"/>
    </row>
    <row r="502" spans="1:22" s="108" customFormat="1" ht="14.25" customHeight="1" x14ac:dyDescent="0.25">
      <c r="A502" s="210" t="s">
        <v>818</v>
      </c>
      <c r="B502" s="68" t="s">
        <v>817</v>
      </c>
      <c r="C502" s="99">
        <v>1</v>
      </c>
      <c r="D502" s="67"/>
      <c r="E502" s="61">
        <f t="shared" si="247"/>
        <v>1198.9497599999997</v>
      </c>
      <c r="F502" s="188">
        <f t="shared" ref="F502:F565" si="256">ROUNDUP(E502/6,2)</f>
        <v>199.82999999999998</v>
      </c>
      <c r="G502" s="118" t="s">
        <v>750</v>
      </c>
      <c r="H502" s="59" t="str">
        <f t="shared" si="248"/>
        <v>Night Vision Potion (8:00)</v>
      </c>
      <c r="I502" s="59">
        <f t="shared" si="249"/>
        <v>984.12479999999982</v>
      </c>
      <c r="J502" s="84">
        <v>1</v>
      </c>
      <c r="K502" s="132">
        <v>289</v>
      </c>
      <c r="L502" s="107" t="str">
        <f t="shared" si="250"/>
        <v>Gunpowder</v>
      </c>
      <c r="M502" s="107">
        <f t="shared" si="251"/>
        <v>15</v>
      </c>
      <c r="N502" s="84">
        <v>1</v>
      </c>
      <c r="O502" s="132" t="s">
        <v>926</v>
      </c>
      <c r="P502" s="59" t="str">
        <f t="shared" si="252"/>
        <v>ninguno</v>
      </c>
      <c r="Q502" s="59">
        <f t="shared" si="253"/>
        <v>0</v>
      </c>
      <c r="R502" s="84"/>
      <c r="S502" s="132" t="s">
        <v>926</v>
      </c>
      <c r="T502" s="107" t="str">
        <f t="shared" si="254"/>
        <v>ninguno</v>
      </c>
      <c r="U502" s="107">
        <f t="shared" si="255"/>
        <v>0</v>
      </c>
      <c r="V502" s="84"/>
    </row>
    <row r="503" spans="1:22" s="108" customFormat="1" ht="14.25" customHeight="1" x14ac:dyDescent="0.25">
      <c r="A503" s="210" t="s">
        <v>820</v>
      </c>
      <c r="B503" s="68" t="s">
        <v>819</v>
      </c>
      <c r="C503" s="99">
        <v>1</v>
      </c>
      <c r="D503" s="67"/>
      <c r="E503" s="61">
        <f t="shared" si="247"/>
        <v>884.93759999999997</v>
      </c>
      <c r="F503" s="188">
        <f t="shared" si="256"/>
        <v>147.48999999999998</v>
      </c>
      <c r="G503" s="118" t="s">
        <v>752</v>
      </c>
      <c r="H503" s="59" t="str">
        <f t="shared" si="248"/>
        <v>Weakness Potion (4:00)</v>
      </c>
      <c r="I503" s="59">
        <f t="shared" si="249"/>
        <v>722.44799999999998</v>
      </c>
      <c r="J503" s="84">
        <v>1</v>
      </c>
      <c r="K503" s="132">
        <v>289</v>
      </c>
      <c r="L503" s="107" t="str">
        <f t="shared" si="250"/>
        <v>Gunpowder</v>
      </c>
      <c r="M503" s="107">
        <f t="shared" si="251"/>
        <v>15</v>
      </c>
      <c r="N503" s="84">
        <v>1</v>
      </c>
      <c r="O503" s="132" t="s">
        <v>926</v>
      </c>
      <c r="P503" s="59" t="str">
        <f t="shared" si="252"/>
        <v>ninguno</v>
      </c>
      <c r="Q503" s="59">
        <f t="shared" si="253"/>
        <v>0</v>
      </c>
      <c r="R503" s="84"/>
      <c r="S503" s="132" t="s">
        <v>926</v>
      </c>
      <c r="T503" s="107" t="str">
        <f t="shared" si="254"/>
        <v>ninguno</v>
      </c>
      <c r="U503" s="107">
        <f t="shared" si="255"/>
        <v>0</v>
      </c>
      <c r="V503" s="84"/>
    </row>
    <row r="504" spans="1:22" s="108" customFormat="1" ht="14.25" customHeight="1" x14ac:dyDescent="0.25">
      <c r="A504" s="210" t="s">
        <v>822</v>
      </c>
      <c r="B504" s="68" t="s">
        <v>821</v>
      </c>
      <c r="C504" s="99">
        <v>1</v>
      </c>
      <c r="D504" s="67"/>
      <c r="E504" s="61">
        <f t="shared" si="247"/>
        <v>151.26335999999998</v>
      </c>
      <c r="F504" s="188">
        <f t="shared" si="256"/>
        <v>25.220000000000002</v>
      </c>
      <c r="G504" s="118" t="s">
        <v>754</v>
      </c>
      <c r="H504" s="59" t="str">
        <f t="shared" si="248"/>
        <v>Strenght Potion (8:00)</v>
      </c>
      <c r="I504" s="59">
        <f t="shared" si="249"/>
        <v>111.05279999999999</v>
      </c>
      <c r="J504" s="84">
        <v>1</v>
      </c>
      <c r="K504" s="132">
        <v>289</v>
      </c>
      <c r="L504" s="107" t="str">
        <f t="shared" si="250"/>
        <v>Gunpowder</v>
      </c>
      <c r="M504" s="107">
        <f t="shared" si="251"/>
        <v>15</v>
      </c>
      <c r="N504" s="84">
        <v>1</v>
      </c>
      <c r="O504" s="132" t="s">
        <v>926</v>
      </c>
      <c r="P504" s="59" t="str">
        <f t="shared" si="252"/>
        <v>ninguno</v>
      </c>
      <c r="Q504" s="59">
        <f t="shared" si="253"/>
        <v>0</v>
      </c>
      <c r="R504" s="84"/>
      <c r="S504" s="132" t="s">
        <v>926</v>
      </c>
      <c r="T504" s="107" t="str">
        <f t="shared" si="254"/>
        <v>ninguno</v>
      </c>
      <c r="U504" s="107">
        <f t="shared" si="255"/>
        <v>0</v>
      </c>
      <c r="V504" s="84"/>
    </row>
    <row r="505" spans="1:22" s="108" customFormat="1" ht="14.25" customHeight="1" x14ac:dyDescent="0.25">
      <c r="A505" s="210" t="s">
        <v>824</v>
      </c>
      <c r="B505" s="68" t="s">
        <v>823</v>
      </c>
      <c r="C505" s="99">
        <v>1</v>
      </c>
      <c r="D505" s="67"/>
      <c r="E505" s="61">
        <f t="shared" si="247"/>
        <v>1026.2741759999999</v>
      </c>
      <c r="F505" s="188">
        <f t="shared" si="256"/>
        <v>171.04999999999998</v>
      </c>
      <c r="G505" s="118" t="s">
        <v>756</v>
      </c>
      <c r="H505" s="59" t="str">
        <f t="shared" si="248"/>
        <v>Slowness Potion (4:00)</v>
      </c>
      <c r="I505" s="59">
        <f t="shared" si="249"/>
        <v>840.22847999999988</v>
      </c>
      <c r="J505" s="84">
        <v>1</v>
      </c>
      <c r="K505" s="132">
        <v>289</v>
      </c>
      <c r="L505" s="107" t="str">
        <f t="shared" si="250"/>
        <v>Gunpowder</v>
      </c>
      <c r="M505" s="107">
        <f t="shared" si="251"/>
        <v>15</v>
      </c>
      <c r="N505" s="84">
        <v>1</v>
      </c>
      <c r="O505" s="132" t="s">
        <v>926</v>
      </c>
      <c r="P505" s="59" t="str">
        <f t="shared" si="252"/>
        <v>ninguno</v>
      </c>
      <c r="Q505" s="59">
        <f t="shared" si="253"/>
        <v>0</v>
      </c>
      <c r="R505" s="84"/>
      <c r="S505" s="132" t="s">
        <v>926</v>
      </c>
      <c r="T505" s="107" t="str">
        <f t="shared" si="254"/>
        <v>ninguno</v>
      </c>
      <c r="U505" s="107">
        <f t="shared" si="255"/>
        <v>0</v>
      </c>
      <c r="V505" s="84"/>
    </row>
    <row r="506" spans="1:22" s="108" customFormat="1" ht="14.25" customHeight="1" x14ac:dyDescent="0.25">
      <c r="A506" s="211" t="s">
        <v>826</v>
      </c>
      <c r="B506" s="71" t="s">
        <v>825</v>
      </c>
      <c r="C506" s="99">
        <v>1</v>
      </c>
      <c r="D506" s="67"/>
      <c r="E506" s="61">
        <f t="shared" ref="E506:E513" si="257">(((I506*J506)+(M506*N506)+(Q506*R506)+(U506*V506))/C506)*1.2</f>
        <v>654.50879999999995</v>
      </c>
      <c r="F506" s="188">
        <f t="shared" si="256"/>
        <v>109.09</v>
      </c>
      <c r="G506" s="118" t="s">
        <v>758</v>
      </c>
      <c r="H506" s="59" t="str">
        <f t="shared" si="248"/>
        <v>Leaping Potion (3:00)</v>
      </c>
      <c r="I506" s="59">
        <f t="shared" si="249"/>
        <v>530.42399999999998</v>
      </c>
      <c r="J506" s="84">
        <v>1</v>
      </c>
      <c r="K506" s="132">
        <v>289</v>
      </c>
      <c r="L506" s="107" t="str">
        <f t="shared" si="250"/>
        <v>Gunpowder</v>
      </c>
      <c r="M506" s="107">
        <f t="shared" si="251"/>
        <v>15</v>
      </c>
      <c r="N506" s="84">
        <v>1</v>
      </c>
      <c r="O506" s="132" t="s">
        <v>926</v>
      </c>
      <c r="P506" s="59" t="str">
        <f t="shared" si="252"/>
        <v>ninguno</v>
      </c>
      <c r="Q506" s="59">
        <f t="shared" si="253"/>
        <v>0</v>
      </c>
      <c r="R506" s="84"/>
      <c r="S506" s="132" t="s">
        <v>926</v>
      </c>
      <c r="T506" s="107" t="str">
        <f t="shared" si="254"/>
        <v>ninguno</v>
      </c>
      <c r="U506" s="107">
        <f t="shared" si="255"/>
        <v>0</v>
      </c>
      <c r="V506" s="84"/>
    </row>
    <row r="507" spans="1:22" s="108" customFormat="1" ht="14.25" customHeight="1" x14ac:dyDescent="0.25">
      <c r="A507" s="210" t="s">
        <v>828</v>
      </c>
      <c r="B507" s="68" t="s">
        <v>827</v>
      </c>
      <c r="C507" s="99">
        <v>1</v>
      </c>
      <c r="D507" s="67"/>
      <c r="E507" s="61">
        <f t="shared" si="257"/>
        <v>581.36255999999992</v>
      </c>
      <c r="F507" s="188">
        <f t="shared" si="256"/>
        <v>96.9</v>
      </c>
      <c r="G507" s="118" t="s">
        <v>760</v>
      </c>
      <c r="H507" s="59" t="str">
        <f t="shared" si="248"/>
        <v>Water Breathing Potion (8:00)</v>
      </c>
      <c r="I507" s="59">
        <f t="shared" si="249"/>
        <v>469.46879999999999</v>
      </c>
      <c r="J507" s="84">
        <v>1</v>
      </c>
      <c r="K507" s="132">
        <v>289</v>
      </c>
      <c r="L507" s="107" t="str">
        <f t="shared" si="250"/>
        <v>Gunpowder</v>
      </c>
      <c r="M507" s="107">
        <f t="shared" si="251"/>
        <v>15</v>
      </c>
      <c r="N507" s="84">
        <v>1</v>
      </c>
      <c r="O507" s="132" t="s">
        <v>926</v>
      </c>
      <c r="P507" s="59" t="str">
        <f t="shared" si="252"/>
        <v>ninguno</v>
      </c>
      <c r="Q507" s="59">
        <f t="shared" si="253"/>
        <v>0</v>
      </c>
      <c r="R507" s="84"/>
      <c r="S507" s="132" t="s">
        <v>926</v>
      </c>
      <c r="T507" s="107" t="str">
        <f t="shared" si="254"/>
        <v>ninguno</v>
      </c>
      <c r="U507" s="107">
        <f t="shared" si="255"/>
        <v>0</v>
      </c>
      <c r="V507" s="84"/>
    </row>
    <row r="508" spans="1:22" s="108" customFormat="1" ht="14.25" customHeight="1" x14ac:dyDescent="0.25">
      <c r="A508" s="210" t="s">
        <v>830</v>
      </c>
      <c r="B508" s="68" t="s">
        <v>829</v>
      </c>
      <c r="C508" s="99">
        <v>1</v>
      </c>
      <c r="D508" s="67"/>
      <c r="E508" s="61">
        <f t="shared" si="257"/>
        <v>1175.3521919999998</v>
      </c>
      <c r="F508" s="188">
        <f t="shared" si="256"/>
        <v>195.89999999999998</v>
      </c>
      <c r="G508" s="118" t="s">
        <v>762</v>
      </c>
      <c r="H508" s="59" t="str">
        <f t="shared" si="248"/>
        <v>Invisibility Potion (8:00)</v>
      </c>
      <c r="I508" s="59">
        <f t="shared" si="249"/>
        <v>964.46015999999997</v>
      </c>
      <c r="J508" s="84">
        <v>1</v>
      </c>
      <c r="K508" s="132">
        <v>289</v>
      </c>
      <c r="L508" s="107" t="str">
        <f t="shared" si="250"/>
        <v>Gunpowder</v>
      </c>
      <c r="M508" s="107">
        <f t="shared" si="251"/>
        <v>15</v>
      </c>
      <c r="N508" s="84">
        <v>1</v>
      </c>
      <c r="O508" s="132" t="s">
        <v>926</v>
      </c>
      <c r="P508" s="59" t="str">
        <f t="shared" si="252"/>
        <v>ninguno</v>
      </c>
      <c r="Q508" s="59">
        <f t="shared" si="253"/>
        <v>0</v>
      </c>
      <c r="R508" s="84"/>
      <c r="S508" s="132" t="s">
        <v>926</v>
      </c>
      <c r="T508" s="107" t="str">
        <f t="shared" si="254"/>
        <v>ninguno</v>
      </c>
      <c r="U508" s="107">
        <f t="shared" si="255"/>
        <v>0</v>
      </c>
      <c r="V508" s="84"/>
    </row>
    <row r="509" spans="1:22" s="108" customFormat="1" ht="14.25" customHeight="1" x14ac:dyDescent="0.25">
      <c r="A509" s="212" t="s">
        <v>832</v>
      </c>
      <c r="B509" s="69" t="s">
        <v>831</v>
      </c>
      <c r="C509" s="99">
        <v>1</v>
      </c>
      <c r="D509" s="67"/>
      <c r="E509" s="61">
        <f t="shared" si="257"/>
        <v>217.62547200000003</v>
      </c>
      <c r="F509" s="188">
        <f t="shared" si="256"/>
        <v>36.28</v>
      </c>
      <c r="G509" s="118" t="s">
        <v>764</v>
      </c>
      <c r="H509" s="59" t="str">
        <f t="shared" si="248"/>
        <v>Regeneration Potion II (1:00)</v>
      </c>
      <c r="I509" s="59">
        <f t="shared" si="249"/>
        <v>166.35456000000002</v>
      </c>
      <c r="J509" s="84">
        <v>1</v>
      </c>
      <c r="K509" s="132">
        <v>289</v>
      </c>
      <c r="L509" s="107" t="str">
        <f t="shared" si="250"/>
        <v>Gunpowder</v>
      </c>
      <c r="M509" s="107">
        <f t="shared" si="251"/>
        <v>15</v>
      </c>
      <c r="N509" s="84">
        <v>1</v>
      </c>
      <c r="O509" s="132" t="s">
        <v>926</v>
      </c>
      <c r="P509" s="59" t="str">
        <f t="shared" si="252"/>
        <v>ninguno</v>
      </c>
      <c r="Q509" s="59">
        <f t="shared" si="253"/>
        <v>0</v>
      </c>
      <c r="R509" s="84"/>
      <c r="S509" s="132" t="s">
        <v>926</v>
      </c>
      <c r="T509" s="107" t="str">
        <f t="shared" si="254"/>
        <v>ninguno</v>
      </c>
      <c r="U509" s="107">
        <f t="shared" si="255"/>
        <v>0</v>
      </c>
      <c r="V509" s="84"/>
    </row>
    <row r="510" spans="1:22" s="108" customFormat="1" ht="14.25" customHeight="1" x14ac:dyDescent="0.25">
      <c r="A510" s="212" t="s">
        <v>834</v>
      </c>
      <c r="B510" s="69" t="s">
        <v>833</v>
      </c>
      <c r="C510" s="99">
        <v>1</v>
      </c>
      <c r="D510" s="67"/>
      <c r="E510" s="61">
        <f t="shared" si="257"/>
        <v>1254.6328319999998</v>
      </c>
      <c r="F510" s="188">
        <f t="shared" si="256"/>
        <v>209.10999999999999</v>
      </c>
      <c r="G510" s="118" t="s">
        <v>766</v>
      </c>
      <c r="H510" s="59" t="str">
        <f t="shared" si="248"/>
        <v>Swiftness Potion II (4:00)</v>
      </c>
      <c r="I510" s="59">
        <f t="shared" si="249"/>
        <v>1030.5273599999998</v>
      </c>
      <c r="J510" s="84">
        <v>1</v>
      </c>
      <c r="K510" s="132">
        <v>289</v>
      </c>
      <c r="L510" s="107" t="str">
        <f t="shared" si="250"/>
        <v>Gunpowder</v>
      </c>
      <c r="M510" s="107">
        <f t="shared" si="251"/>
        <v>15</v>
      </c>
      <c r="N510" s="84">
        <v>1</v>
      </c>
      <c r="O510" s="132" t="s">
        <v>926</v>
      </c>
      <c r="P510" s="59" t="str">
        <f t="shared" si="252"/>
        <v>ninguno</v>
      </c>
      <c r="Q510" s="59">
        <f t="shared" si="253"/>
        <v>0</v>
      </c>
      <c r="R510" s="84"/>
      <c r="S510" s="132" t="s">
        <v>926</v>
      </c>
      <c r="T510" s="107" t="str">
        <f t="shared" si="254"/>
        <v>ninguno</v>
      </c>
      <c r="U510" s="107">
        <f t="shared" si="255"/>
        <v>0</v>
      </c>
      <c r="V510" s="84"/>
    </row>
    <row r="511" spans="1:22" s="108" customFormat="1" ht="14.25" customHeight="1" x14ac:dyDescent="0.25">
      <c r="A511" s="212" t="s">
        <v>836</v>
      </c>
      <c r="B511" s="69" t="s">
        <v>835</v>
      </c>
      <c r="C511" s="99">
        <v>1</v>
      </c>
      <c r="D511" s="67"/>
      <c r="E511" s="61">
        <f t="shared" si="257"/>
        <v>213.76857599999997</v>
      </c>
      <c r="F511" s="188">
        <f t="shared" si="256"/>
        <v>35.629999999999995</v>
      </c>
      <c r="G511" s="118" t="s">
        <v>768</v>
      </c>
      <c r="H511" s="59" t="str">
        <f t="shared" si="248"/>
        <v>Poison Potion II (1:00)</v>
      </c>
      <c r="I511" s="59">
        <f t="shared" si="249"/>
        <v>163.14047999999997</v>
      </c>
      <c r="J511" s="84">
        <v>1</v>
      </c>
      <c r="K511" s="132">
        <v>289</v>
      </c>
      <c r="L511" s="107" t="str">
        <f t="shared" si="250"/>
        <v>Gunpowder</v>
      </c>
      <c r="M511" s="107">
        <f t="shared" si="251"/>
        <v>15</v>
      </c>
      <c r="N511" s="84">
        <v>1</v>
      </c>
      <c r="O511" s="132" t="s">
        <v>926</v>
      </c>
      <c r="P511" s="59" t="str">
        <f t="shared" si="252"/>
        <v>ninguno</v>
      </c>
      <c r="Q511" s="59">
        <f t="shared" si="253"/>
        <v>0</v>
      </c>
      <c r="R511" s="84"/>
      <c r="S511" s="132" t="s">
        <v>926</v>
      </c>
      <c r="T511" s="107" t="str">
        <f t="shared" si="254"/>
        <v>ninguno</v>
      </c>
      <c r="U511" s="107">
        <f t="shared" si="255"/>
        <v>0</v>
      </c>
      <c r="V511" s="84"/>
    </row>
    <row r="512" spans="1:22" s="108" customFormat="1" ht="14.25" customHeight="1" x14ac:dyDescent="0.25">
      <c r="A512" s="212" t="s">
        <v>838</v>
      </c>
      <c r="B512" s="69" t="s">
        <v>837</v>
      </c>
      <c r="C512" s="99">
        <v>1</v>
      </c>
      <c r="D512" s="67"/>
      <c r="E512" s="61">
        <f t="shared" si="257"/>
        <v>206.428032</v>
      </c>
      <c r="F512" s="188">
        <f t="shared" si="256"/>
        <v>34.409999999999997</v>
      </c>
      <c r="G512" s="118" t="s">
        <v>770</v>
      </c>
      <c r="H512" s="59" t="str">
        <f t="shared" si="248"/>
        <v>Strength Potion II (4:00)</v>
      </c>
      <c r="I512" s="59">
        <f t="shared" si="249"/>
        <v>157.02336</v>
      </c>
      <c r="J512" s="84">
        <v>1</v>
      </c>
      <c r="K512" s="132">
        <v>289</v>
      </c>
      <c r="L512" s="107" t="str">
        <f t="shared" si="250"/>
        <v>Gunpowder</v>
      </c>
      <c r="M512" s="107">
        <f t="shared" si="251"/>
        <v>15</v>
      </c>
      <c r="N512" s="84">
        <v>1</v>
      </c>
      <c r="O512" s="132" t="s">
        <v>926</v>
      </c>
      <c r="P512" s="59" t="str">
        <f t="shared" si="252"/>
        <v>ninguno</v>
      </c>
      <c r="Q512" s="59">
        <f t="shared" si="253"/>
        <v>0</v>
      </c>
      <c r="R512" s="84"/>
      <c r="S512" s="132" t="s">
        <v>926</v>
      </c>
      <c r="T512" s="107" t="str">
        <f t="shared" si="254"/>
        <v>ninguno</v>
      </c>
      <c r="U512" s="107">
        <f t="shared" si="255"/>
        <v>0</v>
      </c>
      <c r="V512" s="84"/>
    </row>
    <row r="513" spans="1:22" s="108" customFormat="1" ht="14.25" customHeight="1" x14ac:dyDescent="0.25">
      <c r="A513" s="119">
        <v>374</v>
      </c>
      <c r="B513" s="68" t="s">
        <v>839</v>
      </c>
      <c r="C513" s="99">
        <v>1</v>
      </c>
      <c r="D513" s="67"/>
      <c r="E513" s="61">
        <f t="shared" si="257"/>
        <v>47.519999999999989</v>
      </c>
      <c r="F513" s="188">
        <f t="shared" si="256"/>
        <v>7.92</v>
      </c>
      <c r="G513" s="118">
        <v>20</v>
      </c>
      <c r="H513" s="59" t="str">
        <f t="shared" si="248"/>
        <v>Glass</v>
      </c>
      <c r="I513" s="59">
        <f t="shared" si="249"/>
        <v>13.2</v>
      </c>
      <c r="J513" s="84">
        <v>3</v>
      </c>
      <c r="K513" s="132" t="s">
        <v>926</v>
      </c>
      <c r="L513" s="107" t="str">
        <f t="shared" si="250"/>
        <v>ninguno</v>
      </c>
      <c r="M513" s="107">
        <f t="shared" si="251"/>
        <v>0</v>
      </c>
      <c r="N513" s="84"/>
      <c r="O513" s="132" t="s">
        <v>926</v>
      </c>
      <c r="P513" s="59" t="str">
        <f t="shared" si="252"/>
        <v>ninguno</v>
      </c>
      <c r="Q513" s="59">
        <f t="shared" si="253"/>
        <v>0</v>
      </c>
      <c r="R513" s="84"/>
      <c r="S513" s="132" t="s">
        <v>926</v>
      </c>
      <c r="T513" s="107" t="str">
        <f t="shared" si="254"/>
        <v>ninguno</v>
      </c>
      <c r="U513" s="107">
        <f t="shared" si="255"/>
        <v>0</v>
      </c>
      <c r="V513" s="84"/>
    </row>
    <row r="514" spans="1:22" s="114" customFormat="1" ht="14.25" customHeight="1" x14ac:dyDescent="0.25">
      <c r="A514" s="115">
        <v>375</v>
      </c>
      <c r="B514" s="89" t="s">
        <v>840</v>
      </c>
      <c r="C514" s="113"/>
      <c r="D514" s="85"/>
      <c r="E514" s="85">
        <f>'ECONOMIA &amp; PROFESIONES'!G45</f>
        <v>4.5</v>
      </c>
      <c r="F514" s="188">
        <f t="shared" si="256"/>
        <v>0.75</v>
      </c>
      <c r="G514" s="118"/>
      <c r="H514" s="85" t="e">
        <f t="shared" si="248"/>
        <v>#N/A</v>
      </c>
      <c r="I514" s="85" t="e">
        <f t="shared" si="249"/>
        <v>#N/A</v>
      </c>
      <c r="J514" s="85"/>
      <c r="K514" s="133" t="s">
        <v>926</v>
      </c>
      <c r="L514" s="85" t="str">
        <f t="shared" si="250"/>
        <v>ninguno</v>
      </c>
      <c r="M514" s="85">
        <f t="shared" si="251"/>
        <v>0</v>
      </c>
      <c r="N514" s="85"/>
      <c r="O514" s="133" t="s">
        <v>926</v>
      </c>
      <c r="P514" s="85" t="str">
        <f t="shared" si="252"/>
        <v>ninguno</v>
      </c>
      <c r="Q514" s="85">
        <f t="shared" si="253"/>
        <v>0</v>
      </c>
      <c r="R514" s="85"/>
      <c r="S514" s="133" t="s">
        <v>926</v>
      </c>
      <c r="T514" s="85" t="str">
        <f t="shared" si="254"/>
        <v>ninguno</v>
      </c>
      <c r="U514" s="85">
        <f t="shared" si="255"/>
        <v>0</v>
      </c>
      <c r="V514" s="85"/>
    </row>
    <row r="515" spans="1:22" s="108" customFormat="1" ht="14.25" customHeight="1" x14ac:dyDescent="0.25">
      <c r="A515" s="119">
        <v>376</v>
      </c>
      <c r="B515" s="68" t="s">
        <v>841</v>
      </c>
      <c r="C515" s="99">
        <v>3</v>
      </c>
      <c r="D515" s="67"/>
      <c r="E515" s="61">
        <f t="shared" ref="E515:E521" si="258">(((I515*J515)+(M515*N515)+(Q515*R515)+(U515*V515))/C515)*1.2</f>
        <v>584.04</v>
      </c>
      <c r="F515" s="188">
        <f t="shared" si="256"/>
        <v>97.34</v>
      </c>
      <c r="G515" s="118">
        <v>375</v>
      </c>
      <c r="H515" s="59" t="str">
        <f t="shared" si="248"/>
        <v>Spider Eye</v>
      </c>
      <c r="I515" s="59">
        <f t="shared" si="249"/>
        <v>4.5</v>
      </c>
      <c r="J515" s="84">
        <v>1</v>
      </c>
      <c r="K515" s="132">
        <v>353</v>
      </c>
      <c r="L515" s="107" t="str">
        <f t="shared" si="250"/>
        <v>Sugar</v>
      </c>
      <c r="M515" s="107">
        <f t="shared" si="251"/>
        <v>513.6</v>
      </c>
      <c r="N515" s="84">
        <v>1</v>
      </c>
      <c r="O515" s="132">
        <v>39</v>
      </c>
      <c r="P515" s="59" t="str">
        <f t="shared" si="252"/>
        <v>Brown Mushroom</v>
      </c>
      <c r="Q515" s="59">
        <f t="shared" si="253"/>
        <v>942</v>
      </c>
      <c r="R515" s="84">
        <v>1</v>
      </c>
      <c r="S515" s="132" t="s">
        <v>926</v>
      </c>
      <c r="T515" s="107" t="str">
        <f t="shared" si="254"/>
        <v>ninguno</v>
      </c>
      <c r="U515" s="107">
        <f t="shared" si="255"/>
        <v>0</v>
      </c>
      <c r="V515" s="84"/>
    </row>
    <row r="516" spans="1:22" s="108" customFormat="1" ht="14.25" customHeight="1" x14ac:dyDescent="0.25">
      <c r="A516" s="119">
        <v>377</v>
      </c>
      <c r="B516" s="68" t="s">
        <v>842</v>
      </c>
      <c r="C516" s="99">
        <v>2</v>
      </c>
      <c r="D516" s="67"/>
      <c r="E516" s="61">
        <f t="shared" si="258"/>
        <v>8.1</v>
      </c>
      <c r="F516" s="188">
        <f t="shared" si="256"/>
        <v>1.35</v>
      </c>
      <c r="G516" s="118">
        <v>369</v>
      </c>
      <c r="H516" s="59" t="str">
        <f t="shared" si="248"/>
        <v>Blaze Rod</v>
      </c>
      <c r="I516" s="59">
        <f t="shared" si="249"/>
        <v>13.5</v>
      </c>
      <c r="J516" s="84">
        <v>1</v>
      </c>
      <c r="K516" s="132" t="s">
        <v>926</v>
      </c>
      <c r="L516" s="107" t="str">
        <f t="shared" si="250"/>
        <v>ninguno</v>
      </c>
      <c r="M516" s="107">
        <f t="shared" si="251"/>
        <v>0</v>
      </c>
      <c r="N516" s="84"/>
      <c r="O516" s="132" t="s">
        <v>926</v>
      </c>
      <c r="P516" s="59" t="str">
        <f t="shared" si="252"/>
        <v>ninguno</v>
      </c>
      <c r="Q516" s="59">
        <f t="shared" si="253"/>
        <v>0</v>
      </c>
      <c r="R516" s="84"/>
      <c r="S516" s="132" t="s">
        <v>926</v>
      </c>
      <c r="T516" s="107" t="str">
        <f t="shared" si="254"/>
        <v>ninguno</v>
      </c>
      <c r="U516" s="107">
        <f t="shared" si="255"/>
        <v>0</v>
      </c>
      <c r="V516" s="84"/>
    </row>
    <row r="517" spans="1:22" s="108" customFormat="1" ht="14.25" customHeight="1" x14ac:dyDescent="0.25">
      <c r="A517" s="119">
        <v>378</v>
      </c>
      <c r="B517" s="68" t="s">
        <v>843</v>
      </c>
      <c r="C517" s="99">
        <v>3</v>
      </c>
      <c r="D517" s="67"/>
      <c r="E517" s="61">
        <f t="shared" si="258"/>
        <v>11.64</v>
      </c>
      <c r="F517" s="188">
        <f t="shared" si="256"/>
        <v>1.94</v>
      </c>
      <c r="G517" s="118">
        <v>377</v>
      </c>
      <c r="H517" s="59" t="str">
        <f t="shared" si="248"/>
        <v>Blaze Powder</v>
      </c>
      <c r="I517" s="59">
        <f t="shared" si="249"/>
        <v>8.1</v>
      </c>
      <c r="J517" s="84">
        <v>1</v>
      </c>
      <c r="K517" s="132">
        <v>341</v>
      </c>
      <c r="L517" s="107" t="str">
        <f t="shared" si="250"/>
        <v>Slime Ball</v>
      </c>
      <c r="M517" s="107">
        <f t="shared" si="251"/>
        <v>21</v>
      </c>
      <c r="N517" s="84">
        <v>1</v>
      </c>
      <c r="O517" s="132" t="s">
        <v>926</v>
      </c>
      <c r="P517" s="59" t="str">
        <f t="shared" si="252"/>
        <v>ninguno</v>
      </c>
      <c r="Q517" s="59">
        <f t="shared" si="253"/>
        <v>0</v>
      </c>
      <c r="R517" s="84"/>
      <c r="S517" s="132" t="s">
        <v>926</v>
      </c>
      <c r="T517" s="107" t="str">
        <f t="shared" si="254"/>
        <v>ninguno</v>
      </c>
      <c r="U517" s="107">
        <f t="shared" si="255"/>
        <v>0</v>
      </c>
      <c r="V517" s="84"/>
    </row>
    <row r="518" spans="1:22" s="108" customFormat="1" ht="14.25" customHeight="1" x14ac:dyDescent="0.25">
      <c r="A518" s="119">
        <v>379</v>
      </c>
      <c r="B518" s="68" t="s">
        <v>844</v>
      </c>
      <c r="C518" s="99">
        <v>1</v>
      </c>
      <c r="D518" s="67"/>
      <c r="E518" s="61">
        <f t="shared" si="258"/>
        <v>27</v>
      </c>
      <c r="F518" s="188">
        <f t="shared" si="256"/>
        <v>4.5</v>
      </c>
      <c r="G518" s="118">
        <v>369</v>
      </c>
      <c r="H518" s="59" t="str">
        <f t="shared" si="248"/>
        <v>Blaze Rod</v>
      </c>
      <c r="I518" s="59">
        <f t="shared" si="249"/>
        <v>13.5</v>
      </c>
      <c r="J518" s="84">
        <v>1</v>
      </c>
      <c r="K518" s="132">
        <v>4</v>
      </c>
      <c r="L518" s="107" t="str">
        <f t="shared" si="250"/>
        <v>Cobblestone</v>
      </c>
      <c r="M518" s="107">
        <f t="shared" si="251"/>
        <v>3</v>
      </c>
      <c r="N518" s="84">
        <v>3</v>
      </c>
      <c r="O518" s="132" t="s">
        <v>926</v>
      </c>
      <c r="P518" s="59" t="str">
        <f t="shared" si="252"/>
        <v>ninguno</v>
      </c>
      <c r="Q518" s="59">
        <f t="shared" si="253"/>
        <v>0</v>
      </c>
      <c r="R518" s="84"/>
      <c r="S518" s="132" t="s">
        <v>926</v>
      </c>
      <c r="T518" s="107" t="str">
        <f t="shared" si="254"/>
        <v>ninguno</v>
      </c>
      <c r="U518" s="107">
        <f t="shared" si="255"/>
        <v>0</v>
      </c>
      <c r="V518" s="84"/>
    </row>
    <row r="519" spans="1:22" s="108" customFormat="1" ht="14.25" customHeight="1" x14ac:dyDescent="0.25">
      <c r="A519" s="119">
        <v>380</v>
      </c>
      <c r="B519" s="68" t="s">
        <v>845</v>
      </c>
      <c r="C519" s="99">
        <v>1</v>
      </c>
      <c r="D519" s="67"/>
      <c r="E519" s="61">
        <f t="shared" si="258"/>
        <v>6720</v>
      </c>
      <c r="F519" s="188">
        <f t="shared" si="256"/>
        <v>1120</v>
      </c>
      <c r="G519" s="118">
        <v>265</v>
      </c>
      <c r="H519" s="59" t="str">
        <f t="shared" si="248"/>
        <v>Iron Ingot</v>
      </c>
      <c r="I519" s="59">
        <f t="shared" si="249"/>
        <v>800</v>
      </c>
      <c r="J519" s="84">
        <v>7</v>
      </c>
      <c r="K519" s="132" t="s">
        <v>926</v>
      </c>
      <c r="L519" s="107" t="str">
        <f t="shared" si="250"/>
        <v>ninguno</v>
      </c>
      <c r="M519" s="107">
        <f t="shared" si="251"/>
        <v>0</v>
      </c>
      <c r="N519" s="84"/>
      <c r="O519" s="132" t="s">
        <v>926</v>
      </c>
      <c r="P519" s="59" t="str">
        <f t="shared" si="252"/>
        <v>ninguno</v>
      </c>
      <c r="Q519" s="59">
        <f t="shared" si="253"/>
        <v>0</v>
      </c>
      <c r="R519" s="84"/>
      <c r="S519" s="132" t="s">
        <v>926</v>
      </c>
      <c r="T519" s="107" t="str">
        <f t="shared" si="254"/>
        <v>ninguno</v>
      </c>
      <c r="U519" s="107">
        <f t="shared" si="255"/>
        <v>0</v>
      </c>
      <c r="V519" s="84"/>
    </row>
    <row r="520" spans="1:22" s="108" customFormat="1" ht="14.25" customHeight="1" x14ac:dyDescent="0.25">
      <c r="A520" s="119">
        <v>381</v>
      </c>
      <c r="B520" s="68" t="s">
        <v>846</v>
      </c>
      <c r="C520" s="99">
        <v>1</v>
      </c>
      <c r="D520" s="67"/>
      <c r="E520" s="61">
        <f t="shared" si="258"/>
        <v>42.12</v>
      </c>
      <c r="F520" s="188">
        <f t="shared" si="256"/>
        <v>7.02</v>
      </c>
      <c r="G520" s="118">
        <v>368</v>
      </c>
      <c r="H520" s="59" t="str">
        <f t="shared" si="248"/>
        <v>Ender Pearl</v>
      </c>
      <c r="I520" s="59">
        <f t="shared" si="249"/>
        <v>27</v>
      </c>
      <c r="J520" s="84">
        <v>1</v>
      </c>
      <c r="K520" s="132">
        <v>377</v>
      </c>
      <c r="L520" s="107" t="str">
        <f t="shared" si="250"/>
        <v>Blaze Powder</v>
      </c>
      <c r="M520" s="107">
        <f t="shared" si="251"/>
        <v>8.1</v>
      </c>
      <c r="N520" s="84">
        <v>1</v>
      </c>
      <c r="O520" s="132" t="s">
        <v>926</v>
      </c>
      <c r="P520" s="59" t="str">
        <f t="shared" si="252"/>
        <v>ninguno</v>
      </c>
      <c r="Q520" s="59">
        <f t="shared" si="253"/>
        <v>0</v>
      </c>
      <c r="R520" s="84"/>
      <c r="S520" s="132" t="s">
        <v>926</v>
      </c>
      <c r="T520" s="107" t="str">
        <f t="shared" si="254"/>
        <v>ninguno</v>
      </c>
      <c r="U520" s="107">
        <f t="shared" si="255"/>
        <v>0</v>
      </c>
      <c r="V520" s="84"/>
    </row>
    <row r="521" spans="1:22" s="108" customFormat="1" ht="14.25" customHeight="1" x14ac:dyDescent="0.25">
      <c r="A521" s="119">
        <v>382</v>
      </c>
      <c r="B521" s="68" t="s">
        <v>847</v>
      </c>
      <c r="C521" s="99">
        <v>1</v>
      </c>
      <c r="D521" s="67"/>
      <c r="E521" s="61">
        <f t="shared" si="258"/>
        <v>177.9</v>
      </c>
      <c r="F521" s="188">
        <f t="shared" si="256"/>
        <v>29.65</v>
      </c>
      <c r="G521" s="118">
        <v>371</v>
      </c>
      <c r="H521" s="59" t="str">
        <f t="shared" si="248"/>
        <v>Gold Nugget</v>
      </c>
      <c r="I521" s="59">
        <f t="shared" si="249"/>
        <v>10.5</v>
      </c>
      <c r="J521" s="84">
        <v>8</v>
      </c>
      <c r="K521" s="132">
        <v>360</v>
      </c>
      <c r="L521" s="107" t="str">
        <f t="shared" si="250"/>
        <v>Melon Slice</v>
      </c>
      <c r="M521" s="107">
        <f t="shared" si="251"/>
        <v>64.25</v>
      </c>
      <c r="N521" s="84">
        <v>1</v>
      </c>
      <c r="O521" s="132" t="s">
        <v>926</v>
      </c>
      <c r="P521" s="59" t="str">
        <f t="shared" si="252"/>
        <v>ninguno</v>
      </c>
      <c r="Q521" s="59">
        <f t="shared" si="253"/>
        <v>0</v>
      </c>
      <c r="R521" s="84"/>
      <c r="S521" s="132" t="s">
        <v>926</v>
      </c>
      <c r="T521" s="107" t="str">
        <f t="shared" si="254"/>
        <v>ninguno</v>
      </c>
      <c r="U521" s="107">
        <f t="shared" si="255"/>
        <v>0</v>
      </c>
      <c r="V521" s="84"/>
    </row>
    <row r="522" spans="1:22" s="114" customFormat="1" ht="14.25" customHeight="1" x14ac:dyDescent="0.25">
      <c r="A522" s="126">
        <v>384</v>
      </c>
      <c r="B522" s="117" t="s">
        <v>848</v>
      </c>
      <c r="C522" s="113">
        <v>1</v>
      </c>
      <c r="D522" s="85"/>
      <c r="E522" s="85">
        <v>0</v>
      </c>
      <c r="F522" s="188">
        <f t="shared" si="256"/>
        <v>0</v>
      </c>
      <c r="G522" s="136"/>
      <c r="H522" s="85" t="e">
        <f t="shared" si="248"/>
        <v>#N/A</v>
      </c>
      <c r="I522" s="85" t="e">
        <f t="shared" si="249"/>
        <v>#N/A</v>
      </c>
      <c r="J522" s="85"/>
      <c r="K522" s="133" t="s">
        <v>926</v>
      </c>
      <c r="L522" s="85" t="str">
        <f t="shared" si="250"/>
        <v>ninguno</v>
      </c>
      <c r="M522" s="85">
        <f t="shared" si="251"/>
        <v>0</v>
      </c>
      <c r="N522" s="85"/>
      <c r="O522" s="133" t="s">
        <v>926</v>
      </c>
      <c r="P522" s="85" t="str">
        <f t="shared" si="252"/>
        <v>ninguno</v>
      </c>
      <c r="Q522" s="85">
        <f t="shared" si="253"/>
        <v>0</v>
      </c>
      <c r="R522" s="85"/>
      <c r="S522" s="133" t="s">
        <v>926</v>
      </c>
      <c r="T522" s="85" t="str">
        <f t="shared" si="254"/>
        <v>ninguno</v>
      </c>
      <c r="U522" s="85">
        <f t="shared" si="255"/>
        <v>0</v>
      </c>
      <c r="V522" s="85"/>
    </row>
    <row r="523" spans="1:22" s="108" customFormat="1" ht="14.25" customHeight="1" x14ac:dyDescent="0.25">
      <c r="A523" s="119">
        <v>385</v>
      </c>
      <c r="B523" s="68" t="s">
        <v>849</v>
      </c>
      <c r="C523" s="99">
        <v>1</v>
      </c>
      <c r="D523" s="67"/>
      <c r="E523" s="61">
        <f>(((I523*J523)+(M523*N523)+(Q523*R523)+(U523*V523))/C523)*1.2</f>
        <v>36.119999999999997</v>
      </c>
      <c r="F523" s="188">
        <f t="shared" si="256"/>
        <v>6.02</v>
      </c>
      <c r="G523" s="118">
        <v>377</v>
      </c>
      <c r="H523" s="59" t="str">
        <f t="shared" si="248"/>
        <v>Blaze Powder</v>
      </c>
      <c r="I523" s="59">
        <f t="shared" si="249"/>
        <v>8.1</v>
      </c>
      <c r="J523" s="84">
        <v>1</v>
      </c>
      <c r="K523" s="132">
        <v>289</v>
      </c>
      <c r="L523" s="107" t="str">
        <f t="shared" si="250"/>
        <v>Gunpowder</v>
      </c>
      <c r="M523" s="107">
        <f t="shared" si="251"/>
        <v>15</v>
      </c>
      <c r="N523" s="84">
        <v>1</v>
      </c>
      <c r="O523" s="132">
        <v>263</v>
      </c>
      <c r="P523" s="59" t="str">
        <f t="shared" si="252"/>
        <v>Coal</v>
      </c>
      <c r="Q523" s="59">
        <f t="shared" si="253"/>
        <v>7</v>
      </c>
      <c r="R523" s="84">
        <v>1</v>
      </c>
      <c r="S523" s="132" t="s">
        <v>926</v>
      </c>
      <c r="T523" s="107" t="str">
        <f t="shared" si="254"/>
        <v>ninguno</v>
      </c>
      <c r="U523" s="107">
        <f t="shared" si="255"/>
        <v>0</v>
      </c>
      <c r="V523" s="84"/>
    </row>
    <row r="524" spans="1:22" s="108" customFormat="1" ht="14.25" customHeight="1" x14ac:dyDescent="0.25">
      <c r="A524" s="119">
        <v>386</v>
      </c>
      <c r="B524" s="68" t="s">
        <v>850</v>
      </c>
      <c r="C524" s="99">
        <v>1</v>
      </c>
      <c r="D524" s="67"/>
      <c r="E524" s="61">
        <f>(((I524*J524)+(M524*N524)+(Q524*R524)+(U524*V524))/C524)*1.2</f>
        <v>4928.5679999999993</v>
      </c>
      <c r="F524" s="188">
        <f t="shared" si="256"/>
        <v>821.43</v>
      </c>
      <c r="G524" s="118">
        <v>288</v>
      </c>
      <c r="H524" s="59" t="str">
        <f t="shared" si="248"/>
        <v>Feather</v>
      </c>
      <c r="I524" s="59">
        <f t="shared" si="249"/>
        <v>28.700000000000003</v>
      </c>
      <c r="J524" s="84">
        <v>1</v>
      </c>
      <c r="K524" s="132">
        <v>351</v>
      </c>
      <c r="L524" s="107" t="str">
        <f t="shared" si="250"/>
        <v>Ink Sack</v>
      </c>
      <c r="M524" s="107">
        <f t="shared" si="251"/>
        <v>9</v>
      </c>
      <c r="N524" s="84">
        <v>1</v>
      </c>
      <c r="O524" s="132">
        <v>340</v>
      </c>
      <c r="P524" s="59" t="str">
        <f t="shared" si="252"/>
        <v>Book</v>
      </c>
      <c r="Q524" s="59">
        <f t="shared" si="253"/>
        <v>4069.4399999999996</v>
      </c>
      <c r="R524" s="84">
        <v>1</v>
      </c>
      <c r="S524" s="132" t="s">
        <v>926</v>
      </c>
      <c r="T524" s="107" t="str">
        <f t="shared" si="254"/>
        <v>ninguno</v>
      </c>
      <c r="U524" s="107">
        <f t="shared" si="255"/>
        <v>0</v>
      </c>
      <c r="V524" s="84"/>
    </row>
    <row r="525" spans="1:22" s="88" customFormat="1" ht="14.25" customHeight="1" x14ac:dyDescent="0.25">
      <c r="A525" s="115">
        <v>388</v>
      </c>
      <c r="B525" s="89" t="s">
        <v>851</v>
      </c>
      <c r="C525" s="100"/>
      <c r="D525" s="85"/>
      <c r="E525" s="85">
        <f>'ECONOMIA &amp; PROFESIONES'!E36</f>
        <v>19</v>
      </c>
      <c r="F525" s="188">
        <f t="shared" si="256"/>
        <v>3.17</v>
      </c>
      <c r="G525" s="118"/>
      <c r="H525" s="85"/>
      <c r="I525" s="85"/>
      <c r="J525" s="87"/>
      <c r="K525" s="87"/>
      <c r="L525" s="85"/>
      <c r="M525" s="85"/>
      <c r="N525" s="87"/>
      <c r="O525" s="87"/>
      <c r="P525" s="85"/>
      <c r="Q525" s="85"/>
      <c r="R525" s="87"/>
      <c r="S525" s="87"/>
      <c r="T525" s="85"/>
      <c r="U525" s="85"/>
      <c r="V525" s="87"/>
    </row>
    <row r="526" spans="1:22" s="108" customFormat="1" ht="14.25" customHeight="1" x14ac:dyDescent="0.25">
      <c r="A526" s="119">
        <v>389</v>
      </c>
      <c r="B526" s="68" t="s">
        <v>852</v>
      </c>
      <c r="C526" s="99">
        <v>1</v>
      </c>
      <c r="D526" s="67"/>
      <c r="E526" s="61">
        <f>(((I526*J526)+(M526*N526)+(Q526*R526)+(U526*V526))/C526)*1.2</f>
        <v>2223.9359999999997</v>
      </c>
      <c r="F526" s="188">
        <f t="shared" si="256"/>
        <v>370.65999999999997</v>
      </c>
      <c r="G526" s="118">
        <v>280</v>
      </c>
      <c r="H526" s="59" t="str">
        <f>VLOOKUP(G526,LISTAITEMS,2,FALSE)</f>
        <v>Stick</v>
      </c>
      <c r="I526" s="59">
        <f>VLOOKUP(G526,LISTAITEMS,5,FALSE)</f>
        <v>0.36</v>
      </c>
      <c r="J526" s="84">
        <v>8</v>
      </c>
      <c r="K526" s="132">
        <v>334</v>
      </c>
      <c r="L526" s="107" t="str">
        <f>VLOOKUP(K526,LISTAITEMS,2,FALSE)</f>
        <v>Leather</v>
      </c>
      <c r="M526" s="107">
        <f>VLOOKUP(K526,LISTAITEMS,5,FALSE)</f>
        <v>1850.3999999999999</v>
      </c>
      <c r="N526" s="84">
        <v>1</v>
      </c>
      <c r="O526" s="132" t="s">
        <v>926</v>
      </c>
      <c r="P526" s="59" t="str">
        <f>VLOOKUP(O526,LISTAITEMS,2,FALSE)</f>
        <v>ninguno</v>
      </c>
      <c r="Q526" s="59">
        <f>VLOOKUP(O526,LISTAITEMS,5,FALSE)</f>
        <v>0</v>
      </c>
      <c r="R526" s="84"/>
      <c r="S526" s="132" t="s">
        <v>926</v>
      </c>
      <c r="T526" s="107" t="str">
        <f>VLOOKUP(S526,LISTAITEMS,2,FALSE)</f>
        <v>ninguno</v>
      </c>
      <c r="U526" s="107">
        <f>VLOOKUP(S526,LISTAITEMS,5,FALSE)</f>
        <v>0</v>
      </c>
      <c r="V526" s="84"/>
    </row>
    <row r="527" spans="1:22" s="108" customFormat="1" ht="14.25" customHeight="1" x14ac:dyDescent="0.25">
      <c r="A527" s="119">
        <v>390</v>
      </c>
      <c r="B527" s="68" t="s">
        <v>853</v>
      </c>
      <c r="C527" s="99">
        <v>1</v>
      </c>
      <c r="D527" s="67"/>
      <c r="E527" s="61">
        <f>(((I527*J527)+(M527*N527)+(Q527*R527)+(U527*V527))/C527)*1.2</f>
        <v>64.8</v>
      </c>
      <c r="F527" s="188">
        <f t="shared" si="256"/>
        <v>10.8</v>
      </c>
      <c r="G527" s="118">
        <v>336</v>
      </c>
      <c r="H527" s="59" t="str">
        <f>VLOOKUP(G527,LISTAITEMS,2,FALSE)</f>
        <v>Clay Brick</v>
      </c>
      <c r="I527" s="59">
        <f>VLOOKUP(G527,LISTAITEMS,5,FALSE)</f>
        <v>18</v>
      </c>
      <c r="J527" s="84">
        <v>3</v>
      </c>
      <c r="K527" s="132" t="s">
        <v>926</v>
      </c>
      <c r="L527" s="107" t="str">
        <f>VLOOKUP(K527,LISTAITEMS,2,FALSE)</f>
        <v>ninguno</v>
      </c>
      <c r="M527" s="107">
        <f>VLOOKUP(K527,LISTAITEMS,5,FALSE)</f>
        <v>0</v>
      </c>
      <c r="N527" s="84"/>
      <c r="O527" s="132" t="s">
        <v>926</v>
      </c>
      <c r="P527" s="59" t="str">
        <f>VLOOKUP(O527,LISTAITEMS,2,FALSE)</f>
        <v>ninguno</v>
      </c>
      <c r="Q527" s="59">
        <f>VLOOKUP(O527,LISTAITEMS,5,FALSE)</f>
        <v>0</v>
      </c>
      <c r="R527" s="84"/>
      <c r="S527" s="132" t="s">
        <v>926</v>
      </c>
      <c r="T527" s="107" t="str">
        <f>VLOOKUP(S527,LISTAITEMS,2,FALSE)</f>
        <v>ninguno</v>
      </c>
      <c r="U527" s="107">
        <f>VLOOKUP(S527,LISTAITEMS,5,FALSE)</f>
        <v>0</v>
      </c>
      <c r="V527" s="84"/>
    </row>
    <row r="528" spans="1:22" s="88" customFormat="1" ht="14.25" customHeight="1" x14ac:dyDescent="0.25">
      <c r="A528" s="115">
        <v>391</v>
      </c>
      <c r="B528" s="89" t="s">
        <v>854</v>
      </c>
      <c r="C528" s="100"/>
      <c r="D528" s="85"/>
      <c r="E528" s="85">
        <f>'ECONOMIA &amp; PROFESIONES'!$I$29</f>
        <v>428</v>
      </c>
      <c r="F528" s="188">
        <f t="shared" si="256"/>
        <v>71.34</v>
      </c>
      <c r="G528" s="118"/>
      <c r="H528" s="85"/>
      <c r="I528" s="85"/>
      <c r="J528" s="87"/>
      <c r="K528" s="87"/>
      <c r="L528" s="85"/>
      <c r="M528" s="85"/>
      <c r="N528" s="87"/>
      <c r="O528" s="87"/>
      <c r="P528" s="85"/>
      <c r="Q528" s="85"/>
      <c r="R528" s="87"/>
      <c r="S528" s="87"/>
      <c r="T528" s="85"/>
      <c r="U528" s="85"/>
      <c r="V528" s="87"/>
    </row>
    <row r="529" spans="1:22" s="88" customFormat="1" ht="14.25" customHeight="1" x14ac:dyDescent="0.25">
      <c r="A529" s="115">
        <v>392</v>
      </c>
      <c r="B529" s="89" t="s">
        <v>134</v>
      </c>
      <c r="C529" s="100"/>
      <c r="D529" s="85"/>
      <c r="E529" s="85">
        <f>'ECONOMIA &amp; PROFESIONES'!$I$27</f>
        <v>86</v>
      </c>
      <c r="F529" s="188">
        <f t="shared" si="256"/>
        <v>14.34</v>
      </c>
      <c r="G529" s="118"/>
      <c r="H529" s="85"/>
      <c r="I529" s="85"/>
      <c r="J529" s="87"/>
      <c r="K529" s="87"/>
      <c r="L529" s="85"/>
      <c r="M529" s="85"/>
      <c r="N529" s="87"/>
      <c r="O529" s="87"/>
      <c r="P529" s="85"/>
      <c r="Q529" s="85"/>
      <c r="R529" s="87"/>
      <c r="S529" s="87"/>
      <c r="T529" s="85"/>
      <c r="U529" s="85"/>
      <c r="V529" s="87"/>
    </row>
    <row r="530" spans="1:22" s="108" customFormat="1" ht="14.25" customHeight="1" x14ac:dyDescent="0.25">
      <c r="A530" s="119">
        <v>393</v>
      </c>
      <c r="B530" s="68" t="s">
        <v>855</v>
      </c>
      <c r="C530" s="99">
        <v>1</v>
      </c>
      <c r="D530" s="67"/>
      <c r="E530" s="61">
        <f>(((I530*J530)+(M530*N530)+(Q530*R530)+(U530*V530))/C530)*1.2</f>
        <v>103.2</v>
      </c>
      <c r="F530" s="188">
        <f t="shared" si="256"/>
        <v>17.2</v>
      </c>
      <c r="G530" s="118">
        <v>392</v>
      </c>
      <c r="H530" s="59" t="str">
        <f t="shared" ref="H530:H541" si="259">VLOOKUP(G530,LISTAITEMS,2,FALSE)</f>
        <v>Potato</v>
      </c>
      <c r="I530" s="59">
        <f t="shared" ref="I530:I541" si="260">VLOOKUP(G530,LISTAITEMS,5,FALSE)</f>
        <v>86</v>
      </c>
      <c r="J530" s="84">
        <v>1</v>
      </c>
      <c r="K530" s="132" t="s">
        <v>926</v>
      </c>
      <c r="L530" s="107" t="str">
        <f t="shared" ref="L530:L541" si="261">VLOOKUP(K530,LISTAITEMS,2,FALSE)</f>
        <v>ninguno</v>
      </c>
      <c r="M530" s="107">
        <f t="shared" ref="M530:M541" si="262">VLOOKUP(K530,LISTAITEMS,5,FALSE)</f>
        <v>0</v>
      </c>
      <c r="N530" s="84"/>
      <c r="O530" s="132" t="s">
        <v>926</v>
      </c>
      <c r="P530" s="59" t="str">
        <f t="shared" ref="P530:P541" si="263">VLOOKUP(O530,LISTAITEMS,2,FALSE)</f>
        <v>ninguno</v>
      </c>
      <c r="Q530" s="59">
        <f t="shared" ref="Q530:Q541" si="264">VLOOKUP(O530,LISTAITEMS,5,FALSE)</f>
        <v>0</v>
      </c>
      <c r="R530" s="84"/>
      <c r="S530" s="132" t="s">
        <v>926</v>
      </c>
      <c r="T530" s="107" t="str">
        <f t="shared" ref="T530:T541" si="265">VLOOKUP(S530,LISTAITEMS,2,FALSE)</f>
        <v>ninguno</v>
      </c>
      <c r="U530" s="107">
        <f t="shared" ref="U530:U541" si="266">VLOOKUP(S530,LISTAITEMS,5,FALSE)</f>
        <v>0</v>
      </c>
      <c r="V530" s="84"/>
    </row>
    <row r="531" spans="1:22" s="114" customFormat="1" ht="14.25" customHeight="1" x14ac:dyDescent="0.25">
      <c r="A531" s="115">
        <v>394</v>
      </c>
      <c r="B531" s="89" t="s">
        <v>856</v>
      </c>
      <c r="C531" s="113"/>
      <c r="D531" s="85"/>
      <c r="E531" s="85">
        <f>'ECONOMIA &amp; PROFESIONES'!I27</f>
        <v>86</v>
      </c>
      <c r="F531" s="188">
        <f t="shared" si="256"/>
        <v>14.34</v>
      </c>
      <c r="G531" s="118"/>
      <c r="H531" s="85" t="e">
        <f t="shared" si="259"/>
        <v>#N/A</v>
      </c>
      <c r="I531" s="85" t="e">
        <f t="shared" si="260"/>
        <v>#N/A</v>
      </c>
      <c r="J531" s="85"/>
      <c r="K531" s="133" t="s">
        <v>926</v>
      </c>
      <c r="L531" s="85" t="str">
        <f t="shared" si="261"/>
        <v>ninguno</v>
      </c>
      <c r="M531" s="85">
        <f t="shared" si="262"/>
        <v>0</v>
      </c>
      <c r="N531" s="85"/>
      <c r="O531" s="133" t="s">
        <v>926</v>
      </c>
      <c r="P531" s="85" t="str">
        <f t="shared" si="263"/>
        <v>ninguno</v>
      </c>
      <c r="Q531" s="85">
        <f t="shared" si="264"/>
        <v>0</v>
      </c>
      <c r="R531" s="85"/>
      <c r="S531" s="133" t="s">
        <v>926</v>
      </c>
      <c r="T531" s="85" t="str">
        <f t="shared" si="265"/>
        <v>ninguno</v>
      </c>
      <c r="U531" s="85">
        <f t="shared" si="266"/>
        <v>0</v>
      </c>
      <c r="V531" s="85"/>
    </row>
    <row r="532" spans="1:22" s="108" customFormat="1" ht="14.25" customHeight="1" x14ac:dyDescent="0.25">
      <c r="A532" s="119">
        <v>395</v>
      </c>
      <c r="B532" s="68" t="s">
        <v>857</v>
      </c>
      <c r="C532" s="99">
        <v>1</v>
      </c>
      <c r="D532" s="67"/>
      <c r="E532" s="61">
        <f>(((I532*J532)+(M532*N532)+(Q532*R532)+(U532*V532))/C532)*1.2</f>
        <v>9560.16</v>
      </c>
      <c r="F532" s="188">
        <f t="shared" si="256"/>
        <v>1593.36</v>
      </c>
      <c r="G532" s="118">
        <v>339</v>
      </c>
      <c r="H532" s="59" t="str">
        <f t="shared" si="259"/>
        <v>Paper</v>
      </c>
      <c r="I532" s="59">
        <f t="shared" si="260"/>
        <v>513.6</v>
      </c>
      <c r="J532" s="84">
        <v>8</v>
      </c>
      <c r="K532" s="132">
        <v>345</v>
      </c>
      <c r="L532" s="107" t="str">
        <f t="shared" si="261"/>
        <v>Compass</v>
      </c>
      <c r="M532" s="107">
        <f t="shared" si="262"/>
        <v>3858</v>
      </c>
      <c r="N532" s="84">
        <v>1</v>
      </c>
      <c r="O532" s="132" t="s">
        <v>926</v>
      </c>
      <c r="P532" s="59" t="str">
        <f t="shared" si="263"/>
        <v>ninguno</v>
      </c>
      <c r="Q532" s="59">
        <f t="shared" si="264"/>
        <v>0</v>
      </c>
      <c r="R532" s="84"/>
      <c r="S532" s="132" t="s">
        <v>926</v>
      </c>
      <c r="T532" s="107" t="str">
        <f t="shared" si="265"/>
        <v>ninguno</v>
      </c>
      <c r="U532" s="107">
        <f t="shared" si="266"/>
        <v>0</v>
      </c>
      <c r="V532" s="84"/>
    </row>
    <row r="533" spans="1:22" s="108" customFormat="1" ht="14.25" customHeight="1" x14ac:dyDescent="0.25">
      <c r="A533" s="119">
        <v>396</v>
      </c>
      <c r="B533" s="68" t="s">
        <v>858</v>
      </c>
      <c r="C533" s="99">
        <v>1</v>
      </c>
      <c r="D533" s="67"/>
      <c r="E533" s="61">
        <f>(((I533*J533)+(M533*N533)+(Q533*R533)+(U533*V533))/C533)*1.2</f>
        <v>614.4</v>
      </c>
      <c r="F533" s="188">
        <f t="shared" si="256"/>
        <v>102.4</v>
      </c>
      <c r="G533" s="118">
        <v>371</v>
      </c>
      <c r="H533" s="59" t="str">
        <f t="shared" si="259"/>
        <v>Gold Nugget</v>
      </c>
      <c r="I533" s="59">
        <f t="shared" si="260"/>
        <v>10.5</v>
      </c>
      <c r="J533" s="84">
        <v>8</v>
      </c>
      <c r="K533" s="132">
        <v>391</v>
      </c>
      <c r="L533" s="107" t="str">
        <f t="shared" si="261"/>
        <v>Carrot</v>
      </c>
      <c r="M533" s="107">
        <f t="shared" si="262"/>
        <v>428</v>
      </c>
      <c r="N533" s="84">
        <v>1</v>
      </c>
      <c r="O533" s="132" t="s">
        <v>926</v>
      </c>
      <c r="P533" s="59" t="str">
        <f t="shared" si="263"/>
        <v>ninguno</v>
      </c>
      <c r="Q533" s="59">
        <f t="shared" si="264"/>
        <v>0</v>
      </c>
      <c r="R533" s="84"/>
      <c r="S533" s="132" t="s">
        <v>926</v>
      </c>
      <c r="T533" s="107" t="str">
        <f t="shared" si="265"/>
        <v>ninguno</v>
      </c>
      <c r="U533" s="107">
        <f t="shared" si="266"/>
        <v>0</v>
      </c>
      <c r="V533" s="84"/>
    </row>
    <row r="534" spans="1:22" s="108" customFormat="1" ht="14.25" customHeight="1" x14ac:dyDescent="0.25">
      <c r="A534" s="119">
        <v>398</v>
      </c>
      <c r="B534" s="68" t="s">
        <v>964</v>
      </c>
      <c r="C534" s="99">
        <v>1</v>
      </c>
      <c r="D534" s="67"/>
      <c r="E534" s="61">
        <f>(((I534*J534)+(M534*N534)+(Q534*R534)+(U534*V534))/C534)*1.2</f>
        <v>528.11519999999996</v>
      </c>
      <c r="F534" s="188">
        <f t="shared" si="256"/>
        <v>88.02000000000001</v>
      </c>
      <c r="G534" s="118">
        <v>391</v>
      </c>
      <c r="H534" s="59" t="str">
        <f t="shared" si="259"/>
        <v>Carrot</v>
      </c>
      <c r="I534" s="59">
        <f t="shared" si="260"/>
        <v>428</v>
      </c>
      <c r="J534" s="84">
        <v>1</v>
      </c>
      <c r="K534" s="132">
        <v>346</v>
      </c>
      <c r="L534" s="107" t="str">
        <f t="shared" si="261"/>
        <v>Fishing Rod</v>
      </c>
      <c r="M534" s="107">
        <f t="shared" si="262"/>
        <v>12.096</v>
      </c>
      <c r="N534" s="84">
        <v>1</v>
      </c>
      <c r="O534" s="132" t="s">
        <v>926</v>
      </c>
      <c r="P534" s="59" t="str">
        <f t="shared" si="263"/>
        <v>ninguno</v>
      </c>
      <c r="Q534" s="59">
        <f t="shared" si="264"/>
        <v>0</v>
      </c>
      <c r="R534" s="84"/>
      <c r="S534" s="132" t="s">
        <v>926</v>
      </c>
      <c r="T534" s="107" t="str">
        <f t="shared" si="265"/>
        <v>ninguno</v>
      </c>
      <c r="U534" s="107">
        <f t="shared" si="266"/>
        <v>0</v>
      </c>
      <c r="V534" s="84"/>
    </row>
    <row r="535" spans="1:22" s="114" customFormat="1" ht="14.25" customHeight="1" x14ac:dyDescent="0.25">
      <c r="A535" s="115">
        <v>399</v>
      </c>
      <c r="B535" s="89" t="s">
        <v>859</v>
      </c>
      <c r="C535" s="113"/>
      <c r="D535" s="85"/>
      <c r="E535" s="85">
        <f>'ECONOMIA &amp; PROFESIONES'!G54</f>
        <v>16.5</v>
      </c>
      <c r="F535" s="188">
        <f t="shared" si="256"/>
        <v>2.75</v>
      </c>
      <c r="G535" s="118"/>
      <c r="H535" s="85" t="e">
        <f t="shared" si="259"/>
        <v>#N/A</v>
      </c>
      <c r="I535" s="85" t="e">
        <f t="shared" si="260"/>
        <v>#N/A</v>
      </c>
      <c r="J535" s="85"/>
      <c r="K535" s="133" t="s">
        <v>926</v>
      </c>
      <c r="L535" s="85" t="str">
        <f t="shared" si="261"/>
        <v>ninguno</v>
      </c>
      <c r="M535" s="85">
        <f t="shared" si="262"/>
        <v>0</v>
      </c>
      <c r="N535" s="85"/>
      <c r="O535" s="133" t="s">
        <v>926</v>
      </c>
      <c r="P535" s="85" t="str">
        <f t="shared" si="263"/>
        <v>ninguno</v>
      </c>
      <c r="Q535" s="85">
        <f t="shared" si="264"/>
        <v>0</v>
      </c>
      <c r="R535" s="85"/>
      <c r="S535" s="133" t="s">
        <v>926</v>
      </c>
      <c r="T535" s="85" t="str">
        <f t="shared" si="265"/>
        <v>ninguno</v>
      </c>
      <c r="U535" s="85">
        <f t="shared" si="266"/>
        <v>0</v>
      </c>
      <c r="V535" s="85"/>
    </row>
    <row r="536" spans="1:22" s="108" customFormat="1" ht="14.25" customHeight="1" x14ac:dyDescent="0.25">
      <c r="A536" s="119">
        <v>400</v>
      </c>
      <c r="B536" s="68" t="s">
        <v>860</v>
      </c>
      <c r="C536" s="99">
        <v>1</v>
      </c>
      <c r="D536" s="67"/>
      <c r="E536" s="61">
        <f t="shared" ref="E536:E541" si="267">(((I536*J536)+(M536*N536)+(Q536*R536)+(U536*V536))/C536)*1.2</f>
        <v>1781.1599999999999</v>
      </c>
      <c r="F536" s="188">
        <f t="shared" si="256"/>
        <v>296.86</v>
      </c>
      <c r="G536" s="118">
        <v>353</v>
      </c>
      <c r="H536" s="59" t="str">
        <f t="shared" si="259"/>
        <v>Sugar</v>
      </c>
      <c r="I536" s="59">
        <f t="shared" si="260"/>
        <v>513.6</v>
      </c>
      <c r="J536" s="84">
        <v>1</v>
      </c>
      <c r="K536" s="132">
        <v>86</v>
      </c>
      <c r="L536" s="107" t="str">
        <f t="shared" si="261"/>
        <v>Pumpkin</v>
      </c>
      <c r="M536" s="107">
        <f t="shared" si="262"/>
        <v>942</v>
      </c>
      <c r="N536" s="84">
        <v>1</v>
      </c>
      <c r="O536" s="132">
        <v>344</v>
      </c>
      <c r="P536" s="59" t="str">
        <f t="shared" si="263"/>
        <v>Egg</v>
      </c>
      <c r="Q536" s="59">
        <f t="shared" si="264"/>
        <v>28.700000000000003</v>
      </c>
      <c r="R536" s="84">
        <v>1</v>
      </c>
      <c r="S536" s="132" t="s">
        <v>926</v>
      </c>
      <c r="T536" s="107" t="str">
        <f t="shared" si="265"/>
        <v>ninguno</v>
      </c>
      <c r="U536" s="107">
        <f t="shared" si="266"/>
        <v>0</v>
      </c>
      <c r="V536" s="84"/>
    </row>
    <row r="537" spans="1:22" s="108" customFormat="1" ht="14.25" customHeight="1" x14ac:dyDescent="0.25">
      <c r="A537" s="119">
        <v>401</v>
      </c>
      <c r="B537" s="68" t="s">
        <v>861</v>
      </c>
      <c r="C537" s="99">
        <v>1</v>
      </c>
      <c r="D537" s="67"/>
      <c r="E537" s="61">
        <f t="shared" si="267"/>
        <v>634.32000000000005</v>
      </c>
      <c r="F537" s="188">
        <f t="shared" si="256"/>
        <v>105.72</v>
      </c>
      <c r="G537" s="118">
        <v>289</v>
      </c>
      <c r="H537" s="59" t="str">
        <f t="shared" si="259"/>
        <v>Gunpowder</v>
      </c>
      <c r="I537" s="59">
        <f t="shared" si="260"/>
        <v>15</v>
      </c>
      <c r="J537" s="84">
        <v>1</v>
      </c>
      <c r="K537" s="132">
        <v>339</v>
      </c>
      <c r="L537" s="107" t="str">
        <f t="shared" si="261"/>
        <v>Paper</v>
      </c>
      <c r="M537" s="107">
        <f t="shared" si="262"/>
        <v>513.6</v>
      </c>
      <c r="N537" s="84">
        <v>1</v>
      </c>
      <c r="O537" s="132">
        <v>402</v>
      </c>
      <c r="P537" s="59" t="str">
        <f t="shared" si="263"/>
        <v>Firework Star</v>
      </c>
      <c r="Q537" s="59">
        <f t="shared" si="264"/>
        <v>0</v>
      </c>
      <c r="R537" s="84">
        <v>1</v>
      </c>
      <c r="S537" s="132" t="s">
        <v>926</v>
      </c>
      <c r="T537" s="107" t="str">
        <f t="shared" si="265"/>
        <v>ninguno</v>
      </c>
      <c r="U537" s="107">
        <f t="shared" si="266"/>
        <v>0</v>
      </c>
      <c r="V537" s="84"/>
    </row>
    <row r="538" spans="1:22" s="108" customFormat="1" ht="14.25" customHeight="1" x14ac:dyDescent="0.25">
      <c r="A538" s="119">
        <v>402</v>
      </c>
      <c r="B538" s="68" t="s">
        <v>862</v>
      </c>
      <c r="C538" s="99">
        <v>1</v>
      </c>
      <c r="D538" s="67"/>
      <c r="E538" s="61">
        <f t="shared" si="267"/>
        <v>0</v>
      </c>
      <c r="F538" s="188">
        <f t="shared" si="256"/>
        <v>0</v>
      </c>
      <c r="G538" s="118" t="s">
        <v>926</v>
      </c>
      <c r="H538" s="59" t="str">
        <f t="shared" si="259"/>
        <v>ninguno</v>
      </c>
      <c r="I538" s="59">
        <f t="shared" si="260"/>
        <v>0</v>
      </c>
      <c r="J538" s="84"/>
      <c r="K538" s="132" t="s">
        <v>926</v>
      </c>
      <c r="L538" s="107" t="str">
        <f t="shared" si="261"/>
        <v>ninguno</v>
      </c>
      <c r="M538" s="107">
        <f t="shared" si="262"/>
        <v>0</v>
      </c>
      <c r="N538" s="84"/>
      <c r="O538" s="132" t="s">
        <v>926</v>
      </c>
      <c r="P538" s="59" t="str">
        <f t="shared" si="263"/>
        <v>ninguno</v>
      </c>
      <c r="Q538" s="59">
        <f t="shared" si="264"/>
        <v>0</v>
      </c>
      <c r="R538" s="84"/>
      <c r="S538" s="132" t="s">
        <v>926</v>
      </c>
      <c r="T538" s="107" t="str">
        <f t="shared" si="265"/>
        <v>ninguno</v>
      </c>
      <c r="U538" s="107">
        <f t="shared" si="266"/>
        <v>0</v>
      </c>
      <c r="V538" s="84"/>
    </row>
    <row r="539" spans="1:22" s="108" customFormat="1" ht="14.25" customHeight="1" x14ac:dyDescent="0.25">
      <c r="A539" s="124">
        <v>403</v>
      </c>
      <c r="B539" s="70" t="s">
        <v>863</v>
      </c>
      <c r="C539" s="99">
        <v>1</v>
      </c>
      <c r="D539" s="67"/>
      <c r="E539" s="61">
        <f t="shared" si="267"/>
        <v>0</v>
      </c>
      <c r="F539" s="188">
        <f t="shared" si="256"/>
        <v>0</v>
      </c>
      <c r="G539" s="118" t="s">
        <v>926</v>
      </c>
      <c r="H539" s="59" t="str">
        <f t="shared" si="259"/>
        <v>ninguno</v>
      </c>
      <c r="I539" s="59">
        <f t="shared" si="260"/>
        <v>0</v>
      </c>
      <c r="J539" s="84"/>
      <c r="K539" s="132" t="s">
        <v>926</v>
      </c>
      <c r="L539" s="107" t="str">
        <f t="shared" si="261"/>
        <v>ninguno</v>
      </c>
      <c r="M539" s="107">
        <f t="shared" si="262"/>
        <v>0</v>
      </c>
      <c r="N539" s="84"/>
      <c r="O539" s="132" t="s">
        <v>926</v>
      </c>
      <c r="P539" s="59" t="str">
        <f t="shared" si="263"/>
        <v>ninguno</v>
      </c>
      <c r="Q539" s="59">
        <f t="shared" si="264"/>
        <v>0</v>
      </c>
      <c r="R539" s="84"/>
      <c r="S539" s="132" t="s">
        <v>926</v>
      </c>
      <c r="T539" s="107" t="str">
        <f t="shared" si="265"/>
        <v>ninguno</v>
      </c>
      <c r="U539" s="107">
        <f t="shared" si="266"/>
        <v>0</v>
      </c>
      <c r="V539" s="84"/>
    </row>
    <row r="540" spans="1:22" s="108" customFormat="1" ht="14.25" customHeight="1" x14ac:dyDescent="0.25">
      <c r="A540" s="119">
        <v>404</v>
      </c>
      <c r="B540" s="68" t="s">
        <v>864</v>
      </c>
      <c r="C540" s="99">
        <v>1</v>
      </c>
      <c r="D540" s="67"/>
      <c r="E540" s="61">
        <f t="shared" si="267"/>
        <v>102.11519999999999</v>
      </c>
      <c r="F540" s="188">
        <f t="shared" si="256"/>
        <v>17.020000000000003</v>
      </c>
      <c r="G540" s="118">
        <v>1</v>
      </c>
      <c r="H540" s="59" t="str">
        <f t="shared" si="259"/>
        <v>Stone</v>
      </c>
      <c r="I540" s="59">
        <f t="shared" si="260"/>
        <v>3.5999999999999996</v>
      </c>
      <c r="J540" s="84">
        <v>3</v>
      </c>
      <c r="K540" s="132">
        <v>406</v>
      </c>
      <c r="L540" s="107" t="str">
        <f t="shared" si="261"/>
        <v>Nether Quartz</v>
      </c>
      <c r="M540" s="107">
        <f t="shared" si="262"/>
        <v>19</v>
      </c>
      <c r="N540" s="84">
        <v>1</v>
      </c>
      <c r="O540" s="132">
        <v>76</v>
      </c>
      <c r="P540" s="59" t="str">
        <f t="shared" si="263"/>
        <v>Redstone Torch</v>
      </c>
      <c r="Q540" s="59">
        <f t="shared" si="264"/>
        <v>18.431999999999999</v>
      </c>
      <c r="R540" s="84">
        <v>3</v>
      </c>
      <c r="S540" s="132" t="s">
        <v>926</v>
      </c>
      <c r="T540" s="107" t="str">
        <f t="shared" si="265"/>
        <v>ninguno</v>
      </c>
      <c r="U540" s="107">
        <f t="shared" si="266"/>
        <v>0</v>
      </c>
      <c r="V540" s="84"/>
    </row>
    <row r="541" spans="1:22" s="108" customFormat="1" ht="14.25" customHeight="1" x14ac:dyDescent="0.25">
      <c r="A541" s="119">
        <v>405</v>
      </c>
      <c r="B541" s="68" t="s">
        <v>865</v>
      </c>
      <c r="C541" s="99">
        <v>1</v>
      </c>
      <c r="D541" s="67"/>
      <c r="E541" s="61">
        <f t="shared" si="267"/>
        <v>27.599999999999998</v>
      </c>
      <c r="F541" s="188">
        <f t="shared" si="256"/>
        <v>4.5999999999999996</v>
      </c>
      <c r="G541" s="118">
        <v>87</v>
      </c>
      <c r="H541" s="59" t="str">
        <f t="shared" si="259"/>
        <v>Netherrack</v>
      </c>
      <c r="I541" s="59">
        <f t="shared" si="260"/>
        <v>23</v>
      </c>
      <c r="J541" s="84">
        <v>1</v>
      </c>
      <c r="K541" s="132" t="s">
        <v>926</v>
      </c>
      <c r="L541" s="107" t="str">
        <f t="shared" si="261"/>
        <v>ninguno</v>
      </c>
      <c r="M541" s="107">
        <f t="shared" si="262"/>
        <v>0</v>
      </c>
      <c r="N541" s="84"/>
      <c r="O541" s="132" t="s">
        <v>926</v>
      </c>
      <c r="P541" s="59" t="str">
        <f t="shared" si="263"/>
        <v>ninguno</v>
      </c>
      <c r="Q541" s="59">
        <f t="shared" si="264"/>
        <v>0</v>
      </c>
      <c r="R541" s="84"/>
      <c r="S541" s="132" t="s">
        <v>926</v>
      </c>
      <c r="T541" s="107" t="str">
        <f t="shared" si="265"/>
        <v>ninguno</v>
      </c>
      <c r="U541" s="107">
        <f t="shared" si="266"/>
        <v>0</v>
      </c>
      <c r="V541" s="84"/>
    </row>
    <row r="542" spans="1:22" s="88" customFormat="1" ht="14.25" customHeight="1" x14ac:dyDescent="0.25">
      <c r="A542" s="115">
        <v>406</v>
      </c>
      <c r="B542" s="89" t="s">
        <v>866</v>
      </c>
      <c r="C542" s="100">
        <v>1</v>
      </c>
      <c r="D542" s="85"/>
      <c r="E542" s="85">
        <f>'ECONOMIA &amp; PROFESIONES'!E34</f>
        <v>19</v>
      </c>
      <c r="F542" s="188"/>
      <c r="G542" s="118"/>
      <c r="H542" s="85"/>
      <c r="I542" s="85"/>
      <c r="J542" s="87"/>
      <c r="K542" s="87"/>
      <c r="L542" s="85"/>
      <c r="M542" s="85"/>
      <c r="N542" s="87"/>
      <c r="O542" s="87"/>
      <c r="P542" s="85"/>
      <c r="Q542" s="85"/>
      <c r="R542" s="87"/>
      <c r="S542" s="87"/>
      <c r="T542" s="85"/>
      <c r="U542" s="85"/>
      <c r="V542" s="87"/>
    </row>
    <row r="543" spans="1:22" s="108" customFormat="1" ht="14.25" customHeight="1" x14ac:dyDescent="0.25">
      <c r="A543" s="119">
        <v>407</v>
      </c>
      <c r="B543" s="68" t="s">
        <v>867</v>
      </c>
      <c r="C543" s="99">
        <v>1</v>
      </c>
      <c r="D543" s="67"/>
      <c r="E543" s="61">
        <f>(((I543*J543)+(M543*N543)+(Q543*R543)+(U543*V543))/C543)*1.2</f>
        <v>5931.36</v>
      </c>
      <c r="F543" s="188">
        <f t="shared" si="256"/>
        <v>988.56</v>
      </c>
      <c r="G543" s="118">
        <v>328</v>
      </c>
      <c r="H543" s="59" t="str">
        <f>VLOOKUP(G543,LISTAITEMS,2,FALSE)</f>
        <v>Minecart</v>
      </c>
      <c r="I543" s="59">
        <f>VLOOKUP(G543,LISTAITEMS,5,FALSE)</f>
        <v>4800</v>
      </c>
      <c r="J543" s="84">
        <v>1</v>
      </c>
      <c r="K543" s="132">
        <v>46</v>
      </c>
      <c r="L543" s="107" t="str">
        <f>VLOOKUP(K543,LISTAITEMS,2,FALSE)</f>
        <v>TNT</v>
      </c>
      <c r="M543" s="107">
        <f>VLOOKUP(K543,LISTAITEMS,5,FALSE)</f>
        <v>142.79999999999998</v>
      </c>
      <c r="N543" s="84">
        <v>1</v>
      </c>
      <c r="O543" s="132" t="s">
        <v>926</v>
      </c>
      <c r="P543" s="59" t="str">
        <f>VLOOKUP(O543,LISTAITEMS,2,FALSE)</f>
        <v>ninguno</v>
      </c>
      <c r="Q543" s="59">
        <f>VLOOKUP(O543,LISTAITEMS,5,FALSE)</f>
        <v>0</v>
      </c>
      <c r="R543" s="84"/>
      <c r="S543" s="132" t="s">
        <v>926</v>
      </c>
      <c r="T543" s="107" t="str">
        <f>VLOOKUP(S543,LISTAITEMS,2,FALSE)</f>
        <v>ninguno</v>
      </c>
      <c r="U543" s="107">
        <f>VLOOKUP(S543,LISTAITEMS,5,FALSE)</f>
        <v>0</v>
      </c>
      <c r="V543" s="84"/>
    </row>
    <row r="544" spans="1:22" s="108" customFormat="1" ht="14.25" customHeight="1" x14ac:dyDescent="0.25">
      <c r="A544" s="119">
        <v>408</v>
      </c>
      <c r="B544" s="68" t="s">
        <v>868</v>
      </c>
      <c r="C544" s="99">
        <v>1</v>
      </c>
      <c r="D544" s="67"/>
      <c r="E544" s="61">
        <f>(((I544*J544)+(M544*N544)+(Q544*R544)+(U544*V544))/C544)*1.2</f>
        <v>11536.5888</v>
      </c>
      <c r="F544" s="188">
        <f t="shared" si="256"/>
        <v>1922.77</v>
      </c>
      <c r="G544" s="118">
        <v>328</v>
      </c>
      <c r="H544" s="59" t="str">
        <f>VLOOKUP(G544,LISTAITEMS,2,FALSE)</f>
        <v>Minecart</v>
      </c>
      <c r="I544" s="59">
        <f>VLOOKUP(G544,LISTAITEMS,5,FALSE)</f>
        <v>4800</v>
      </c>
      <c r="J544" s="84">
        <v>1</v>
      </c>
      <c r="K544" s="132">
        <v>154</v>
      </c>
      <c r="L544" s="107" t="str">
        <f>VLOOKUP(K544,LISTAITEMS,2,FALSE)</f>
        <v>Hopper</v>
      </c>
      <c r="M544" s="107">
        <f>VLOOKUP(K544,LISTAITEMS,5,FALSE)</f>
        <v>4813.8239999999996</v>
      </c>
      <c r="N544" s="84">
        <v>1</v>
      </c>
      <c r="O544" s="132" t="s">
        <v>926</v>
      </c>
      <c r="P544" s="59" t="str">
        <f>VLOOKUP(O544,LISTAITEMS,2,FALSE)</f>
        <v>ninguno</v>
      </c>
      <c r="Q544" s="59">
        <f>VLOOKUP(O544,LISTAITEMS,5,FALSE)</f>
        <v>0</v>
      </c>
      <c r="R544" s="84"/>
      <c r="S544" s="132" t="s">
        <v>926</v>
      </c>
      <c r="T544" s="107" t="str">
        <f>VLOOKUP(S544,LISTAITEMS,2,FALSE)</f>
        <v>ninguno</v>
      </c>
      <c r="U544" s="107">
        <f>VLOOKUP(S544,LISTAITEMS,5,FALSE)</f>
        <v>0</v>
      </c>
      <c r="V544" s="84"/>
    </row>
    <row r="545" spans="1:22" s="90" customFormat="1" ht="14.25" customHeight="1" x14ac:dyDescent="0.25">
      <c r="A545" s="129">
        <v>409</v>
      </c>
      <c r="B545" s="91" t="s">
        <v>869</v>
      </c>
      <c r="C545" s="100"/>
      <c r="D545" s="85"/>
      <c r="E545" s="85">
        <f>'ECONOMIA &amp; PROFESIONES'!E33</f>
        <v>19</v>
      </c>
      <c r="F545" s="188">
        <f t="shared" si="256"/>
        <v>3.17</v>
      </c>
      <c r="G545" s="118"/>
      <c r="H545" s="85"/>
      <c r="I545" s="85"/>
      <c r="J545" s="87"/>
      <c r="K545" s="134"/>
      <c r="L545" s="85"/>
      <c r="M545" s="85"/>
      <c r="N545" s="87"/>
      <c r="O545" s="134"/>
      <c r="P545" s="85"/>
      <c r="Q545" s="85"/>
      <c r="R545" s="87"/>
      <c r="S545" s="134"/>
      <c r="T545" s="85"/>
      <c r="U545" s="85"/>
      <c r="V545" s="87"/>
    </row>
    <row r="546" spans="1:22" s="114" customFormat="1" ht="14.25" customHeight="1" x14ac:dyDescent="0.25">
      <c r="A546" s="129">
        <v>410</v>
      </c>
      <c r="B546" s="91" t="s">
        <v>870</v>
      </c>
      <c r="C546" s="113"/>
      <c r="D546" s="85"/>
      <c r="E546" s="85">
        <f>'ECONOMIA &amp; PROFESIONES'!E33</f>
        <v>19</v>
      </c>
      <c r="F546" s="188">
        <f t="shared" si="256"/>
        <v>3.17</v>
      </c>
      <c r="G546" s="118"/>
      <c r="H546" s="85"/>
      <c r="I546" s="85"/>
      <c r="J546" s="85"/>
      <c r="K546" s="133"/>
      <c r="L546" s="85"/>
      <c r="M546" s="85"/>
      <c r="N546" s="85"/>
      <c r="O546" s="133"/>
      <c r="P546" s="85"/>
      <c r="Q546" s="85"/>
      <c r="R546" s="85"/>
      <c r="S546" s="133"/>
      <c r="T546" s="85"/>
      <c r="U546" s="85"/>
      <c r="V546" s="85"/>
    </row>
    <row r="547" spans="1:22" s="88" customFormat="1" ht="14.25" customHeight="1" x14ac:dyDescent="0.25">
      <c r="A547" s="129">
        <v>411</v>
      </c>
      <c r="B547" s="91" t="s">
        <v>871</v>
      </c>
      <c r="C547" s="100"/>
      <c r="D547" s="85"/>
      <c r="E547" s="85">
        <f>'ECONOMIA &amp; PROFESIONES'!K48</f>
        <v>385.5</v>
      </c>
      <c r="F547" s="188">
        <f t="shared" si="256"/>
        <v>64.25</v>
      </c>
      <c r="G547" s="118"/>
      <c r="H547" s="85"/>
      <c r="I547" s="85"/>
      <c r="J547" s="87"/>
      <c r="K547" s="87"/>
      <c r="L547" s="85"/>
      <c r="M547" s="85"/>
      <c r="N547" s="87"/>
      <c r="O547" s="87"/>
      <c r="P547" s="85"/>
      <c r="Q547" s="85"/>
      <c r="R547" s="87"/>
      <c r="S547" s="87"/>
      <c r="T547" s="85"/>
      <c r="U547" s="85"/>
      <c r="V547" s="87"/>
    </row>
    <row r="548" spans="1:22" s="108" customFormat="1" ht="14.25" customHeight="1" x14ac:dyDescent="0.25">
      <c r="A548" s="123">
        <v>412</v>
      </c>
      <c r="B548" s="71" t="s">
        <v>872</v>
      </c>
      <c r="C548" s="99">
        <v>1</v>
      </c>
      <c r="D548" s="67"/>
      <c r="E548" s="61">
        <f>(((I548*J548)+(M548*N548)+(Q548*R548)+(U548*V548))/C548)*1.2</f>
        <v>462.59999999999997</v>
      </c>
      <c r="F548" s="188">
        <f t="shared" si="256"/>
        <v>77.099999999999994</v>
      </c>
      <c r="G548" s="118">
        <v>411</v>
      </c>
      <c r="H548" s="59" t="str">
        <f t="shared" ref="H548:H558" si="268">VLOOKUP(G548,LISTAITEMS,2,FALSE)</f>
        <v>Raw Rabbit</v>
      </c>
      <c r="I548" s="59">
        <f t="shared" ref="I548:I558" si="269">VLOOKUP(G548,LISTAITEMS,5,FALSE)</f>
        <v>385.5</v>
      </c>
      <c r="J548" s="84">
        <v>1</v>
      </c>
      <c r="K548" s="132" t="s">
        <v>926</v>
      </c>
      <c r="L548" s="107" t="str">
        <f t="shared" ref="L548:L558" si="270">VLOOKUP(K548,LISTAITEMS,2,FALSE)</f>
        <v>ninguno</v>
      </c>
      <c r="M548" s="107">
        <f t="shared" ref="M548:M558" si="271">VLOOKUP(K548,LISTAITEMS,5,FALSE)</f>
        <v>0</v>
      </c>
      <c r="N548" s="84"/>
      <c r="O548" s="132" t="s">
        <v>926</v>
      </c>
      <c r="P548" s="59" t="str">
        <f t="shared" ref="P548:P558" si="272">VLOOKUP(O548,LISTAITEMS,2,FALSE)</f>
        <v>ninguno</v>
      </c>
      <c r="Q548" s="59">
        <f t="shared" ref="Q548:Q558" si="273">VLOOKUP(O548,LISTAITEMS,5,FALSE)</f>
        <v>0</v>
      </c>
      <c r="R548" s="84"/>
      <c r="S548" s="132" t="s">
        <v>926</v>
      </c>
      <c r="T548" s="107" t="str">
        <f t="shared" ref="T548:T558" si="274">VLOOKUP(S548,LISTAITEMS,2,FALSE)</f>
        <v>ninguno</v>
      </c>
      <c r="U548" s="107">
        <f t="shared" ref="U548:U558" si="275">VLOOKUP(S548,LISTAITEMS,5,FALSE)</f>
        <v>0</v>
      </c>
      <c r="V548" s="84"/>
    </row>
    <row r="549" spans="1:22" s="108" customFormat="1" ht="14.25" customHeight="1" x14ac:dyDescent="0.25">
      <c r="A549" s="123">
        <v>413</v>
      </c>
      <c r="B549" s="71" t="s">
        <v>873</v>
      </c>
      <c r="C549" s="99">
        <v>1</v>
      </c>
      <c r="D549" s="67"/>
      <c r="E549" s="61">
        <f>(((I549*J549)+(M549*N549)+(Q549*R549)+(U549*V549))/C549)*1.2</f>
        <v>2322.96</v>
      </c>
      <c r="F549" s="188">
        <f t="shared" si="256"/>
        <v>387.16</v>
      </c>
      <c r="G549" s="118">
        <v>412</v>
      </c>
      <c r="H549" s="59" t="str">
        <f t="shared" si="268"/>
        <v>Cooked Rabbit</v>
      </c>
      <c r="I549" s="59">
        <f t="shared" si="269"/>
        <v>462.59999999999997</v>
      </c>
      <c r="J549" s="84">
        <v>1</v>
      </c>
      <c r="K549" s="132">
        <v>393</v>
      </c>
      <c r="L549" s="107" t="str">
        <f t="shared" si="270"/>
        <v>Baked Potato</v>
      </c>
      <c r="M549" s="107">
        <f t="shared" si="271"/>
        <v>103.2</v>
      </c>
      <c r="N549" s="84">
        <v>1</v>
      </c>
      <c r="O549" s="132">
        <v>391</v>
      </c>
      <c r="P549" s="59" t="str">
        <f t="shared" si="272"/>
        <v>Carrot</v>
      </c>
      <c r="Q549" s="59">
        <f t="shared" si="273"/>
        <v>428</v>
      </c>
      <c r="R549" s="84">
        <v>1</v>
      </c>
      <c r="S549" s="132">
        <v>40</v>
      </c>
      <c r="T549" s="107" t="str">
        <f t="shared" si="274"/>
        <v>Red Mushroom</v>
      </c>
      <c r="U549" s="107">
        <f t="shared" si="275"/>
        <v>942</v>
      </c>
      <c r="V549" s="84">
        <v>1</v>
      </c>
    </row>
    <row r="550" spans="1:22" s="114" customFormat="1" ht="14.25" customHeight="1" x14ac:dyDescent="0.25">
      <c r="A550" s="129">
        <v>414</v>
      </c>
      <c r="B550" s="91" t="s">
        <v>874</v>
      </c>
      <c r="C550" s="113">
        <v>1</v>
      </c>
      <c r="D550" s="85"/>
      <c r="E550" s="85">
        <f>'ECONOMIA &amp; PROFESIONES'!K48</f>
        <v>385.5</v>
      </c>
      <c r="F550" s="188">
        <f t="shared" si="256"/>
        <v>64.25</v>
      </c>
      <c r="G550" s="136"/>
      <c r="H550" s="85"/>
      <c r="I550" s="85"/>
      <c r="J550" s="85"/>
      <c r="K550" s="133"/>
      <c r="L550" s="85"/>
      <c r="M550" s="85"/>
      <c r="N550" s="85"/>
      <c r="O550" s="133"/>
      <c r="P550" s="85"/>
      <c r="Q550" s="85"/>
      <c r="R550" s="85"/>
      <c r="S550" s="133"/>
      <c r="T550" s="85"/>
      <c r="U550" s="85"/>
      <c r="V550" s="85"/>
    </row>
    <row r="551" spans="1:22" s="114" customFormat="1" ht="14.25" customHeight="1" x14ac:dyDescent="0.25">
      <c r="A551" s="129">
        <v>415</v>
      </c>
      <c r="B551" s="91" t="s">
        <v>875</v>
      </c>
      <c r="C551" s="113">
        <v>1</v>
      </c>
      <c r="D551" s="85"/>
      <c r="E551" s="85">
        <f>'ECONOMIA &amp; PROFESIONES'!K48</f>
        <v>385.5</v>
      </c>
      <c r="F551" s="188">
        <f t="shared" si="256"/>
        <v>64.25</v>
      </c>
      <c r="G551" s="136"/>
      <c r="H551" s="85"/>
      <c r="I551" s="85"/>
      <c r="J551" s="85"/>
      <c r="K551" s="133"/>
      <c r="L551" s="85"/>
      <c r="M551" s="85"/>
      <c r="N551" s="85"/>
      <c r="O551" s="133"/>
      <c r="P551" s="85"/>
      <c r="Q551" s="85"/>
      <c r="R551" s="85"/>
      <c r="S551" s="133"/>
      <c r="T551" s="85"/>
      <c r="U551" s="85"/>
      <c r="V551" s="85"/>
    </row>
    <row r="552" spans="1:22" s="108" customFormat="1" ht="14.25" customHeight="1" x14ac:dyDescent="0.25">
      <c r="A552" s="123">
        <v>416</v>
      </c>
      <c r="B552" s="71" t="s">
        <v>876</v>
      </c>
      <c r="C552" s="99">
        <v>1</v>
      </c>
      <c r="D552" s="67"/>
      <c r="E552" s="61">
        <f t="shared" ref="E552:E558" si="276">(((I552*J552)+(M552*N552)+(Q552*R552)+(U552*V552))/C552)*1.2</f>
        <v>5.1840000000000002</v>
      </c>
      <c r="F552" s="188">
        <f t="shared" si="256"/>
        <v>0.87</v>
      </c>
      <c r="G552" s="118">
        <v>280</v>
      </c>
      <c r="H552" s="59" t="str">
        <f t="shared" si="268"/>
        <v>Stick</v>
      </c>
      <c r="I552" s="59">
        <f t="shared" si="269"/>
        <v>0.36</v>
      </c>
      <c r="J552" s="84">
        <v>6</v>
      </c>
      <c r="K552" s="132">
        <v>44</v>
      </c>
      <c r="L552" s="107" t="str">
        <f t="shared" si="270"/>
        <v>Stone Slab</v>
      </c>
      <c r="M552" s="107">
        <f t="shared" si="271"/>
        <v>2.1599999999999997</v>
      </c>
      <c r="N552" s="84">
        <v>1</v>
      </c>
      <c r="O552" s="132" t="s">
        <v>926</v>
      </c>
      <c r="P552" s="59" t="str">
        <f t="shared" si="272"/>
        <v>ninguno</v>
      </c>
      <c r="Q552" s="59">
        <f t="shared" si="273"/>
        <v>0</v>
      </c>
      <c r="R552" s="84"/>
      <c r="S552" s="132" t="s">
        <v>926</v>
      </c>
      <c r="T552" s="107" t="str">
        <f t="shared" si="274"/>
        <v>ninguno</v>
      </c>
      <c r="U552" s="107">
        <f t="shared" si="275"/>
        <v>0</v>
      </c>
      <c r="V552" s="84"/>
    </row>
    <row r="553" spans="1:22" s="114" customFormat="1" ht="14.25" customHeight="1" x14ac:dyDescent="0.25">
      <c r="A553" s="126">
        <v>417</v>
      </c>
      <c r="B553" s="117" t="s">
        <v>877</v>
      </c>
      <c r="C553" s="113">
        <v>1</v>
      </c>
      <c r="D553" s="85"/>
      <c r="E553" s="85">
        <f t="shared" si="276"/>
        <v>0</v>
      </c>
      <c r="F553" s="188">
        <f t="shared" si="256"/>
        <v>0</v>
      </c>
      <c r="G553" s="136" t="s">
        <v>926</v>
      </c>
      <c r="H553" s="85" t="str">
        <f t="shared" si="268"/>
        <v>ninguno</v>
      </c>
      <c r="I553" s="85">
        <f t="shared" si="269"/>
        <v>0</v>
      </c>
      <c r="J553" s="85"/>
      <c r="K553" s="133" t="s">
        <v>926</v>
      </c>
      <c r="L553" s="85" t="str">
        <f t="shared" si="270"/>
        <v>ninguno</v>
      </c>
      <c r="M553" s="85">
        <f t="shared" si="271"/>
        <v>0</v>
      </c>
      <c r="N553" s="85"/>
      <c r="O553" s="133" t="s">
        <v>926</v>
      </c>
      <c r="P553" s="85" t="str">
        <f t="shared" si="272"/>
        <v>ninguno</v>
      </c>
      <c r="Q553" s="85">
        <f t="shared" si="273"/>
        <v>0</v>
      </c>
      <c r="R553" s="85"/>
      <c r="S553" s="133" t="s">
        <v>926</v>
      </c>
      <c r="T553" s="85" t="str">
        <f t="shared" si="274"/>
        <v>ninguno</v>
      </c>
      <c r="U553" s="85">
        <f t="shared" si="275"/>
        <v>0</v>
      </c>
      <c r="V553" s="85"/>
    </row>
    <row r="554" spans="1:22" s="114" customFormat="1" ht="14.25" customHeight="1" x14ac:dyDescent="0.25">
      <c r="A554" s="126">
        <v>418</v>
      </c>
      <c r="B554" s="117" t="s">
        <v>878</v>
      </c>
      <c r="C554" s="113">
        <v>1</v>
      </c>
      <c r="D554" s="85"/>
      <c r="E554" s="85">
        <f t="shared" si="276"/>
        <v>0</v>
      </c>
      <c r="F554" s="188">
        <f t="shared" si="256"/>
        <v>0</v>
      </c>
      <c r="G554" s="136" t="s">
        <v>926</v>
      </c>
      <c r="H554" s="85" t="str">
        <f t="shared" si="268"/>
        <v>ninguno</v>
      </c>
      <c r="I554" s="85">
        <f t="shared" si="269"/>
        <v>0</v>
      </c>
      <c r="J554" s="85"/>
      <c r="K554" s="133" t="s">
        <v>926</v>
      </c>
      <c r="L554" s="85" t="str">
        <f t="shared" si="270"/>
        <v>ninguno</v>
      </c>
      <c r="M554" s="85">
        <f t="shared" si="271"/>
        <v>0</v>
      </c>
      <c r="N554" s="85"/>
      <c r="O554" s="133" t="s">
        <v>926</v>
      </c>
      <c r="P554" s="85" t="str">
        <f t="shared" si="272"/>
        <v>ninguno</v>
      </c>
      <c r="Q554" s="85">
        <f t="shared" si="273"/>
        <v>0</v>
      </c>
      <c r="R554" s="85"/>
      <c r="S554" s="133" t="s">
        <v>926</v>
      </c>
      <c r="T554" s="85" t="str">
        <f t="shared" si="274"/>
        <v>ninguno</v>
      </c>
      <c r="U554" s="85">
        <f t="shared" si="275"/>
        <v>0</v>
      </c>
      <c r="V554" s="85"/>
    </row>
    <row r="555" spans="1:22" s="114" customFormat="1" ht="14.25" customHeight="1" x14ac:dyDescent="0.25">
      <c r="A555" s="126">
        <v>419</v>
      </c>
      <c r="B555" s="117" t="s">
        <v>879</v>
      </c>
      <c r="C555" s="113">
        <v>1</v>
      </c>
      <c r="D555" s="85"/>
      <c r="E555" s="85">
        <f t="shared" si="276"/>
        <v>0</v>
      </c>
      <c r="F555" s="188">
        <f t="shared" si="256"/>
        <v>0</v>
      </c>
      <c r="G555" s="136" t="s">
        <v>926</v>
      </c>
      <c r="H555" s="85" t="str">
        <f t="shared" si="268"/>
        <v>ninguno</v>
      </c>
      <c r="I555" s="85">
        <f t="shared" si="269"/>
        <v>0</v>
      </c>
      <c r="J555" s="85"/>
      <c r="K555" s="133" t="s">
        <v>926</v>
      </c>
      <c r="L555" s="85" t="str">
        <f t="shared" si="270"/>
        <v>ninguno</v>
      </c>
      <c r="M555" s="85">
        <f t="shared" si="271"/>
        <v>0</v>
      </c>
      <c r="N555" s="85"/>
      <c r="O555" s="133" t="s">
        <v>926</v>
      </c>
      <c r="P555" s="85" t="str">
        <f t="shared" si="272"/>
        <v>ninguno</v>
      </c>
      <c r="Q555" s="85">
        <f t="shared" si="273"/>
        <v>0</v>
      </c>
      <c r="R555" s="85"/>
      <c r="S555" s="133" t="s">
        <v>926</v>
      </c>
      <c r="T555" s="85" t="str">
        <f t="shared" si="274"/>
        <v>ninguno</v>
      </c>
      <c r="U555" s="85">
        <f t="shared" si="275"/>
        <v>0</v>
      </c>
      <c r="V555" s="85"/>
    </row>
    <row r="556" spans="1:22" s="108" customFormat="1" ht="14.25" customHeight="1" x14ac:dyDescent="0.25">
      <c r="A556" s="119">
        <v>420</v>
      </c>
      <c r="B556" s="68" t="s">
        <v>880</v>
      </c>
      <c r="C556" s="99">
        <v>2</v>
      </c>
      <c r="D556" s="67"/>
      <c r="E556" s="61">
        <f t="shared" si="276"/>
        <v>20.7</v>
      </c>
      <c r="F556" s="188">
        <f t="shared" si="256"/>
        <v>3.45</v>
      </c>
      <c r="G556" s="118">
        <v>287</v>
      </c>
      <c r="H556" s="59" t="str">
        <f t="shared" si="268"/>
        <v>String</v>
      </c>
      <c r="I556" s="59">
        <f t="shared" si="269"/>
        <v>4.5</v>
      </c>
      <c r="J556" s="84">
        <v>3</v>
      </c>
      <c r="K556" s="132">
        <v>341</v>
      </c>
      <c r="L556" s="107" t="str">
        <f t="shared" si="270"/>
        <v>Slime Ball</v>
      </c>
      <c r="M556" s="107">
        <f t="shared" si="271"/>
        <v>21</v>
      </c>
      <c r="N556" s="84">
        <v>1</v>
      </c>
      <c r="O556" s="132" t="s">
        <v>926</v>
      </c>
      <c r="P556" s="59" t="str">
        <f t="shared" si="272"/>
        <v>ninguno</v>
      </c>
      <c r="Q556" s="59">
        <f t="shared" si="273"/>
        <v>0</v>
      </c>
      <c r="R556" s="84"/>
      <c r="S556" s="132" t="s">
        <v>926</v>
      </c>
      <c r="T556" s="107" t="str">
        <f t="shared" si="274"/>
        <v>ninguno</v>
      </c>
      <c r="U556" s="107">
        <f t="shared" si="275"/>
        <v>0</v>
      </c>
      <c r="V556" s="84"/>
    </row>
    <row r="557" spans="1:22" s="114" customFormat="1" ht="14.25" customHeight="1" x14ac:dyDescent="0.25">
      <c r="A557" s="126">
        <v>421</v>
      </c>
      <c r="B557" s="117" t="s">
        <v>881</v>
      </c>
      <c r="C557" s="113">
        <v>1</v>
      </c>
      <c r="D557" s="85"/>
      <c r="E557" s="85">
        <f t="shared" si="276"/>
        <v>0</v>
      </c>
      <c r="F557" s="188">
        <f t="shared" si="256"/>
        <v>0</v>
      </c>
      <c r="G557" s="136" t="s">
        <v>926</v>
      </c>
      <c r="H557" s="85" t="str">
        <f t="shared" si="268"/>
        <v>ninguno</v>
      </c>
      <c r="I557" s="85">
        <f t="shared" si="269"/>
        <v>0</v>
      </c>
      <c r="J557" s="85"/>
      <c r="K557" s="133" t="s">
        <v>926</v>
      </c>
      <c r="L557" s="85" t="str">
        <f t="shared" si="270"/>
        <v>ninguno</v>
      </c>
      <c r="M557" s="85">
        <f t="shared" si="271"/>
        <v>0</v>
      </c>
      <c r="N557" s="85"/>
      <c r="O557" s="133" t="s">
        <v>926</v>
      </c>
      <c r="P557" s="85" t="str">
        <f t="shared" si="272"/>
        <v>ninguno</v>
      </c>
      <c r="Q557" s="85">
        <f t="shared" si="273"/>
        <v>0</v>
      </c>
      <c r="R557" s="85"/>
      <c r="S557" s="133" t="s">
        <v>926</v>
      </c>
      <c r="T557" s="85" t="str">
        <f t="shared" si="274"/>
        <v>ninguno</v>
      </c>
      <c r="U557" s="85">
        <f t="shared" si="275"/>
        <v>0</v>
      </c>
      <c r="V557" s="85"/>
    </row>
    <row r="558" spans="1:22" s="108" customFormat="1" ht="14.25" customHeight="1" x14ac:dyDescent="0.25">
      <c r="A558" s="124">
        <v>422</v>
      </c>
      <c r="B558" s="70" t="s">
        <v>882</v>
      </c>
      <c r="C558" s="99">
        <v>1</v>
      </c>
      <c r="D558" s="67"/>
      <c r="E558" s="61">
        <f t="shared" si="276"/>
        <v>0</v>
      </c>
      <c r="F558" s="188">
        <f t="shared" si="256"/>
        <v>0</v>
      </c>
      <c r="G558" s="118" t="s">
        <v>926</v>
      </c>
      <c r="H558" s="59" t="str">
        <f t="shared" si="268"/>
        <v>ninguno</v>
      </c>
      <c r="I558" s="59">
        <f t="shared" si="269"/>
        <v>0</v>
      </c>
      <c r="J558" s="84"/>
      <c r="K558" s="132" t="s">
        <v>926</v>
      </c>
      <c r="L558" s="107" t="str">
        <f t="shared" si="270"/>
        <v>ninguno</v>
      </c>
      <c r="M558" s="107">
        <f t="shared" si="271"/>
        <v>0</v>
      </c>
      <c r="N558" s="84"/>
      <c r="O558" s="132" t="s">
        <v>926</v>
      </c>
      <c r="P558" s="59" t="str">
        <f t="shared" si="272"/>
        <v>ninguno</v>
      </c>
      <c r="Q558" s="59">
        <f t="shared" si="273"/>
        <v>0</v>
      </c>
      <c r="R558" s="84"/>
      <c r="S558" s="132" t="s">
        <v>926</v>
      </c>
      <c r="T558" s="107" t="str">
        <f t="shared" si="274"/>
        <v>ninguno</v>
      </c>
      <c r="U558" s="107">
        <f t="shared" si="275"/>
        <v>0</v>
      </c>
      <c r="V558" s="84"/>
    </row>
    <row r="559" spans="1:22" s="88" customFormat="1" ht="14.25" customHeight="1" x14ac:dyDescent="0.25">
      <c r="A559" s="129">
        <v>423</v>
      </c>
      <c r="B559" s="91" t="s">
        <v>883</v>
      </c>
      <c r="C559" s="100"/>
      <c r="D559" s="85"/>
      <c r="E559" s="85">
        <f>'ECONOMIA &amp; PROFESIONES'!K49</f>
        <v>471</v>
      </c>
      <c r="F559" s="188">
        <f t="shared" si="256"/>
        <v>78.5</v>
      </c>
      <c r="G559" s="118" t="s">
        <v>926</v>
      </c>
      <c r="H559" s="85"/>
      <c r="I559" s="85"/>
      <c r="J559" s="87"/>
      <c r="K559" s="87"/>
      <c r="L559" s="85"/>
      <c r="M559" s="85"/>
      <c r="N559" s="87"/>
      <c r="O559" s="87"/>
      <c r="P559" s="85"/>
      <c r="Q559" s="85"/>
      <c r="R559" s="87"/>
      <c r="S559" s="87"/>
      <c r="T559" s="85"/>
      <c r="U559" s="85"/>
      <c r="V559" s="87"/>
    </row>
    <row r="560" spans="1:22" s="108" customFormat="1" ht="14.25" customHeight="1" x14ac:dyDescent="0.25">
      <c r="A560" s="123">
        <v>424</v>
      </c>
      <c r="B560" s="72" t="s">
        <v>884</v>
      </c>
      <c r="C560" s="99">
        <v>1</v>
      </c>
      <c r="D560" s="67"/>
      <c r="E560" s="61">
        <f t="shared" ref="E560:E581" si="277">(((I560*J560)+(M560*N560)+(Q560*R560)+(U560*V560))/C560)*1.2</f>
        <v>565.19999999999993</v>
      </c>
      <c r="F560" s="188">
        <f t="shared" si="256"/>
        <v>94.2</v>
      </c>
      <c r="G560" s="118">
        <v>423</v>
      </c>
      <c r="H560" s="59" t="str">
        <f t="shared" ref="H560:H581" si="278">VLOOKUP(G560,LISTAITEMS,2,FALSE)</f>
        <v>Raw Mutton</v>
      </c>
      <c r="I560" s="59">
        <f t="shared" ref="I560:I581" si="279">VLOOKUP(G560,LISTAITEMS,5,FALSE)</f>
        <v>471</v>
      </c>
      <c r="J560" s="84">
        <v>1</v>
      </c>
      <c r="K560" s="132" t="s">
        <v>926</v>
      </c>
      <c r="L560" s="107" t="str">
        <f t="shared" ref="L560:L581" si="280">VLOOKUP(K560,LISTAITEMS,2,FALSE)</f>
        <v>ninguno</v>
      </c>
      <c r="M560" s="107">
        <f t="shared" ref="M560:M581" si="281">VLOOKUP(K560,LISTAITEMS,5,FALSE)</f>
        <v>0</v>
      </c>
      <c r="N560" s="84"/>
      <c r="O560" s="132" t="s">
        <v>926</v>
      </c>
      <c r="P560" s="59" t="str">
        <f t="shared" ref="P560:P581" si="282">VLOOKUP(O560,LISTAITEMS,2,FALSE)</f>
        <v>ninguno</v>
      </c>
      <c r="Q560" s="59">
        <f t="shared" ref="Q560:Q581" si="283">VLOOKUP(O560,LISTAITEMS,5,FALSE)</f>
        <v>0</v>
      </c>
      <c r="R560" s="84"/>
      <c r="S560" s="132" t="s">
        <v>926</v>
      </c>
      <c r="T560" s="107" t="str">
        <f t="shared" ref="T560:T581" si="284">VLOOKUP(S560,LISTAITEMS,2,FALSE)</f>
        <v>ninguno</v>
      </c>
      <c r="U560" s="107">
        <f t="shared" ref="U560:U581" si="285">VLOOKUP(S560,LISTAITEMS,5,FALSE)</f>
        <v>0</v>
      </c>
      <c r="V560" s="84"/>
    </row>
    <row r="561" spans="1:22" s="108" customFormat="1" ht="14.25" customHeight="1" x14ac:dyDescent="0.25">
      <c r="A561" s="123">
        <v>425</v>
      </c>
      <c r="B561" s="71" t="s">
        <v>885</v>
      </c>
      <c r="C561" s="99">
        <v>1</v>
      </c>
      <c r="D561" s="67"/>
      <c r="E561" s="61">
        <f t="shared" si="277"/>
        <v>65.231999999999999</v>
      </c>
      <c r="F561" s="188">
        <f t="shared" si="256"/>
        <v>10.879999999999999</v>
      </c>
      <c r="G561" s="118">
        <v>351</v>
      </c>
      <c r="H561" s="59" t="str">
        <f t="shared" si="278"/>
        <v>Ink Sack</v>
      </c>
      <c r="I561" s="59">
        <f t="shared" si="279"/>
        <v>9</v>
      </c>
      <c r="J561" s="84">
        <v>6</v>
      </c>
      <c r="K561" s="132">
        <v>280</v>
      </c>
      <c r="L561" s="107" t="str">
        <f t="shared" si="280"/>
        <v>Stick</v>
      </c>
      <c r="M561" s="107">
        <f t="shared" si="281"/>
        <v>0.36</v>
      </c>
      <c r="N561" s="84">
        <v>1</v>
      </c>
      <c r="O561" s="132" t="s">
        <v>926</v>
      </c>
      <c r="P561" s="59" t="str">
        <f t="shared" si="282"/>
        <v>ninguno</v>
      </c>
      <c r="Q561" s="59">
        <f t="shared" si="283"/>
        <v>0</v>
      </c>
      <c r="R561" s="84"/>
      <c r="S561" s="132" t="s">
        <v>926</v>
      </c>
      <c r="T561" s="107" t="str">
        <f t="shared" si="284"/>
        <v>ninguno</v>
      </c>
      <c r="U561" s="107">
        <f t="shared" si="285"/>
        <v>0</v>
      </c>
      <c r="V561" s="84"/>
    </row>
    <row r="562" spans="1:22" s="108" customFormat="1" ht="14.25" customHeight="1" x14ac:dyDescent="0.25">
      <c r="A562" s="123" t="s">
        <v>887</v>
      </c>
      <c r="B562" s="71" t="s">
        <v>886</v>
      </c>
      <c r="C562" s="99">
        <v>1</v>
      </c>
      <c r="D562" s="67"/>
      <c r="E562" s="61">
        <f t="shared" si="277"/>
        <v>65.231999999999999</v>
      </c>
      <c r="F562" s="188">
        <f t="shared" si="256"/>
        <v>10.879999999999999</v>
      </c>
      <c r="G562" s="118" t="s">
        <v>650</v>
      </c>
      <c r="H562" s="59" t="str">
        <f t="shared" si="278"/>
        <v>Rose Red Dye</v>
      </c>
      <c r="I562" s="59">
        <f t="shared" si="279"/>
        <v>9</v>
      </c>
      <c r="J562" s="84">
        <v>6</v>
      </c>
      <c r="K562" s="132">
        <v>280</v>
      </c>
      <c r="L562" s="107" t="str">
        <f t="shared" si="280"/>
        <v>Stick</v>
      </c>
      <c r="M562" s="107">
        <f t="shared" si="281"/>
        <v>0.36</v>
      </c>
      <c r="N562" s="84">
        <v>1</v>
      </c>
      <c r="O562" s="132" t="s">
        <v>926</v>
      </c>
      <c r="P562" s="59" t="str">
        <f t="shared" si="282"/>
        <v>ninguno</v>
      </c>
      <c r="Q562" s="59">
        <f t="shared" si="283"/>
        <v>0</v>
      </c>
      <c r="R562" s="84"/>
      <c r="S562" s="132" t="s">
        <v>926</v>
      </c>
      <c r="T562" s="107" t="str">
        <f t="shared" si="284"/>
        <v>ninguno</v>
      </c>
      <c r="U562" s="107">
        <f t="shared" si="285"/>
        <v>0</v>
      </c>
      <c r="V562" s="84"/>
    </row>
    <row r="563" spans="1:22" s="108" customFormat="1" ht="14.25" customHeight="1" x14ac:dyDescent="0.25">
      <c r="A563" s="123" t="s">
        <v>889</v>
      </c>
      <c r="B563" s="71" t="s">
        <v>888</v>
      </c>
      <c r="C563" s="99">
        <v>1</v>
      </c>
      <c r="D563" s="67"/>
      <c r="E563" s="61">
        <f t="shared" si="277"/>
        <v>65.231999999999999</v>
      </c>
      <c r="F563" s="188">
        <f t="shared" si="256"/>
        <v>10.879999999999999</v>
      </c>
      <c r="G563" s="118" t="s">
        <v>652</v>
      </c>
      <c r="H563" s="59" t="str">
        <f t="shared" si="278"/>
        <v>Cactus Green Dye</v>
      </c>
      <c r="I563" s="59">
        <f t="shared" si="279"/>
        <v>9</v>
      </c>
      <c r="J563" s="84">
        <v>6</v>
      </c>
      <c r="K563" s="132">
        <v>280</v>
      </c>
      <c r="L563" s="107" t="str">
        <f t="shared" si="280"/>
        <v>Stick</v>
      </c>
      <c r="M563" s="107">
        <f t="shared" si="281"/>
        <v>0.36</v>
      </c>
      <c r="N563" s="84">
        <v>1</v>
      </c>
      <c r="O563" s="132" t="s">
        <v>926</v>
      </c>
      <c r="P563" s="59" t="str">
        <f t="shared" si="282"/>
        <v>ninguno</v>
      </c>
      <c r="Q563" s="59">
        <f t="shared" si="283"/>
        <v>0</v>
      </c>
      <c r="R563" s="84"/>
      <c r="S563" s="132" t="s">
        <v>926</v>
      </c>
      <c r="T563" s="107" t="str">
        <f t="shared" si="284"/>
        <v>ninguno</v>
      </c>
      <c r="U563" s="107">
        <f t="shared" si="285"/>
        <v>0</v>
      </c>
      <c r="V563" s="84"/>
    </row>
    <row r="564" spans="1:22" s="108" customFormat="1" ht="14.25" customHeight="1" x14ac:dyDescent="0.25">
      <c r="A564" s="123" t="s">
        <v>891</v>
      </c>
      <c r="B564" s="71" t="s">
        <v>890</v>
      </c>
      <c r="C564" s="99">
        <v>1</v>
      </c>
      <c r="D564" s="67"/>
      <c r="E564" s="61">
        <f t="shared" si="277"/>
        <v>65.231999999999999</v>
      </c>
      <c r="F564" s="188">
        <f t="shared" si="256"/>
        <v>10.879999999999999</v>
      </c>
      <c r="G564" s="118" t="s">
        <v>654</v>
      </c>
      <c r="H564" s="59" t="str">
        <f t="shared" si="278"/>
        <v>Cocoa Bean</v>
      </c>
      <c r="I564" s="59">
        <f t="shared" si="279"/>
        <v>9</v>
      </c>
      <c r="J564" s="84">
        <v>6</v>
      </c>
      <c r="K564" s="132">
        <v>280</v>
      </c>
      <c r="L564" s="107" t="str">
        <f t="shared" si="280"/>
        <v>Stick</v>
      </c>
      <c r="M564" s="107">
        <f t="shared" si="281"/>
        <v>0.36</v>
      </c>
      <c r="N564" s="84">
        <v>1</v>
      </c>
      <c r="O564" s="132" t="s">
        <v>926</v>
      </c>
      <c r="P564" s="59" t="str">
        <f t="shared" si="282"/>
        <v>ninguno</v>
      </c>
      <c r="Q564" s="59">
        <f t="shared" si="283"/>
        <v>0</v>
      </c>
      <c r="R564" s="84"/>
      <c r="S564" s="132" t="s">
        <v>926</v>
      </c>
      <c r="T564" s="107" t="str">
        <f t="shared" si="284"/>
        <v>ninguno</v>
      </c>
      <c r="U564" s="107">
        <f t="shared" si="285"/>
        <v>0</v>
      </c>
      <c r="V564" s="84"/>
    </row>
    <row r="565" spans="1:22" s="108" customFormat="1" ht="14.25" customHeight="1" x14ac:dyDescent="0.25">
      <c r="A565" s="123" t="s">
        <v>893</v>
      </c>
      <c r="B565" s="71" t="s">
        <v>892</v>
      </c>
      <c r="C565" s="99">
        <v>1</v>
      </c>
      <c r="D565" s="67"/>
      <c r="E565" s="61">
        <f t="shared" si="277"/>
        <v>65.231999999999999</v>
      </c>
      <c r="F565" s="188">
        <f t="shared" si="256"/>
        <v>10.879999999999999</v>
      </c>
      <c r="G565" s="118" t="s">
        <v>656</v>
      </c>
      <c r="H565" s="59" t="str">
        <f t="shared" si="278"/>
        <v>Lapis Lazuli</v>
      </c>
      <c r="I565" s="59">
        <f t="shared" si="279"/>
        <v>9</v>
      </c>
      <c r="J565" s="84">
        <v>6</v>
      </c>
      <c r="K565" s="132">
        <v>280</v>
      </c>
      <c r="L565" s="107" t="str">
        <f t="shared" si="280"/>
        <v>Stick</v>
      </c>
      <c r="M565" s="107">
        <f t="shared" si="281"/>
        <v>0.36</v>
      </c>
      <c r="N565" s="84">
        <v>1</v>
      </c>
      <c r="O565" s="132" t="s">
        <v>926</v>
      </c>
      <c r="P565" s="59" t="str">
        <f t="shared" si="282"/>
        <v>ninguno</v>
      </c>
      <c r="Q565" s="59">
        <f t="shared" si="283"/>
        <v>0</v>
      </c>
      <c r="R565" s="84"/>
      <c r="S565" s="132" t="s">
        <v>926</v>
      </c>
      <c r="T565" s="107" t="str">
        <f t="shared" si="284"/>
        <v>ninguno</v>
      </c>
      <c r="U565" s="107">
        <f t="shared" si="285"/>
        <v>0</v>
      </c>
      <c r="V565" s="84"/>
    </row>
    <row r="566" spans="1:22" s="108" customFormat="1" ht="14.25" customHeight="1" x14ac:dyDescent="0.25">
      <c r="A566" s="123" t="s">
        <v>895</v>
      </c>
      <c r="B566" s="71" t="s">
        <v>894</v>
      </c>
      <c r="C566" s="99">
        <v>1</v>
      </c>
      <c r="D566" s="67"/>
      <c r="E566" s="61">
        <f t="shared" si="277"/>
        <v>155.952</v>
      </c>
      <c r="F566" s="188">
        <f t="shared" ref="F566:F587" si="286">ROUNDUP(E566/6,2)</f>
        <v>26</v>
      </c>
      <c r="G566" s="118" t="s">
        <v>658</v>
      </c>
      <c r="H566" s="59" t="str">
        <f t="shared" si="278"/>
        <v>Purple Dye</v>
      </c>
      <c r="I566" s="59">
        <f t="shared" si="279"/>
        <v>21.599999999999998</v>
      </c>
      <c r="J566" s="84">
        <v>6</v>
      </c>
      <c r="K566" s="132">
        <v>280</v>
      </c>
      <c r="L566" s="107" t="str">
        <f t="shared" si="280"/>
        <v>Stick</v>
      </c>
      <c r="M566" s="107">
        <f t="shared" si="281"/>
        <v>0.36</v>
      </c>
      <c r="N566" s="84">
        <v>1</v>
      </c>
      <c r="O566" s="132" t="s">
        <v>926</v>
      </c>
      <c r="P566" s="59" t="str">
        <f t="shared" si="282"/>
        <v>ninguno</v>
      </c>
      <c r="Q566" s="59">
        <f t="shared" si="283"/>
        <v>0</v>
      </c>
      <c r="R566" s="84"/>
      <c r="S566" s="132" t="s">
        <v>926</v>
      </c>
      <c r="T566" s="107" t="str">
        <f t="shared" si="284"/>
        <v>ninguno</v>
      </c>
      <c r="U566" s="107">
        <f t="shared" si="285"/>
        <v>0</v>
      </c>
      <c r="V566" s="84"/>
    </row>
    <row r="567" spans="1:22" s="108" customFormat="1" ht="14.25" customHeight="1" x14ac:dyDescent="0.25">
      <c r="A567" s="123" t="s">
        <v>897</v>
      </c>
      <c r="B567" s="71" t="s">
        <v>896</v>
      </c>
      <c r="C567" s="99">
        <v>1</v>
      </c>
      <c r="D567" s="67"/>
      <c r="E567" s="61">
        <f t="shared" si="277"/>
        <v>155.952</v>
      </c>
      <c r="F567" s="188">
        <f t="shared" si="286"/>
        <v>26</v>
      </c>
      <c r="G567" s="118" t="s">
        <v>660</v>
      </c>
      <c r="H567" s="59" t="str">
        <f t="shared" si="278"/>
        <v>Cyan Dye</v>
      </c>
      <c r="I567" s="59">
        <f t="shared" si="279"/>
        <v>21.599999999999998</v>
      </c>
      <c r="J567" s="84">
        <v>6</v>
      </c>
      <c r="K567" s="132">
        <v>280</v>
      </c>
      <c r="L567" s="107" t="str">
        <f t="shared" si="280"/>
        <v>Stick</v>
      </c>
      <c r="M567" s="107">
        <f t="shared" si="281"/>
        <v>0.36</v>
      </c>
      <c r="N567" s="84">
        <v>1</v>
      </c>
      <c r="O567" s="132" t="s">
        <v>926</v>
      </c>
      <c r="P567" s="59" t="str">
        <f t="shared" si="282"/>
        <v>ninguno</v>
      </c>
      <c r="Q567" s="59">
        <f t="shared" si="283"/>
        <v>0</v>
      </c>
      <c r="R567" s="84"/>
      <c r="S567" s="132" t="s">
        <v>926</v>
      </c>
      <c r="T567" s="107" t="str">
        <f t="shared" si="284"/>
        <v>ninguno</v>
      </c>
      <c r="U567" s="107">
        <f t="shared" si="285"/>
        <v>0</v>
      </c>
      <c r="V567" s="84"/>
    </row>
    <row r="568" spans="1:22" s="108" customFormat="1" ht="14.25" customHeight="1" x14ac:dyDescent="0.25">
      <c r="A568" s="123" t="s">
        <v>899</v>
      </c>
      <c r="B568" s="71" t="s">
        <v>898</v>
      </c>
      <c r="C568" s="99">
        <v>1</v>
      </c>
      <c r="D568" s="67"/>
      <c r="E568" s="61">
        <f t="shared" si="277"/>
        <v>264.81599999999997</v>
      </c>
      <c r="F568" s="188">
        <f t="shared" si="286"/>
        <v>44.14</v>
      </c>
      <c r="G568" s="118" t="s">
        <v>662</v>
      </c>
      <c r="H568" s="59" t="str">
        <f t="shared" si="278"/>
        <v>Light Gray Dye</v>
      </c>
      <c r="I568" s="59">
        <f t="shared" si="279"/>
        <v>36.72</v>
      </c>
      <c r="J568" s="84">
        <v>6</v>
      </c>
      <c r="K568" s="132">
        <v>280</v>
      </c>
      <c r="L568" s="107" t="str">
        <f t="shared" si="280"/>
        <v>Stick</v>
      </c>
      <c r="M568" s="107">
        <f t="shared" si="281"/>
        <v>0.36</v>
      </c>
      <c r="N568" s="84">
        <v>1</v>
      </c>
      <c r="O568" s="132" t="s">
        <v>926</v>
      </c>
      <c r="P568" s="59" t="str">
        <f t="shared" si="282"/>
        <v>ninguno</v>
      </c>
      <c r="Q568" s="59">
        <f t="shared" si="283"/>
        <v>0</v>
      </c>
      <c r="R568" s="84"/>
      <c r="S568" s="132" t="s">
        <v>926</v>
      </c>
      <c r="T568" s="107" t="str">
        <f t="shared" si="284"/>
        <v>ninguno</v>
      </c>
      <c r="U568" s="107">
        <f t="shared" si="285"/>
        <v>0</v>
      </c>
      <c r="V568" s="84"/>
    </row>
    <row r="569" spans="1:22" s="108" customFormat="1" ht="14.25" customHeight="1" x14ac:dyDescent="0.25">
      <c r="A569" s="123" t="s">
        <v>901</v>
      </c>
      <c r="B569" s="71" t="s">
        <v>900</v>
      </c>
      <c r="C569" s="99">
        <v>1</v>
      </c>
      <c r="D569" s="67"/>
      <c r="E569" s="61">
        <f t="shared" si="277"/>
        <v>155.952</v>
      </c>
      <c r="F569" s="188">
        <f t="shared" si="286"/>
        <v>26</v>
      </c>
      <c r="G569" s="118" t="s">
        <v>664</v>
      </c>
      <c r="H569" s="59" t="str">
        <f t="shared" si="278"/>
        <v>Gray Dye</v>
      </c>
      <c r="I569" s="59">
        <f t="shared" si="279"/>
        <v>21.599999999999998</v>
      </c>
      <c r="J569" s="84">
        <v>6</v>
      </c>
      <c r="K569" s="132">
        <v>280</v>
      </c>
      <c r="L569" s="107" t="str">
        <f t="shared" si="280"/>
        <v>Stick</v>
      </c>
      <c r="M569" s="107">
        <f t="shared" si="281"/>
        <v>0.36</v>
      </c>
      <c r="N569" s="84">
        <v>1</v>
      </c>
      <c r="O569" s="132" t="s">
        <v>926</v>
      </c>
      <c r="P569" s="59" t="str">
        <f t="shared" si="282"/>
        <v>ninguno</v>
      </c>
      <c r="Q569" s="59">
        <f t="shared" si="283"/>
        <v>0</v>
      </c>
      <c r="R569" s="84"/>
      <c r="S569" s="132" t="s">
        <v>926</v>
      </c>
      <c r="T569" s="107" t="str">
        <f t="shared" si="284"/>
        <v>ninguno</v>
      </c>
      <c r="U569" s="107">
        <f t="shared" si="285"/>
        <v>0</v>
      </c>
      <c r="V569" s="84"/>
    </row>
    <row r="570" spans="1:22" s="108" customFormat="1" ht="14.25" customHeight="1" x14ac:dyDescent="0.25">
      <c r="A570" s="123" t="s">
        <v>903</v>
      </c>
      <c r="B570" s="71" t="s">
        <v>902</v>
      </c>
      <c r="C570" s="99">
        <v>1</v>
      </c>
      <c r="D570" s="67"/>
      <c r="E570" s="61">
        <f t="shared" si="277"/>
        <v>155.952</v>
      </c>
      <c r="F570" s="188">
        <f t="shared" si="286"/>
        <v>26</v>
      </c>
      <c r="G570" s="118" t="s">
        <v>666</v>
      </c>
      <c r="H570" s="59" t="str">
        <f t="shared" si="278"/>
        <v>Pink Dye</v>
      </c>
      <c r="I570" s="59">
        <f t="shared" si="279"/>
        <v>21.599999999999998</v>
      </c>
      <c r="J570" s="84">
        <v>6</v>
      </c>
      <c r="K570" s="132">
        <v>280</v>
      </c>
      <c r="L570" s="107" t="str">
        <f t="shared" si="280"/>
        <v>Stick</v>
      </c>
      <c r="M570" s="107">
        <f t="shared" si="281"/>
        <v>0.36</v>
      </c>
      <c r="N570" s="84">
        <v>1</v>
      </c>
      <c r="O570" s="132" t="s">
        <v>926</v>
      </c>
      <c r="P570" s="59" t="str">
        <f t="shared" si="282"/>
        <v>ninguno</v>
      </c>
      <c r="Q570" s="59">
        <f t="shared" si="283"/>
        <v>0</v>
      </c>
      <c r="R570" s="84"/>
      <c r="S570" s="132" t="s">
        <v>926</v>
      </c>
      <c r="T570" s="107" t="str">
        <f t="shared" si="284"/>
        <v>ninguno</v>
      </c>
      <c r="U570" s="107">
        <f t="shared" si="285"/>
        <v>0</v>
      </c>
      <c r="V570" s="84"/>
    </row>
    <row r="571" spans="1:22" s="108" customFormat="1" ht="14.25" customHeight="1" x14ac:dyDescent="0.25">
      <c r="A571" s="123" t="s">
        <v>905</v>
      </c>
      <c r="B571" s="71" t="s">
        <v>904</v>
      </c>
      <c r="C571" s="99">
        <v>1</v>
      </c>
      <c r="D571" s="67"/>
      <c r="E571" s="61">
        <f t="shared" si="277"/>
        <v>233.71199999999999</v>
      </c>
      <c r="F571" s="188">
        <f t="shared" si="286"/>
        <v>38.96</v>
      </c>
      <c r="G571" s="118" t="s">
        <v>668</v>
      </c>
      <c r="H571" s="59" t="str">
        <f t="shared" si="278"/>
        <v>Lime Dye</v>
      </c>
      <c r="I571" s="59">
        <f t="shared" si="279"/>
        <v>32.4</v>
      </c>
      <c r="J571" s="84">
        <v>6</v>
      </c>
      <c r="K571" s="132">
        <v>280</v>
      </c>
      <c r="L571" s="107" t="str">
        <f t="shared" si="280"/>
        <v>Stick</v>
      </c>
      <c r="M571" s="107">
        <f t="shared" si="281"/>
        <v>0.36</v>
      </c>
      <c r="N571" s="84">
        <v>1</v>
      </c>
      <c r="O571" s="132" t="s">
        <v>926</v>
      </c>
      <c r="P571" s="59" t="str">
        <f t="shared" si="282"/>
        <v>ninguno</v>
      </c>
      <c r="Q571" s="59">
        <f t="shared" si="283"/>
        <v>0</v>
      </c>
      <c r="R571" s="84"/>
      <c r="S571" s="132" t="s">
        <v>926</v>
      </c>
      <c r="T571" s="107" t="str">
        <f t="shared" si="284"/>
        <v>ninguno</v>
      </c>
      <c r="U571" s="107">
        <f t="shared" si="285"/>
        <v>0</v>
      </c>
      <c r="V571" s="84"/>
    </row>
    <row r="572" spans="1:22" s="108" customFormat="1" ht="14.25" customHeight="1" x14ac:dyDescent="0.25">
      <c r="A572" s="123" t="s">
        <v>907</v>
      </c>
      <c r="B572" s="71" t="s">
        <v>906</v>
      </c>
      <c r="C572" s="99">
        <v>1</v>
      </c>
      <c r="D572" s="67"/>
      <c r="E572" s="61">
        <f t="shared" si="277"/>
        <v>65.231999999999999</v>
      </c>
      <c r="F572" s="188">
        <f t="shared" si="286"/>
        <v>10.879999999999999</v>
      </c>
      <c r="G572" s="118" t="s">
        <v>670</v>
      </c>
      <c r="H572" s="59" t="str">
        <f t="shared" si="278"/>
        <v>Yellow Dye</v>
      </c>
      <c r="I572" s="59">
        <f t="shared" si="279"/>
        <v>9</v>
      </c>
      <c r="J572" s="84">
        <v>6</v>
      </c>
      <c r="K572" s="132">
        <v>280</v>
      </c>
      <c r="L572" s="107" t="str">
        <f t="shared" si="280"/>
        <v>Stick</v>
      </c>
      <c r="M572" s="107">
        <f t="shared" si="281"/>
        <v>0.36</v>
      </c>
      <c r="N572" s="84">
        <v>1</v>
      </c>
      <c r="O572" s="132" t="s">
        <v>926</v>
      </c>
      <c r="P572" s="59" t="str">
        <f t="shared" si="282"/>
        <v>ninguno</v>
      </c>
      <c r="Q572" s="59">
        <f t="shared" si="283"/>
        <v>0</v>
      </c>
      <c r="R572" s="84"/>
      <c r="S572" s="132" t="s">
        <v>926</v>
      </c>
      <c r="T572" s="107" t="str">
        <f t="shared" si="284"/>
        <v>ninguno</v>
      </c>
      <c r="U572" s="107">
        <f t="shared" si="285"/>
        <v>0</v>
      </c>
      <c r="V572" s="84"/>
    </row>
    <row r="573" spans="1:22" s="108" customFormat="1" ht="14.25" customHeight="1" x14ac:dyDescent="0.25">
      <c r="A573" s="123" t="s">
        <v>909</v>
      </c>
      <c r="B573" s="71" t="s">
        <v>908</v>
      </c>
      <c r="C573" s="99">
        <v>1</v>
      </c>
      <c r="D573" s="67"/>
      <c r="E573" s="61">
        <f t="shared" si="277"/>
        <v>155.952</v>
      </c>
      <c r="F573" s="188">
        <f t="shared" si="286"/>
        <v>26</v>
      </c>
      <c r="G573" s="118" t="s">
        <v>672</v>
      </c>
      <c r="H573" s="59" t="str">
        <f t="shared" si="278"/>
        <v>Light Blue Dye</v>
      </c>
      <c r="I573" s="59">
        <f t="shared" si="279"/>
        <v>21.599999999999998</v>
      </c>
      <c r="J573" s="84">
        <v>6</v>
      </c>
      <c r="K573" s="132">
        <v>280</v>
      </c>
      <c r="L573" s="107" t="str">
        <f t="shared" si="280"/>
        <v>Stick</v>
      </c>
      <c r="M573" s="107">
        <f t="shared" si="281"/>
        <v>0.36</v>
      </c>
      <c r="N573" s="84">
        <v>1</v>
      </c>
      <c r="O573" s="132" t="s">
        <v>926</v>
      </c>
      <c r="P573" s="59" t="str">
        <f t="shared" si="282"/>
        <v>ninguno</v>
      </c>
      <c r="Q573" s="59">
        <f t="shared" si="283"/>
        <v>0</v>
      </c>
      <c r="R573" s="84"/>
      <c r="S573" s="132" t="s">
        <v>926</v>
      </c>
      <c r="T573" s="107" t="str">
        <f t="shared" si="284"/>
        <v>ninguno</v>
      </c>
      <c r="U573" s="107">
        <f t="shared" si="285"/>
        <v>0</v>
      </c>
      <c r="V573" s="84"/>
    </row>
    <row r="574" spans="1:22" s="108" customFormat="1" ht="14.25" customHeight="1" x14ac:dyDescent="0.25">
      <c r="A574" s="123" t="s">
        <v>911</v>
      </c>
      <c r="B574" s="71" t="s">
        <v>910</v>
      </c>
      <c r="C574" s="99">
        <v>1</v>
      </c>
      <c r="D574" s="67"/>
      <c r="E574" s="61">
        <f t="shared" si="277"/>
        <v>373.67999999999995</v>
      </c>
      <c r="F574" s="188">
        <f t="shared" si="286"/>
        <v>62.28</v>
      </c>
      <c r="G574" s="118" t="s">
        <v>674</v>
      </c>
      <c r="H574" s="59" t="str">
        <f t="shared" si="278"/>
        <v>Magenta Dye</v>
      </c>
      <c r="I574" s="59">
        <f t="shared" si="279"/>
        <v>51.839999999999996</v>
      </c>
      <c r="J574" s="84">
        <v>6</v>
      </c>
      <c r="K574" s="132">
        <v>280</v>
      </c>
      <c r="L574" s="107" t="str">
        <f t="shared" si="280"/>
        <v>Stick</v>
      </c>
      <c r="M574" s="107">
        <f t="shared" si="281"/>
        <v>0.36</v>
      </c>
      <c r="N574" s="84">
        <v>1</v>
      </c>
      <c r="O574" s="132" t="s">
        <v>926</v>
      </c>
      <c r="P574" s="59" t="str">
        <f t="shared" si="282"/>
        <v>ninguno</v>
      </c>
      <c r="Q574" s="59">
        <f t="shared" si="283"/>
        <v>0</v>
      </c>
      <c r="R574" s="84"/>
      <c r="S574" s="132" t="s">
        <v>926</v>
      </c>
      <c r="T574" s="107" t="str">
        <f t="shared" si="284"/>
        <v>ninguno</v>
      </c>
      <c r="U574" s="107">
        <f t="shared" si="285"/>
        <v>0</v>
      </c>
      <c r="V574" s="84"/>
    </row>
    <row r="575" spans="1:22" s="108" customFormat="1" ht="14.25" customHeight="1" x14ac:dyDescent="0.25">
      <c r="A575" s="123" t="s">
        <v>913</v>
      </c>
      <c r="B575" s="71" t="s">
        <v>912</v>
      </c>
      <c r="C575" s="99">
        <v>1</v>
      </c>
      <c r="D575" s="67"/>
      <c r="E575" s="61">
        <f t="shared" si="277"/>
        <v>155.952</v>
      </c>
      <c r="F575" s="188">
        <f t="shared" si="286"/>
        <v>26</v>
      </c>
      <c r="G575" s="118" t="s">
        <v>676</v>
      </c>
      <c r="H575" s="59" t="str">
        <f t="shared" si="278"/>
        <v>Orange Dye</v>
      </c>
      <c r="I575" s="59">
        <f t="shared" si="279"/>
        <v>21.599999999999998</v>
      </c>
      <c r="J575" s="84">
        <v>6</v>
      </c>
      <c r="K575" s="132">
        <v>280</v>
      </c>
      <c r="L575" s="107" t="str">
        <f t="shared" si="280"/>
        <v>Stick</v>
      </c>
      <c r="M575" s="107">
        <f t="shared" si="281"/>
        <v>0.36</v>
      </c>
      <c r="N575" s="84">
        <v>1</v>
      </c>
      <c r="O575" s="132" t="s">
        <v>926</v>
      </c>
      <c r="P575" s="59" t="str">
        <f t="shared" si="282"/>
        <v>ninguno</v>
      </c>
      <c r="Q575" s="59">
        <f t="shared" si="283"/>
        <v>0</v>
      </c>
      <c r="R575" s="84"/>
      <c r="S575" s="132" t="s">
        <v>926</v>
      </c>
      <c r="T575" s="107" t="str">
        <f t="shared" si="284"/>
        <v>ninguno</v>
      </c>
      <c r="U575" s="107">
        <f t="shared" si="285"/>
        <v>0</v>
      </c>
      <c r="V575" s="84"/>
    </row>
    <row r="576" spans="1:22" s="108" customFormat="1" ht="14.25" customHeight="1" x14ac:dyDescent="0.25">
      <c r="A576" s="123" t="s">
        <v>915</v>
      </c>
      <c r="B576" s="71" t="s">
        <v>914</v>
      </c>
      <c r="C576" s="99">
        <v>1</v>
      </c>
      <c r="D576" s="67"/>
      <c r="E576" s="61">
        <f t="shared" si="277"/>
        <v>65.231999999999999</v>
      </c>
      <c r="F576" s="188">
        <f t="shared" si="286"/>
        <v>10.879999999999999</v>
      </c>
      <c r="G576" s="118" t="s">
        <v>678</v>
      </c>
      <c r="H576" s="59" t="str">
        <f t="shared" si="278"/>
        <v>Bone Meal</v>
      </c>
      <c r="I576" s="59">
        <f t="shared" si="279"/>
        <v>9</v>
      </c>
      <c r="J576" s="84">
        <v>6</v>
      </c>
      <c r="K576" s="132">
        <v>280</v>
      </c>
      <c r="L576" s="107" t="str">
        <f t="shared" si="280"/>
        <v>Stick</v>
      </c>
      <c r="M576" s="107">
        <f t="shared" si="281"/>
        <v>0.36</v>
      </c>
      <c r="N576" s="84">
        <v>1</v>
      </c>
      <c r="O576" s="132" t="s">
        <v>926</v>
      </c>
      <c r="P576" s="59" t="str">
        <f t="shared" si="282"/>
        <v>ninguno</v>
      </c>
      <c r="Q576" s="59">
        <f t="shared" si="283"/>
        <v>0</v>
      </c>
      <c r="R576" s="84"/>
      <c r="S576" s="132" t="s">
        <v>926</v>
      </c>
      <c r="T576" s="107" t="str">
        <f t="shared" si="284"/>
        <v>ninguno</v>
      </c>
      <c r="U576" s="107">
        <f t="shared" si="285"/>
        <v>0</v>
      </c>
      <c r="V576" s="84"/>
    </row>
    <row r="577" spans="1:22" s="108" customFormat="1" ht="14.25" customHeight="1" x14ac:dyDescent="0.25">
      <c r="A577" s="123">
        <v>427</v>
      </c>
      <c r="B577" s="72" t="s">
        <v>916</v>
      </c>
      <c r="C577" s="99">
        <v>3</v>
      </c>
      <c r="D577" s="67"/>
      <c r="E577" s="61">
        <f t="shared" si="277"/>
        <v>7.9199999999999982</v>
      </c>
      <c r="F577" s="188">
        <f t="shared" si="286"/>
        <v>1.32</v>
      </c>
      <c r="G577" s="118" t="s">
        <v>232</v>
      </c>
      <c r="H577" s="59" t="str">
        <f t="shared" si="278"/>
        <v>Spruce Planks</v>
      </c>
      <c r="I577" s="59">
        <f t="shared" si="279"/>
        <v>3.3</v>
      </c>
      <c r="J577" s="84">
        <v>6</v>
      </c>
      <c r="K577" s="132" t="s">
        <v>926</v>
      </c>
      <c r="L577" s="107" t="str">
        <f t="shared" si="280"/>
        <v>ninguno</v>
      </c>
      <c r="M577" s="107">
        <f t="shared" si="281"/>
        <v>0</v>
      </c>
      <c r="N577" s="84"/>
      <c r="O577" s="132" t="s">
        <v>926</v>
      </c>
      <c r="P577" s="59" t="str">
        <f t="shared" si="282"/>
        <v>ninguno</v>
      </c>
      <c r="Q577" s="59">
        <f t="shared" si="283"/>
        <v>0</v>
      </c>
      <c r="R577" s="84"/>
      <c r="S577" s="132" t="s">
        <v>926</v>
      </c>
      <c r="T577" s="107" t="str">
        <f t="shared" si="284"/>
        <v>ninguno</v>
      </c>
      <c r="U577" s="107">
        <f t="shared" si="285"/>
        <v>0</v>
      </c>
      <c r="V577" s="84"/>
    </row>
    <row r="578" spans="1:22" s="108" customFormat="1" ht="14.25" customHeight="1" x14ac:dyDescent="0.25">
      <c r="A578" s="123">
        <v>428</v>
      </c>
      <c r="B578" s="72" t="s">
        <v>917</v>
      </c>
      <c r="C578" s="99">
        <v>3</v>
      </c>
      <c r="D578" s="67"/>
      <c r="E578" s="61">
        <f t="shared" si="277"/>
        <v>12.239999999999998</v>
      </c>
      <c r="F578" s="188">
        <f t="shared" si="286"/>
        <v>2.04</v>
      </c>
      <c r="G578" s="118" t="s">
        <v>234</v>
      </c>
      <c r="H578" s="59" t="str">
        <f t="shared" si="278"/>
        <v>Birch Planks</v>
      </c>
      <c r="I578" s="59">
        <f t="shared" si="279"/>
        <v>5.0999999999999996</v>
      </c>
      <c r="J578" s="84">
        <v>6</v>
      </c>
      <c r="K578" s="132" t="s">
        <v>926</v>
      </c>
      <c r="L578" s="107" t="str">
        <f t="shared" si="280"/>
        <v>ninguno</v>
      </c>
      <c r="M578" s="107">
        <f t="shared" si="281"/>
        <v>0</v>
      </c>
      <c r="N578" s="84"/>
      <c r="O578" s="132" t="s">
        <v>926</v>
      </c>
      <c r="P578" s="59" t="str">
        <f t="shared" si="282"/>
        <v>ninguno</v>
      </c>
      <c r="Q578" s="59">
        <f t="shared" si="283"/>
        <v>0</v>
      </c>
      <c r="R578" s="84"/>
      <c r="S578" s="132" t="s">
        <v>926</v>
      </c>
      <c r="T578" s="107" t="str">
        <f t="shared" si="284"/>
        <v>ninguno</v>
      </c>
      <c r="U578" s="107">
        <f t="shared" si="285"/>
        <v>0</v>
      </c>
      <c r="V578" s="84"/>
    </row>
    <row r="579" spans="1:22" s="108" customFormat="1" ht="14.25" customHeight="1" x14ac:dyDescent="0.25">
      <c r="A579" s="123">
        <v>429</v>
      </c>
      <c r="B579" s="72" t="s">
        <v>918</v>
      </c>
      <c r="C579" s="99">
        <v>3</v>
      </c>
      <c r="D579" s="67"/>
      <c r="E579" s="61">
        <f t="shared" si="277"/>
        <v>17.279999999999998</v>
      </c>
      <c r="F579" s="188">
        <f t="shared" si="286"/>
        <v>2.88</v>
      </c>
      <c r="G579" s="118" t="s">
        <v>236</v>
      </c>
      <c r="H579" s="59" t="str">
        <f t="shared" si="278"/>
        <v>Jungle Planks</v>
      </c>
      <c r="I579" s="59">
        <f t="shared" si="279"/>
        <v>7.1999999999999993</v>
      </c>
      <c r="J579" s="84">
        <v>6</v>
      </c>
      <c r="K579" s="132" t="s">
        <v>926</v>
      </c>
      <c r="L579" s="107" t="str">
        <f t="shared" si="280"/>
        <v>ninguno</v>
      </c>
      <c r="M579" s="107">
        <f t="shared" si="281"/>
        <v>0</v>
      </c>
      <c r="N579" s="84"/>
      <c r="O579" s="132" t="s">
        <v>926</v>
      </c>
      <c r="P579" s="59" t="str">
        <f t="shared" si="282"/>
        <v>ninguno</v>
      </c>
      <c r="Q579" s="59">
        <f t="shared" si="283"/>
        <v>0</v>
      </c>
      <c r="R579" s="84"/>
      <c r="S579" s="132" t="s">
        <v>926</v>
      </c>
      <c r="T579" s="107" t="str">
        <f t="shared" si="284"/>
        <v>ninguno</v>
      </c>
      <c r="U579" s="107">
        <f t="shared" si="285"/>
        <v>0</v>
      </c>
      <c r="V579" s="84"/>
    </row>
    <row r="580" spans="1:22" s="108" customFormat="1" ht="14.25" customHeight="1" x14ac:dyDescent="0.25">
      <c r="A580" s="123">
        <v>430</v>
      </c>
      <c r="B580" s="72" t="s">
        <v>919</v>
      </c>
      <c r="C580" s="99">
        <v>3</v>
      </c>
      <c r="D580" s="67"/>
      <c r="E580" s="61">
        <f t="shared" si="277"/>
        <v>22.319999999999997</v>
      </c>
      <c r="F580" s="188">
        <f t="shared" si="286"/>
        <v>3.72</v>
      </c>
      <c r="G580" s="118" t="s">
        <v>238</v>
      </c>
      <c r="H580" s="59" t="str">
        <f t="shared" si="278"/>
        <v>Acacia Planks</v>
      </c>
      <c r="I580" s="59">
        <f t="shared" si="279"/>
        <v>9.2999999999999989</v>
      </c>
      <c r="J580" s="84">
        <v>6</v>
      </c>
      <c r="K580" s="132" t="s">
        <v>926</v>
      </c>
      <c r="L580" s="107" t="str">
        <f t="shared" si="280"/>
        <v>ninguno</v>
      </c>
      <c r="M580" s="107">
        <f t="shared" si="281"/>
        <v>0</v>
      </c>
      <c r="N580" s="84"/>
      <c r="O580" s="132" t="s">
        <v>926</v>
      </c>
      <c r="P580" s="59" t="str">
        <f t="shared" si="282"/>
        <v>ninguno</v>
      </c>
      <c r="Q580" s="59">
        <f t="shared" si="283"/>
        <v>0</v>
      </c>
      <c r="R580" s="84"/>
      <c r="S580" s="132" t="s">
        <v>926</v>
      </c>
      <c r="T580" s="107" t="str">
        <f t="shared" si="284"/>
        <v>ninguno</v>
      </c>
      <c r="U580" s="107">
        <f t="shared" si="285"/>
        <v>0</v>
      </c>
      <c r="V580" s="84"/>
    </row>
    <row r="581" spans="1:22" s="108" customFormat="1" ht="14.25" customHeight="1" x14ac:dyDescent="0.25">
      <c r="A581" s="123">
        <v>431</v>
      </c>
      <c r="B581" s="72" t="s">
        <v>920</v>
      </c>
      <c r="C581" s="99">
        <v>3</v>
      </c>
      <c r="D581" s="67"/>
      <c r="E581" s="61">
        <f t="shared" si="277"/>
        <v>26.639999999999997</v>
      </c>
      <c r="F581" s="188">
        <f t="shared" si="286"/>
        <v>4.4400000000000004</v>
      </c>
      <c r="G581" s="118" t="s">
        <v>240</v>
      </c>
      <c r="H581" s="59" t="str">
        <f t="shared" si="278"/>
        <v>Dark Oak Planks</v>
      </c>
      <c r="I581" s="59">
        <f t="shared" si="279"/>
        <v>11.1</v>
      </c>
      <c r="J581" s="84">
        <v>6</v>
      </c>
      <c r="K581" s="132" t="s">
        <v>926</v>
      </c>
      <c r="L581" s="107" t="str">
        <f t="shared" si="280"/>
        <v>ninguno</v>
      </c>
      <c r="M581" s="107">
        <f t="shared" si="281"/>
        <v>0</v>
      </c>
      <c r="N581" s="84"/>
      <c r="O581" s="132" t="s">
        <v>926</v>
      </c>
      <c r="P581" s="59" t="str">
        <f t="shared" si="282"/>
        <v>ninguno</v>
      </c>
      <c r="Q581" s="59">
        <f t="shared" si="283"/>
        <v>0</v>
      </c>
      <c r="R581" s="84"/>
      <c r="S581" s="132" t="s">
        <v>926</v>
      </c>
      <c r="T581" s="107" t="str">
        <f t="shared" si="284"/>
        <v>ninguno</v>
      </c>
      <c r="U581" s="107">
        <f t="shared" si="285"/>
        <v>0</v>
      </c>
      <c r="V581" s="84"/>
    </row>
    <row r="582" spans="1:22" s="114" customFormat="1" ht="14.25" customHeight="1" x14ac:dyDescent="0.25">
      <c r="A582" s="130">
        <v>432</v>
      </c>
      <c r="B582" s="116" t="s">
        <v>966</v>
      </c>
      <c r="C582" s="139"/>
      <c r="D582" s="92"/>
      <c r="E582" s="85">
        <f>'ECONOMIA &amp; PROFESIONES'!I35</f>
        <v>942</v>
      </c>
      <c r="F582" s="188">
        <f t="shared" si="286"/>
        <v>157</v>
      </c>
      <c r="G582" s="136"/>
      <c r="H582" s="85"/>
      <c r="I582" s="85"/>
      <c r="J582" s="85"/>
      <c r="K582" s="133"/>
      <c r="L582" s="85"/>
      <c r="M582" s="85"/>
      <c r="N582" s="85"/>
      <c r="O582" s="133"/>
      <c r="P582" s="85"/>
      <c r="Q582" s="85"/>
      <c r="R582" s="85"/>
      <c r="S582" s="133"/>
      <c r="T582" s="85"/>
      <c r="U582" s="85"/>
      <c r="V582" s="85"/>
    </row>
    <row r="583" spans="1:22" s="147" customFormat="1" ht="14.25" customHeight="1" x14ac:dyDescent="0.25">
      <c r="A583" s="155">
        <v>433</v>
      </c>
      <c r="B583" s="156" t="s">
        <v>978</v>
      </c>
      <c r="C583" s="179">
        <v>1</v>
      </c>
      <c r="D583" s="180"/>
      <c r="E583" s="61">
        <f>(((I583*J583)+(M583*N583)+(Q583*R583)+(U583*V583))/C583)*1.2</f>
        <v>1130.3999999999999</v>
      </c>
      <c r="F583" s="188">
        <f t="shared" si="286"/>
        <v>188.4</v>
      </c>
      <c r="G583" s="118">
        <v>432</v>
      </c>
      <c r="H583" s="59" t="str">
        <f t="shared" ref="H583" si="287">VLOOKUP(G583,LISTAITEMS,2,FALSE)</f>
        <v>Chorus Fruit</v>
      </c>
      <c r="I583" s="59">
        <f t="shared" ref="I583" si="288">VLOOKUP(G583,LISTAITEMS,5,FALSE)</f>
        <v>942</v>
      </c>
      <c r="J583" s="84">
        <v>1</v>
      </c>
      <c r="K583" s="132" t="s">
        <v>926</v>
      </c>
      <c r="L583" s="164" t="str">
        <f t="shared" ref="L583" si="289">VLOOKUP(K583,LISTAITEMS,2,FALSE)</f>
        <v>ninguno</v>
      </c>
      <c r="M583" s="164">
        <f t="shared" ref="M583" si="290">VLOOKUP(K583,LISTAITEMS,5,FALSE)</f>
        <v>0</v>
      </c>
      <c r="N583" s="84"/>
      <c r="O583" s="132" t="s">
        <v>926</v>
      </c>
      <c r="P583" s="59" t="str">
        <f t="shared" ref="P583" si="291">VLOOKUP(O583,LISTAITEMS,2,FALSE)</f>
        <v>ninguno</v>
      </c>
      <c r="Q583" s="59">
        <f t="shared" ref="Q583" si="292">VLOOKUP(O583,LISTAITEMS,5,FALSE)</f>
        <v>0</v>
      </c>
      <c r="R583" s="84"/>
      <c r="S583" s="132" t="s">
        <v>926</v>
      </c>
      <c r="T583" s="164" t="str">
        <f t="shared" ref="T583" si="293">VLOOKUP(S583,LISTAITEMS,2,FALSE)</f>
        <v>ninguno</v>
      </c>
      <c r="U583" s="164">
        <f t="shared" ref="U583" si="294">VLOOKUP(S583,LISTAITEMS,5,FALSE)</f>
        <v>0</v>
      </c>
      <c r="V583" s="84"/>
    </row>
    <row r="584" spans="1:22" s="130" customFormat="1" ht="14.25" customHeight="1" x14ac:dyDescent="0.25">
      <c r="A584" s="130">
        <v>434</v>
      </c>
      <c r="B584" s="130" t="s">
        <v>142</v>
      </c>
      <c r="E584" s="144">
        <f>'ECONOMIA &amp; PROFESIONES'!$I$32</f>
        <v>771</v>
      </c>
      <c r="F584" s="188">
        <f t="shared" si="286"/>
        <v>128.5</v>
      </c>
    </row>
    <row r="585" spans="1:22" s="190" customFormat="1" ht="14.25" customHeight="1" x14ac:dyDescent="0.25">
      <c r="A585" s="123">
        <v>436</v>
      </c>
      <c r="B585" s="72" t="s">
        <v>1023</v>
      </c>
      <c r="C585" s="99">
        <v>1</v>
      </c>
      <c r="D585" s="67"/>
      <c r="E585" s="61">
        <f>(((I585*J585)+(M585*N585)+(Q585*R585)+(U585*V585))/C585)*1.2</f>
        <v>5552.4960000000001</v>
      </c>
      <c r="F585" s="188">
        <f t="shared" ref="F585" si="295">ROUNDUP(E585/6,2)</f>
        <v>925.42</v>
      </c>
      <c r="G585" s="118">
        <v>434</v>
      </c>
      <c r="H585" s="59" t="str">
        <f t="shared" ref="H585" si="296">VLOOKUP(G585,LISTAITEMS,2,FALSE)</f>
        <v>Beetroot</v>
      </c>
      <c r="I585" s="59">
        <f t="shared" ref="I585" si="297">VLOOKUP(G585,LISTAITEMS,5,FALSE)</f>
        <v>771</v>
      </c>
      <c r="J585" s="84">
        <v>6</v>
      </c>
      <c r="K585" s="132">
        <v>281</v>
      </c>
      <c r="L585" s="189" t="str">
        <f t="shared" ref="L585" si="298">VLOOKUP(K585,LISTAITEMS,2,FALSE)</f>
        <v>Bowl</v>
      </c>
      <c r="M585" s="189">
        <f t="shared" ref="M585" si="299">VLOOKUP(K585,LISTAITEMS,5,FALSE)</f>
        <v>1.0799999999999998</v>
      </c>
      <c r="N585" s="84">
        <v>1</v>
      </c>
      <c r="O585" s="132" t="s">
        <v>926</v>
      </c>
      <c r="P585" s="59" t="str">
        <f t="shared" ref="P585" si="300">VLOOKUP(O585,LISTAITEMS,2,FALSE)</f>
        <v>ninguno</v>
      </c>
      <c r="Q585" s="59">
        <f t="shared" ref="Q585" si="301">VLOOKUP(O585,LISTAITEMS,5,FALSE)</f>
        <v>0</v>
      </c>
      <c r="R585" s="84"/>
      <c r="S585" s="132" t="s">
        <v>926</v>
      </c>
      <c r="T585" s="189" t="str">
        <f t="shared" ref="T585" si="302">VLOOKUP(S585,LISTAITEMS,2,FALSE)</f>
        <v>ninguno</v>
      </c>
      <c r="U585" s="189">
        <f t="shared" ref="U585" si="303">VLOOKUP(S585,LISTAITEMS,5,FALSE)</f>
        <v>0</v>
      </c>
      <c r="V585" s="84"/>
    </row>
    <row r="586" spans="1:22" s="141" customFormat="1" ht="14.25" customHeight="1" x14ac:dyDescent="0.25">
      <c r="A586" s="123">
        <v>439</v>
      </c>
      <c r="B586" s="72" t="s">
        <v>969</v>
      </c>
      <c r="C586" s="99">
        <v>2</v>
      </c>
      <c r="D586" s="67"/>
      <c r="E586" s="61">
        <f>(((I586*J586)+(M586*N586)+(Q586*R586)+(U586*V586))/C586)*1.2</f>
        <v>17.2788</v>
      </c>
      <c r="F586" s="188">
        <f t="shared" si="286"/>
        <v>2.88</v>
      </c>
      <c r="G586" s="118">
        <v>262</v>
      </c>
      <c r="H586" s="59" t="str">
        <f t="shared" ref="H586:H587" si="304">VLOOKUP(G586,LISTAITEMS,2,FALSE)</f>
        <v>Arrow</v>
      </c>
      <c r="I586" s="59">
        <f t="shared" ref="I586:I587" si="305">VLOOKUP(G586,LISTAITEMS,5,FALSE)</f>
        <v>9.798</v>
      </c>
      <c r="J586" s="84">
        <v>1</v>
      </c>
      <c r="K586" s="132">
        <v>348</v>
      </c>
      <c r="L586" s="140" t="str">
        <f t="shared" ref="L586:L587" si="306">VLOOKUP(K586,LISTAITEMS,2,FALSE)</f>
        <v>Glowstone Dust</v>
      </c>
      <c r="M586" s="140">
        <f t="shared" ref="M586:M587" si="307">VLOOKUP(K586,LISTAITEMS,5,FALSE)</f>
        <v>19</v>
      </c>
      <c r="N586" s="84">
        <v>1</v>
      </c>
      <c r="O586" s="132" t="s">
        <v>926</v>
      </c>
      <c r="P586" s="59" t="str">
        <f t="shared" ref="P586:P587" si="308">VLOOKUP(O586,LISTAITEMS,2,FALSE)</f>
        <v>ninguno</v>
      </c>
      <c r="Q586" s="59">
        <f t="shared" ref="Q586:Q587" si="309">VLOOKUP(O586,LISTAITEMS,5,FALSE)</f>
        <v>0</v>
      </c>
      <c r="R586" s="84"/>
      <c r="S586" s="132" t="s">
        <v>926</v>
      </c>
      <c r="T586" s="140" t="str">
        <f t="shared" ref="T586:T587" si="310">VLOOKUP(S586,LISTAITEMS,2,FALSE)</f>
        <v>ninguno</v>
      </c>
      <c r="U586" s="140">
        <f t="shared" ref="U586:U587" si="311">VLOOKUP(S586,LISTAITEMS,5,FALSE)</f>
        <v>0</v>
      </c>
      <c r="V586" s="84"/>
    </row>
    <row r="587" spans="1:22" s="141" customFormat="1" ht="14.25" customHeight="1" x14ac:dyDescent="0.25">
      <c r="A587" s="123">
        <v>442</v>
      </c>
      <c r="B587" s="72" t="s">
        <v>970</v>
      </c>
      <c r="C587" s="99">
        <v>1</v>
      </c>
      <c r="D587" s="67"/>
      <c r="E587" s="61">
        <f>(((I587*J587)+(M587*N587)+(Q587*R587)+(U587*V587))/C587)*1.2</f>
        <v>968.64</v>
      </c>
      <c r="F587" s="188">
        <f t="shared" si="286"/>
        <v>161.44</v>
      </c>
      <c r="G587" s="118">
        <v>5</v>
      </c>
      <c r="H587" s="59" t="str">
        <f t="shared" si="304"/>
        <v>Oak Planks</v>
      </c>
      <c r="I587" s="59">
        <f t="shared" si="305"/>
        <v>1.2</v>
      </c>
      <c r="J587" s="84">
        <v>6</v>
      </c>
      <c r="K587" s="132">
        <v>265</v>
      </c>
      <c r="L587" s="140" t="str">
        <f t="shared" si="306"/>
        <v>Iron Ingot</v>
      </c>
      <c r="M587" s="140">
        <f t="shared" si="307"/>
        <v>800</v>
      </c>
      <c r="N587" s="84">
        <v>1</v>
      </c>
      <c r="O587" s="132" t="s">
        <v>926</v>
      </c>
      <c r="P587" s="59" t="str">
        <f t="shared" si="308"/>
        <v>ninguno</v>
      </c>
      <c r="Q587" s="59">
        <f t="shared" si="309"/>
        <v>0</v>
      </c>
      <c r="R587" s="84"/>
      <c r="S587" s="132" t="s">
        <v>926</v>
      </c>
      <c r="T587" s="140" t="str">
        <f t="shared" si="310"/>
        <v>ninguno</v>
      </c>
      <c r="U587" s="140">
        <f t="shared" si="311"/>
        <v>0</v>
      </c>
      <c r="V587" s="84"/>
    </row>
  </sheetData>
  <dataConsolidate/>
  <mergeCells count="4">
    <mergeCell ref="S1:V1"/>
    <mergeCell ref="G1:J1"/>
    <mergeCell ref="K1:N1"/>
    <mergeCell ref="O1:R1"/>
  </mergeCells>
  <dataValidations count="1">
    <dataValidation type="list" allowBlank="1" showInputMessage="1" showErrorMessage="1" sqref="G4:G10 K4:K10 O4:O10 S4:S10 S433 K435:K524 K526:K527 O526:O527 S526:S527 S357:S366 K543:K546 O543:O546 S543:S546 O357:O366 K548:K558 O548:O558 S548:S558 K357:K366 S560:S583 K560:K583 O435:O524 K433 O433 S12:S17 O12:O17 K12:K17 G12:G17 G25:G61 O25:O61 S25:S61 S64:S77 O64:O77 K64:K77 G64:G77 S435:S524 O338:O355 K338:K355 K368:K371 O368:O371 O560:O583 S530:S541 O530:O541 K530:K541 K25:K61 S368:S371 S374:S382 K374:K382 O374:O382 K585:K587 G585:G587 O585:O587 S585:S587 S338:S355 G454:G583 S79:S121 K79:K121 O79:O121 S386:S431 O386:O431 K386:K431 S123:S336 K123:K336 G79:G452 O123:O336">
      <formula1>IDS</formula1>
    </dataValidation>
  </dataValidations>
  <pageMargins left="0.7" right="0.7" top="0.75" bottom="0.75" header="0.3" footer="0.3"/>
  <pageSetup orientation="portrait" horizontalDpi="1200" verticalDpi="12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9"/>
  <dimension ref="A1:V521"/>
  <sheetViews>
    <sheetView workbookViewId="0">
      <pane ySplit="2" topLeftCell="A229" activePane="bottomLeft" state="frozen"/>
      <selection pane="bottomLeft" activeCell="B246" sqref="B246"/>
    </sheetView>
  </sheetViews>
  <sheetFormatPr baseColWidth="10" defaultColWidth="11.42578125" defaultRowHeight="14.25" customHeight="1" x14ac:dyDescent="0.25"/>
  <cols>
    <col min="1" max="1" width="11.42578125" style="131"/>
    <col min="2" max="2" width="21.7109375" style="93" customWidth="1"/>
    <col min="3" max="3" width="11.7109375" style="102" customWidth="1"/>
    <col min="4" max="4" width="10" style="77" customWidth="1"/>
    <col min="5" max="5" width="12.85546875" style="102" customWidth="1"/>
    <col min="6" max="6" width="9.5703125" style="77" customWidth="1"/>
    <col min="7" max="8" width="9.5703125" style="95" customWidth="1"/>
    <col min="9" max="9" width="9.5703125" style="96" customWidth="1"/>
    <col min="10" max="10" width="14.42578125" style="96" customWidth="1"/>
    <col min="11" max="11" width="19.42578125" style="96" customWidth="1"/>
    <col min="12" max="12" width="17.7109375" style="95" customWidth="1"/>
    <col min="13" max="13" width="11.42578125" style="95"/>
    <col min="14" max="15" width="11.42578125" style="96"/>
    <col min="16" max="16" width="17.7109375" style="95" customWidth="1"/>
    <col min="17" max="17" width="11.42578125" style="95"/>
    <col min="18" max="19" width="11.42578125" style="96"/>
    <col min="20" max="20" width="17.7109375" style="95" customWidth="1"/>
    <col min="21" max="21" width="11.42578125" style="95"/>
    <col min="22" max="22" width="11.42578125" style="96"/>
    <col min="23" max="16384" width="11.42578125" style="93"/>
  </cols>
  <sheetData>
    <row r="1" spans="1:11" s="143" customFormat="1" ht="14.25" customHeight="1" x14ac:dyDescent="0.25">
      <c r="A1" s="120" t="s">
        <v>205</v>
      </c>
      <c r="B1" s="77" t="s">
        <v>203</v>
      </c>
      <c r="C1" s="102" t="s">
        <v>200</v>
      </c>
      <c r="D1" s="77" t="s">
        <v>159</v>
      </c>
      <c r="E1" s="102" t="s">
        <v>921</v>
      </c>
      <c r="F1" s="77" t="s">
        <v>972</v>
      </c>
      <c r="G1" s="77" t="s">
        <v>973</v>
      </c>
      <c r="H1" s="77" t="s">
        <v>974</v>
      </c>
      <c r="I1" s="77" t="s">
        <v>976</v>
      </c>
      <c r="J1" s="77" t="s">
        <v>977</v>
      </c>
      <c r="K1" s="77" t="s">
        <v>975</v>
      </c>
    </row>
    <row r="2" spans="1:11" s="176" customFormat="1" ht="14.25" customHeight="1" x14ac:dyDescent="0.25">
      <c r="A2" s="173"/>
      <c r="B2" s="174"/>
      <c r="C2" s="174"/>
      <c r="D2" s="174"/>
      <c r="E2" s="174"/>
      <c r="F2" s="175"/>
      <c r="K2" s="177"/>
    </row>
    <row r="3" spans="1:11" s="74" customFormat="1" ht="14.25" hidden="1" customHeight="1" x14ac:dyDescent="0.25">
      <c r="A3" s="122" t="s">
        <v>926</v>
      </c>
      <c r="B3" s="79" t="s">
        <v>926</v>
      </c>
      <c r="C3" s="157" t="s">
        <v>926</v>
      </c>
      <c r="D3" s="77" t="s">
        <v>926</v>
      </c>
      <c r="E3" s="172"/>
      <c r="F3" s="168"/>
      <c r="K3" s="178"/>
    </row>
    <row r="4" spans="1:11" s="197" customFormat="1" ht="14.25" customHeight="1" x14ac:dyDescent="0.25">
      <c r="A4" s="195">
        <v>1</v>
      </c>
      <c r="B4" s="196" t="s">
        <v>216</v>
      </c>
      <c r="C4" s="194">
        <f>ROUNDUP('ITEM CRAFT'!E4/7,1)</f>
        <v>0.6</v>
      </c>
      <c r="D4" s="59">
        <f>ROUNDUP('ITEM CRAFT'!E4,1)</f>
        <v>3.6</v>
      </c>
      <c r="E4" s="194" t="s">
        <v>152</v>
      </c>
      <c r="F4" s="221" t="s">
        <v>153</v>
      </c>
      <c r="J4" s="197">
        <f t="shared" ref="J4:J67" si="0">ROUNDUP(C4/K4,1)</f>
        <v>0.6</v>
      </c>
      <c r="K4" s="220">
        <f>COUNTIF(F4:I4,"*")</f>
        <v>1</v>
      </c>
    </row>
    <row r="5" spans="1:11" s="197" customFormat="1" ht="14.25" customHeight="1" x14ac:dyDescent="0.25">
      <c r="A5" s="198" t="s">
        <v>218</v>
      </c>
      <c r="B5" s="199" t="s">
        <v>217</v>
      </c>
      <c r="C5" s="194">
        <f>ROUNDUP('ITEM CRAFT'!E5/7,1)</f>
        <v>4</v>
      </c>
      <c r="D5" s="59">
        <f>ROUNDUP('ITEM CRAFT'!E5,1)</f>
        <v>28</v>
      </c>
      <c r="E5" s="194" t="s">
        <v>152</v>
      </c>
      <c r="F5" s="221" t="s">
        <v>153</v>
      </c>
      <c r="G5" s="197" t="s">
        <v>156</v>
      </c>
      <c r="J5" s="197">
        <f t="shared" si="0"/>
        <v>2</v>
      </c>
      <c r="K5" s="220">
        <f t="shared" ref="K5:K70" si="1">COUNTIF(F5:I5,"*")</f>
        <v>2</v>
      </c>
    </row>
    <row r="6" spans="1:11" s="197" customFormat="1" ht="14.25" customHeight="1" x14ac:dyDescent="0.25">
      <c r="A6" s="198" t="s">
        <v>220</v>
      </c>
      <c r="B6" s="199" t="s">
        <v>219</v>
      </c>
      <c r="C6" s="194">
        <f>ROUNDUP('ITEM CRAFT'!E6/7,1)</f>
        <v>4.8</v>
      </c>
      <c r="D6" s="59">
        <f>ROUNDUP('ITEM CRAFT'!E6,1)</f>
        <v>33.6</v>
      </c>
      <c r="E6" s="194" t="s">
        <v>152</v>
      </c>
      <c r="F6" s="221" t="s">
        <v>154</v>
      </c>
      <c r="G6" s="197" t="s">
        <v>156</v>
      </c>
      <c r="J6" s="197">
        <f t="shared" si="0"/>
        <v>2.4</v>
      </c>
      <c r="K6" s="220">
        <f t="shared" si="1"/>
        <v>2</v>
      </c>
    </row>
    <row r="7" spans="1:11" s="197" customFormat="1" ht="14.25" customHeight="1" x14ac:dyDescent="0.25">
      <c r="A7" s="198" t="s">
        <v>222</v>
      </c>
      <c r="B7" s="199" t="s">
        <v>221</v>
      </c>
      <c r="C7" s="194">
        <f>ROUNDUP('ITEM CRAFT'!E7/7,1)</f>
        <v>4</v>
      </c>
      <c r="D7" s="59">
        <f>ROUNDUP('ITEM CRAFT'!E7,1)</f>
        <v>27.6</v>
      </c>
      <c r="E7" s="194" t="s">
        <v>152</v>
      </c>
      <c r="F7" s="221" t="s">
        <v>153</v>
      </c>
      <c r="G7" s="197" t="s">
        <v>156</v>
      </c>
      <c r="J7" s="197">
        <f t="shared" si="0"/>
        <v>2</v>
      </c>
      <c r="K7" s="220">
        <f t="shared" si="1"/>
        <v>2</v>
      </c>
    </row>
    <row r="8" spans="1:11" s="197" customFormat="1" ht="14.25" customHeight="1" x14ac:dyDescent="0.25">
      <c r="A8" s="198" t="s">
        <v>224</v>
      </c>
      <c r="B8" s="199" t="s">
        <v>223</v>
      </c>
      <c r="C8" s="194">
        <f>ROUNDUP('ITEM CRAFT'!E8/7,1)</f>
        <v>4.8</v>
      </c>
      <c r="D8" s="59">
        <f>ROUNDUP('ITEM CRAFT'!E8,1)</f>
        <v>33.200000000000003</v>
      </c>
      <c r="E8" s="194" t="s">
        <v>152</v>
      </c>
      <c r="F8" s="221" t="s">
        <v>154</v>
      </c>
      <c r="G8" s="197" t="s">
        <v>156</v>
      </c>
      <c r="J8" s="197">
        <f t="shared" si="0"/>
        <v>2.4</v>
      </c>
      <c r="K8" s="220">
        <f t="shared" si="1"/>
        <v>2</v>
      </c>
    </row>
    <row r="9" spans="1:11" s="197" customFormat="1" ht="14.25" customHeight="1" x14ac:dyDescent="0.25">
      <c r="A9" s="198" t="s">
        <v>226</v>
      </c>
      <c r="B9" s="199" t="s">
        <v>225</v>
      </c>
      <c r="C9" s="194">
        <f>ROUNDUP('ITEM CRAFT'!E9/7,1)</f>
        <v>2.7</v>
      </c>
      <c r="D9" s="59">
        <f>ROUNDUP('ITEM CRAFT'!E9,1)</f>
        <v>18.400000000000002</v>
      </c>
      <c r="E9" s="194" t="s">
        <v>152</v>
      </c>
      <c r="F9" s="221" t="s">
        <v>153</v>
      </c>
      <c r="G9" s="197" t="s">
        <v>156</v>
      </c>
      <c r="J9" s="197">
        <f t="shared" si="0"/>
        <v>1.4000000000000001</v>
      </c>
      <c r="K9" s="220">
        <f t="shared" si="1"/>
        <v>2</v>
      </c>
    </row>
    <row r="10" spans="1:11" s="197" customFormat="1" ht="14.25" customHeight="1" x14ac:dyDescent="0.25">
      <c r="A10" s="198" t="s">
        <v>228</v>
      </c>
      <c r="B10" s="199" t="s">
        <v>227</v>
      </c>
      <c r="C10" s="194">
        <f>ROUNDUP('ITEM CRAFT'!E10/7,1)</f>
        <v>3.2</v>
      </c>
      <c r="D10" s="59">
        <f>ROUNDUP('ITEM CRAFT'!E10,1)</f>
        <v>22.1</v>
      </c>
      <c r="E10" s="194" t="s">
        <v>152</v>
      </c>
      <c r="F10" s="221" t="s">
        <v>154</v>
      </c>
      <c r="G10" s="197" t="s">
        <v>156</v>
      </c>
      <c r="J10" s="197">
        <f t="shared" si="0"/>
        <v>1.6</v>
      </c>
      <c r="K10" s="220">
        <f t="shared" si="1"/>
        <v>2</v>
      </c>
    </row>
    <row r="11" spans="1:11" s="220" customFormat="1" ht="14.25" customHeight="1" x14ac:dyDescent="0.25">
      <c r="A11" s="195">
        <v>4</v>
      </c>
      <c r="B11" s="196" t="s">
        <v>229</v>
      </c>
      <c r="C11" s="194">
        <f>ROUNDUP('ITEM CRAFT'!E11/7,1)</f>
        <v>0.5</v>
      </c>
      <c r="D11" s="59">
        <f>ROUNDUP('ITEM CRAFT'!E11,1)</f>
        <v>3</v>
      </c>
      <c r="E11" s="194" t="s">
        <v>152</v>
      </c>
      <c r="F11" s="221" t="s">
        <v>153</v>
      </c>
      <c r="G11" s="197" t="s">
        <v>157</v>
      </c>
      <c r="H11" s="197"/>
      <c r="I11" s="197"/>
      <c r="J11" s="197">
        <f t="shared" si="0"/>
        <v>0.30000000000000004</v>
      </c>
      <c r="K11" s="220">
        <f>COUNTIF(F11:I11,"*")</f>
        <v>2</v>
      </c>
    </row>
    <row r="12" spans="1:11" s="205" customFormat="1" ht="14.25" customHeight="1" x14ac:dyDescent="0.25">
      <c r="A12" s="202">
        <v>5</v>
      </c>
      <c r="B12" s="203" t="s">
        <v>230</v>
      </c>
      <c r="C12" s="201">
        <f>ROUNDUP('ITEM CRAFT'!E12/7,1)</f>
        <v>0.2</v>
      </c>
      <c r="D12" s="63">
        <f>ROUNDUP('ITEM CRAFT'!E12,1)</f>
        <v>1.2</v>
      </c>
      <c r="E12" s="201" t="s">
        <v>150</v>
      </c>
      <c r="F12" s="204" t="s">
        <v>156</v>
      </c>
      <c r="G12" s="205" t="s">
        <v>154</v>
      </c>
      <c r="J12" s="205">
        <f t="shared" si="0"/>
        <v>0.1</v>
      </c>
      <c r="K12" s="56">
        <f t="shared" si="1"/>
        <v>2</v>
      </c>
    </row>
    <row r="13" spans="1:11" s="205" customFormat="1" ht="14.25" customHeight="1" x14ac:dyDescent="0.25">
      <c r="A13" s="202" t="s">
        <v>232</v>
      </c>
      <c r="B13" s="203" t="s">
        <v>231</v>
      </c>
      <c r="C13" s="201">
        <f>ROUNDUP('ITEM CRAFT'!E13/7,1)</f>
        <v>0.5</v>
      </c>
      <c r="D13" s="63">
        <f>ROUNDUP('ITEM CRAFT'!E13,1)</f>
        <v>3.3</v>
      </c>
      <c r="E13" s="201" t="s">
        <v>150</v>
      </c>
      <c r="F13" s="204" t="s">
        <v>156</v>
      </c>
      <c r="G13" s="205" t="s">
        <v>154</v>
      </c>
      <c r="J13" s="205">
        <f t="shared" si="0"/>
        <v>0.30000000000000004</v>
      </c>
      <c r="K13" s="56">
        <f t="shared" si="1"/>
        <v>2</v>
      </c>
    </row>
    <row r="14" spans="1:11" s="205" customFormat="1" ht="14.25" customHeight="1" x14ac:dyDescent="0.25">
      <c r="A14" s="202" t="s">
        <v>234</v>
      </c>
      <c r="B14" s="203" t="s">
        <v>233</v>
      </c>
      <c r="C14" s="201">
        <f>ROUNDUP('ITEM CRAFT'!E14/7,1)</f>
        <v>0.79999999999999993</v>
      </c>
      <c r="D14" s="63">
        <f>ROUNDUP('ITEM CRAFT'!E14,1)</f>
        <v>5.0999999999999996</v>
      </c>
      <c r="E14" s="201" t="s">
        <v>150</v>
      </c>
      <c r="F14" s="204" t="s">
        <v>156</v>
      </c>
      <c r="G14" s="205" t="s">
        <v>154</v>
      </c>
      <c r="J14" s="205">
        <f t="shared" si="0"/>
        <v>0.4</v>
      </c>
      <c r="K14" s="56">
        <f t="shared" si="1"/>
        <v>2</v>
      </c>
    </row>
    <row r="15" spans="1:11" s="205" customFormat="1" ht="14.25" customHeight="1" x14ac:dyDescent="0.25">
      <c r="A15" s="202" t="s">
        <v>236</v>
      </c>
      <c r="B15" s="203" t="s">
        <v>235</v>
      </c>
      <c r="C15" s="201">
        <f>ROUNDUP('ITEM CRAFT'!E15/7,1)</f>
        <v>1.1000000000000001</v>
      </c>
      <c r="D15" s="63">
        <f>ROUNDUP('ITEM CRAFT'!E15,1)</f>
        <v>7.2</v>
      </c>
      <c r="E15" s="201" t="s">
        <v>150</v>
      </c>
      <c r="F15" s="204" t="s">
        <v>156</v>
      </c>
      <c r="G15" s="205" t="s">
        <v>154</v>
      </c>
      <c r="J15" s="205">
        <f t="shared" si="0"/>
        <v>0.6</v>
      </c>
      <c r="K15" s="56">
        <f t="shared" si="1"/>
        <v>2</v>
      </c>
    </row>
    <row r="16" spans="1:11" s="205" customFormat="1" ht="14.25" customHeight="1" x14ac:dyDescent="0.25">
      <c r="A16" s="202" t="s">
        <v>238</v>
      </c>
      <c r="B16" s="203" t="s">
        <v>237</v>
      </c>
      <c r="C16" s="201">
        <f>ROUNDUP('ITEM CRAFT'!E16/7,1)</f>
        <v>1.4000000000000001</v>
      </c>
      <c r="D16" s="63">
        <f>ROUNDUP('ITEM CRAFT'!E16,1)</f>
        <v>9.3000000000000007</v>
      </c>
      <c r="E16" s="201" t="s">
        <v>150</v>
      </c>
      <c r="F16" s="204" t="s">
        <v>156</v>
      </c>
      <c r="G16" s="205" t="s">
        <v>154</v>
      </c>
      <c r="J16" s="205">
        <f t="shared" si="0"/>
        <v>0.7</v>
      </c>
      <c r="K16" s="56">
        <f t="shared" si="1"/>
        <v>2</v>
      </c>
    </row>
    <row r="17" spans="1:11" s="205" customFormat="1" ht="14.25" customHeight="1" x14ac:dyDescent="0.25">
      <c r="A17" s="202" t="s">
        <v>240</v>
      </c>
      <c r="B17" s="203" t="s">
        <v>239</v>
      </c>
      <c r="C17" s="201">
        <f>ROUNDUP('ITEM CRAFT'!E17/7,1)</f>
        <v>1.6</v>
      </c>
      <c r="D17" s="63">
        <f>ROUNDUP('ITEM CRAFT'!E17,1)</f>
        <v>11.1</v>
      </c>
      <c r="E17" s="201" t="s">
        <v>150</v>
      </c>
      <c r="F17" s="204" t="s">
        <v>156</v>
      </c>
      <c r="G17" s="205" t="s">
        <v>154</v>
      </c>
      <c r="J17" s="205">
        <f t="shared" si="0"/>
        <v>0.8</v>
      </c>
      <c r="K17" s="56">
        <f t="shared" si="1"/>
        <v>2</v>
      </c>
    </row>
    <row r="18" spans="1:11" s="220" customFormat="1" ht="14.25" customHeight="1" x14ac:dyDescent="0.25">
      <c r="A18" s="195">
        <v>12</v>
      </c>
      <c r="B18" s="196" t="s">
        <v>206</v>
      </c>
      <c r="C18" s="194">
        <f>ROUNDUP('ITEM CRAFT'!E18/7,1)</f>
        <v>1.6</v>
      </c>
      <c r="D18" s="59">
        <f>ROUNDUP('ITEM CRAFT'!E18,1)</f>
        <v>11</v>
      </c>
      <c r="E18" s="194" t="s">
        <v>152</v>
      </c>
      <c r="F18" s="221" t="s">
        <v>153</v>
      </c>
      <c r="G18" s="197" t="s">
        <v>157</v>
      </c>
      <c r="H18" s="197"/>
      <c r="I18" s="197"/>
      <c r="J18" s="197">
        <f t="shared" si="0"/>
        <v>0.8</v>
      </c>
      <c r="K18" s="220">
        <f t="shared" si="1"/>
        <v>2</v>
      </c>
    </row>
    <row r="19" spans="1:11" s="220" customFormat="1" ht="14.25" customHeight="1" x14ac:dyDescent="0.25">
      <c r="A19" s="195" t="s">
        <v>242</v>
      </c>
      <c r="B19" s="196" t="s">
        <v>241</v>
      </c>
      <c r="C19" s="194">
        <f>ROUNDUP('ITEM CRAFT'!E19/7,1)</f>
        <v>2.2000000000000002</v>
      </c>
      <c r="D19" s="59">
        <f>ROUNDUP('ITEM CRAFT'!E19,1)</f>
        <v>15</v>
      </c>
      <c r="E19" s="194" t="s">
        <v>152</v>
      </c>
      <c r="F19" s="221" t="s">
        <v>153</v>
      </c>
      <c r="G19" s="197" t="s">
        <v>157</v>
      </c>
      <c r="H19" s="197"/>
      <c r="I19" s="197"/>
      <c r="J19" s="197">
        <f t="shared" si="0"/>
        <v>1.1000000000000001</v>
      </c>
      <c r="K19" s="220">
        <f>COUNTIF(F19:I19,"*")</f>
        <v>2</v>
      </c>
    </row>
    <row r="20" spans="1:11" s="220" customFormat="1" ht="14.25" customHeight="1" x14ac:dyDescent="0.25">
      <c r="A20" s="195">
        <v>14</v>
      </c>
      <c r="B20" s="196" t="s">
        <v>982</v>
      </c>
      <c r="C20" s="194">
        <f>ROUNDUP(D20/7,1)</f>
        <v>228.6</v>
      </c>
      <c r="D20" s="59">
        <f>'ECONOMIA &amp; PROFESIONES'!B19</f>
        <v>1600</v>
      </c>
      <c r="E20" s="194" t="s">
        <v>152</v>
      </c>
      <c r="F20" s="221" t="s">
        <v>153</v>
      </c>
      <c r="G20" s="197" t="s">
        <v>157</v>
      </c>
      <c r="H20" s="197"/>
      <c r="I20" s="197"/>
      <c r="J20" s="197">
        <f t="shared" si="0"/>
        <v>114.3</v>
      </c>
      <c r="K20" s="220">
        <f>COUNTIF(F20:I20,"*")</f>
        <v>2</v>
      </c>
    </row>
    <row r="21" spans="1:11" s="191" customFormat="1" ht="14.25" customHeight="1" x14ac:dyDescent="0.25">
      <c r="A21" s="195">
        <v>15</v>
      </c>
      <c r="B21" s="196" t="s">
        <v>983</v>
      </c>
      <c r="C21" s="194">
        <f>ROUNDUP(D21/7,1)</f>
        <v>114.3</v>
      </c>
      <c r="D21" s="59">
        <f>'ECONOMIA &amp; PROFESIONES'!B18</f>
        <v>800</v>
      </c>
      <c r="E21" s="194" t="s">
        <v>152</v>
      </c>
      <c r="F21" s="192" t="s">
        <v>153</v>
      </c>
      <c r="G21" s="197" t="s">
        <v>157</v>
      </c>
      <c r="H21" s="197"/>
      <c r="I21" s="197"/>
      <c r="J21" s="197">
        <f t="shared" si="0"/>
        <v>57.2</v>
      </c>
      <c r="K21" s="191">
        <f>COUNTIF(F21:I21,"*")</f>
        <v>2</v>
      </c>
    </row>
    <row r="22" spans="1:11" s="220" customFormat="1" ht="14.25" customHeight="1" x14ac:dyDescent="0.25">
      <c r="A22" s="195">
        <v>16</v>
      </c>
      <c r="B22" s="196" t="s">
        <v>980</v>
      </c>
      <c r="C22" s="194">
        <f>ROUNDUP(D22/7,1)</f>
        <v>1</v>
      </c>
      <c r="D22" s="59">
        <f>'ECONOMIA &amp; PROFESIONES'!E28</f>
        <v>7</v>
      </c>
      <c r="E22" s="194" t="s">
        <v>152</v>
      </c>
      <c r="F22" s="221" t="s">
        <v>153</v>
      </c>
      <c r="G22" s="197"/>
      <c r="H22" s="197"/>
      <c r="I22" s="197"/>
      <c r="J22" s="197">
        <f t="shared" si="0"/>
        <v>1</v>
      </c>
      <c r="K22" s="220">
        <f>COUNTIF(F22:I22,"*")</f>
        <v>1</v>
      </c>
    </row>
    <row r="23" spans="1:11" s="56" customFormat="1" ht="14.25" customHeight="1" x14ac:dyDescent="0.25">
      <c r="A23" s="202">
        <v>17</v>
      </c>
      <c r="B23" s="203" t="s">
        <v>201</v>
      </c>
      <c r="C23" s="201">
        <f>ROUNDUP('ITEM CRAFT'!E21/7,1)</f>
        <v>0.6</v>
      </c>
      <c r="D23" s="63">
        <f>ROUNDUP('ITEM CRAFT'!E21,1)</f>
        <v>4</v>
      </c>
      <c r="E23" s="201" t="s">
        <v>150</v>
      </c>
      <c r="F23" s="204" t="s">
        <v>153</v>
      </c>
      <c r="G23" s="205" t="s">
        <v>157</v>
      </c>
      <c r="H23" s="205"/>
      <c r="I23" s="205"/>
      <c r="J23" s="205">
        <f t="shared" si="0"/>
        <v>0.3</v>
      </c>
      <c r="K23" s="56">
        <f t="shared" si="1"/>
        <v>2</v>
      </c>
    </row>
    <row r="24" spans="1:11" s="56" customFormat="1" ht="14.25" customHeight="1" x14ac:dyDescent="0.25">
      <c r="A24" s="202" t="s">
        <v>244</v>
      </c>
      <c r="B24" s="203" t="s">
        <v>243</v>
      </c>
      <c r="C24" s="201">
        <f>ROUNDUP('ITEM CRAFT'!E22/7,1)</f>
        <v>1.6</v>
      </c>
      <c r="D24" s="63">
        <f>ROUNDUP('ITEM CRAFT'!E22,1)</f>
        <v>11</v>
      </c>
      <c r="E24" s="201" t="s">
        <v>150</v>
      </c>
      <c r="F24" s="204" t="s">
        <v>153</v>
      </c>
      <c r="G24" s="205" t="s">
        <v>157</v>
      </c>
      <c r="H24" s="205"/>
      <c r="I24" s="205"/>
      <c r="J24" s="205">
        <f t="shared" si="0"/>
        <v>0.8</v>
      </c>
      <c r="K24" s="56">
        <f t="shared" si="1"/>
        <v>2</v>
      </c>
    </row>
    <row r="25" spans="1:11" s="56" customFormat="1" ht="14.25" customHeight="1" x14ac:dyDescent="0.25">
      <c r="A25" s="241">
        <v>0.70972222222222225</v>
      </c>
      <c r="B25" s="203" t="s">
        <v>245</v>
      </c>
      <c r="C25" s="201">
        <f>ROUNDUP('ITEM CRAFT'!E23/7,1)</f>
        <v>2.5</v>
      </c>
      <c r="D25" s="63">
        <f>ROUNDUP('ITEM CRAFT'!E23,1)</f>
        <v>17</v>
      </c>
      <c r="E25" s="201" t="s">
        <v>150</v>
      </c>
      <c r="F25" s="204" t="s">
        <v>153</v>
      </c>
      <c r="G25" s="205" t="s">
        <v>157</v>
      </c>
      <c r="H25" s="205"/>
      <c r="I25" s="205"/>
      <c r="J25" s="205">
        <f t="shared" si="0"/>
        <v>1.3</v>
      </c>
      <c r="K25" s="56">
        <f t="shared" si="1"/>
        <v>2</v>
      </c>
    </row>
    <row r="26" spans="1:11" s="56" customFormat="1" ht="14.25" customHeight="1" x14ac:dyDescent="0.25">
      <c r="A26" s="202" t="s">
        <v>248</v>
      </c>
      <c r="B26" s="203" t="s">
        <v>247</v>
      </c>
      <c r="C26" s="201">
        <f>ROUNDUP('ITEM CRAFT'!E24/7,1)</f>
        <v>3.5</v>
      </c>
      <c r="D26" s="63">
        <f>ROUNDUP('ITEM CRAFT'!E24,1)</f>
        <v>24</v>
      </c>
      <c r="E26" s="201" t="s">
        <v>150</v>
      </c>
      <c r="F26" s="204" t="s">
        <v>153</v>
      </c>
      <c r="G26" s="205" t="s">
        <v>157</v>
      </c>
      <c r="H26" s="205"/>
      <c r="I26" s="205"/>
      <c r="J26" s="205">
        <f t="shared" si="0"/>
        <v>1.8</v>
      </c>
      <c r="K26" s="56">
        <f t="shared" si="1"/>
        <v>2</v>
      </c>
    </row>
    <row r="27" spans="1:11" s="197" customFormat="1" ht="14.25" customHeight="1" x14ac:dyDescent="0.25">
      <c r="A27" s="195">
        <v>20</v>
      </c>
      <c r="B27" s="196" t="s">
        <v>207</v>
      </c>
      <c r="C27" s="194">
        <f>ROUNDUP('ITEM CRAFT'!E25/7,1)</f>
        <v>1.9000000000000001</v>
      </c>
      <c r="D27" s="59">
        <f>ROUNDUP('ITEM CRAFT'!E25,1)</f>
        <v>13.2</v>
      </c>
      <c r="E27" s="194" t="s">
        <v>152</v>
      </c>
      <c r="F27" s="221" t="s">
        <v>154</v>
      </c>
      <c r="J27" s="197">
        <f t="shared" si="0"/>
        <v>1.9</v>
      </c>
      <c r="K27" s="220">
        <f t="shared" si="1"/>
        <v>1</v>
      </c>
    </row>
    <row r="28" spans="1:11" s="247" customFormat="1" ht="14.25" customHeight="1" x14ac:dyDescent="0.25">
      <c r="A28" s="242">
        <v>22</v>
      </c>
      <c r="B28" s="243" t="s">
        <v>208</v>
      </c>
      <c r="C28" s="244">
        <f>ROUNDUP('ITEM CRAFT'!E26/7,1)</f>
        <v>13.9</v>
      </c>
      <c r="D28" s="245">
        <f>ROUNDUP('ITEM CRAFT'!E26,1)</f>
        <v>97.2</v>
      </c>
      <c r="E28" s="244" t="s">
        <v>152</v>
      </c>
      <c r="F28" s="246" t="s">
        <v>154</v>
      </c>
      <c r="G28" s="247" t="s">
        <v>156</v>
      </c>
      <c r="J28" s="247">
        <f t="shared" si="0"/>
        <v>7</v>
      </c>
      <c r="K28" s="248">
        <f t="shared" si="1"/>
        <v>2</v>
      </c>
    </row>
    <row r="29" spans="1:11" s="197" customFormat="1" ht="14.25" customHeight="1" x14ac:dyDescent="0.25">
      <c r="A29" s="195">
        <v>23</v>
      </c>
      <c r="B29" s="196" t="s">
        <v>209</v>
      </c>
      <c r="C29" s="194">
        <f>ROUNDUP('ITEM CRAFT'!E27/7,1)</f>
        <v>9.1999999999999993</v>
      </c>
      <c r="D29" s="59">
        <f>ROUNDUP('ITEM CRAFT'!E27,1)</f>
        <v>64.199999999999989</v>
      </c>
      <c r="E29" s="194" t="s">
        <v>152</v>
      </c>
      <c r="F29" s="192" t="s">
        <v>154</v>
      </c>
      <c r="G29" s="197" t="s">
        <v>156</v>
      </c>
      <c r="J29" s="197">
        <f t="shared" si="0"/>
        <v>4.5999999999999996</v>
      </c>
      <c r="K29" s="191">
        <f t="shared" si="1"/>
        <v>2</v>
      </c>
    </row>
    <row r="30" spans="1:11" s="197" customFormat="1" ht="14.25" customHeight="1" x14ac:dyDescent="0.25">
      <c r="A30" s="195">
        <v>24</v>
      </c>
      <c r="B30" s="196" t="s">
        <v>249</v>
      </c>
      <c r="C30" s="194">
        <f>ROUNDUP('ITEM CRAFT'!E28/7,1)</f>
        <v>7.6</v>
      </c>
      <c r="D30" s="59">
        <f>ROUNDUP('ITEM CRAFT'!E28,1)</f>
        <v>52.8</v>
      </c>
      <c r="E30" s="194" t="s">
        <v>152</v>
      </c>
      <c r="F30" s="192" t="s">
        <v>156</v>
      </c>
      <c r="G30" s="197" t="s">
        <v>154</v>
      </c>
      <c r="J30" s="197">
        <f t="shared" si="0"/>
        <v>3.8</v>
      </c>
      <c r="K30" s="191">
        <f t="shared" si="1"/>
        <v>2</v>
      </c>
    </row>
    <row r="31" spans="1:11" s="197" customFormat="1" ht="14.25" customHeight="1" x14ac:dyDescent="0.25">
      <c r="A31" s="195" t="s">
        <v>251</v>
      </c>
      <c r="B31" s="196" t="s">
        <v>250</v>
      </c>
      <c r="C31" s="194">
        <f>ROUNDUP('ITEM CRAFT'!E29/7,1)</f>
        <v>10.9</v>
      </c>
      <c r="D31" s="59">
        <f>ROUNDUP('ITEM CRAFT'!E29,1)</f>
        <v>76.099999999999994</v>
      </c>
      <c r="E31" s="194"/>
      <c r="F31" s="221" t="s">
        <v>156</v>
      </c>
      <c r="G31" s="197" t="s">
        <v>154</v>
      </c>
      <c r="J31" s="197">
        <f t="shared" si="0"/>
        <v>5.5</v>
      </c>
      <c r="K31" s="220">
        <f t="shared" si="1"/>
        <v>2</v>
      </c>
    </row>
    <row r="32" spans="1:11" s="197" customFormat="1" ht="14.25" customHeight="1" x14ac:dyDescent="0.25">
      <c r="A32" s="195" t="s">
        <v>253</v>
      </c>
      <c r="B32" s="196" t="s">
        <v>252</v>
      </c>
      <c r="C32" s="194">
        <f>ROUNDUP('ITEM CRAFT'!E30/7,1)</f>
        <v>9.1</v>
      </c>
      <c r="D32" s="59">
        <f>ROUNDUP('ITEM CRAFT'!E30,1)</f>
        <v>63.4</v>
      </c>
      <c r="E32" s="194"/>
      <c r="F32" s="221" t="s">
        <v>156</v>
      </c>
      <c r="G32" s="197" t="s">
        <v>154</v>
      </c>
      <c r="J32" s="197">
        <f t="shared" si="0"/>
        <v>4.5999999999999996</v>
      </c>
      <c r="K32" s="220">
        <f t="shared" si="1"/>
        <v>2</v>
      </c>
    </row>
    <row r="33" spans="1:11" s="197" customFormat="1" ht="14.25" customHeight="1" x14ac:dyDescent="0.25">
      <c r="A33" s="195">
        <v>27</v>
      </c>
      <c r="B33" s="196" t="s">
        <v>254</v>
      </c>
      <c r="C33" s="194">
        <f>ROUNDUP('ITEM CRAFT'!E31/7,1)</f>
        <v>274.8</v>
      </c>
      <c r="D33" s="59">
        <f>ROUNDUP('ITEM CRAFT'!E31,1)</f>
        <v>1923.1</v>
      </c>
      <c r="E33" s="194" t="s">
        <v>152</v>
      </c>
      <c r="F33" s="192" t="s">
        <v>156</v>
      </c>
      <c r="G33" s="197" t="s">
        <v>154</v>
      </c>
      <c r="J33" s="197">
        <f t="shared" si="0"/>
        <v>137.4</v>
      </c>
      <c r="K33" s="191">
        <f t="shared" si="1"/>
        <v>2</v>
      </c>
    </row>
    <row r="34" spans="1:11" s="197" customFormat="1" ht="14.25" customHeight="1" x14ac:dyDescent="0.25">
      <c r="A34" s="195">
        <v>28</v>
      </c>
      <c r="B34" s="196" t="s">
        <v>255</v>
      </c>
      <c r="C34" s="194">
        <f>ROUNDUP('ITEM CRAFT'!E32/7,1)</f>
        <v>137.9</v>
      </c>
      <c r="D34" s="59">
        <f>ROUNDUP('ITEM CRAFT'!E32,1)</f>
        <v>964.80000000000007</v>
      </c>
      <c r="E34" s="194" t="s">
        <v>152</v>
      </c>
      <c r="F34" s="192" t="s">
        <v>156</v>
      </c>
      <c r="G34" s="197" t="s">
        <v>154</v>
      </c>
      <c r="J34" s="197">
        <f t="shared" si="0"/>
        <v>69</v>
      </c>
      <c r="K34" s="191">
        <f t="shared" si="1"/>
        <v>2</v>
      </c>
    </row>
    <row r="35" spans="1:11" s="197" customFormat="1" ht="14.25" customHeight="1" x14ac:dyDescent="0.25">
      <c r="A35" s="195">
        <v>29</v>
      </c>
      <c r="B35" s="196" t="s">
        <v>256</v>
      </c>
      <c r="C35" s="194">
        <f>ROUNDUP('ITEM CRAFT'!E33/7,1)</f>
        <v>174.5</v>
      </c>
      <c r="D35" s="59">
        <f>ROUNDUP('ITEM CRAFT'!E33,1)</f>
        <v>1221.3</v>
      </c>
      <c r="E35" s="194" t="s">
        <v>152</v>
      </c>
      <c r="F35" s="192" t="s">
        <v>156</v>
      </c>
      <c r="G35" s="197" t="s">
        <v>154</v>
      </c>
      <c r="J35" s="197">
        <f t="shared" si="0"/>
        <v>87.3</v>
      </c>
      <c r="K35" s="191">
        <f t="shared" si="1"/>
        <v>2</v>
      </c>
    </row>
    <row r="36" spans="1:11" s="197" customFormat="1" ht="14.25" customHeight="1" x14ac:dyDescent="0.25">
      <c r="A36" s="195">
        <v>33</v>
      </c>
      <c r="B36" s="196" t="s">
        <v>258</v>
      </c>
      <c r="C36" s="194">
        <f>ROUNDUP('ITEM CRAFT'!E35/7,1)</f>
        <v>142.4</v>
      </c>
      <c r="D36" s="59">
        <f>ROUNDUP('ITEM CRAFT'!E35,1)</f>
        <v>996.80000000000007</v>
      </c>
      <c r="E36" s="194" t="s">
        <v>152</v>
      </c>
      <c r="F36" s="192" t="s">
        <v>156</v>
      </c>
      <c r="G36" s="197" t="s">
        <v>154</v>
      </c>
      <c r="J36" s="197">
        <f t="shared" si="0"/>
        <v>71.2</v>
      </c>
      <c r="K36" s="191">
        <f t="shared" si="1"/>
        <v>2</v>
      </c>
    </row>
    <row r="37" spans="1:11" s="235" customFormat="1" ht="14.25" customHeight="1" x14ac:dyDescent="0.25">
      <c r="A37" s="232">
        <v>35</v>
      </c>
      <c r="B37" s="233" t="s">
        <v>259</v>
      </c>
      <c r="C37" s="230">
        <f>ROUNDUP('ITEM CRAFT'!E36/7,1)</f>
        <v>3.1</v>
      </c>
      <c r="D37" s="231">
        <f>ROUNDUP('ITEM CRAFT'!E36,1)</f>
        <v>21.6</v>
      </c>
      <c r="E37" s="230" t="s">
        <v>160</v>
      </c>
      <c r="F37" s="234" t="s">
        <v>156</v>
      </c>
      <c r="G37" s="235" t="s">
        <v>154</v>
      </c>
      <c r="J37" s="235">
        <f t="shared" si="0"/>
        <v>1.6</v>
      </c>
      <c r="K37" s="236">
        <f t="shared" si="1"/>
        <v>2</v>
      </c>
    </row>
    <row r="38" spans="1:11" s="235" customFormat="1" ht="14.25" customHeight="1" x14ac:dyDescent="0.25">
      <c r="A38" s="232" t="s">
        <v>260</v>
      </c>
      <c r="B38" s="233" t="s">
        <v>210</v>
      </c>
      <c r="C38" s="230">
        <f>ROUNDUP('ITEM CRAFT'!E37/7,1)</f>
        <v>7.5</v>
      </c>
      <c r="D38" s="231">
        <f>ROUNDUP('ITEM CRAFT'!E37,1)</f>
        <v>51.9</v>
      </c>
      <c r="E38" s="230" t="s">
        <v>160</v>
      </c>
      <c r="F38" s="234" t="s">
        <v>156</v>
      </c>
      <c r="G38" s="235" t="s">
        <v>154</v>
      </c>
      <c r="J38" s="235">
        <f t="shared" si="0"/>
        <v>3.8000000000000003</v>
      </c>
      <c r="K38" s="236">
        <f t="shared" si="1"/>
        <v>2</v>
      </c>
    </row>
    <row r="39" spans="1:11" s="235" customFormat="1" ht="14.25" customHeight="1" x14ac:dyDescent="0.25">
      <c r="A39" s="232" t="s">
        <v>262</v>
      </c>
      <c r="B39" s="233" t="s">
        <v>261</v>
      </c>
      <c r="C39" s="230">
        <f>ROUNDUP('ITEM CRAFT'!E38/7,1)</f>
        <v>12.6</v>
      </c>
      <c r="D39" s="231">
        <f>ROUNDUP('ITEM CRAFT'!E38,1)</f>
        <v>88.199999999999989</v>
      </c>
      <c r="E39" s="230" t="s">
        <v>160</v>
      </c>
      <c r="F39" s="234" t="s">
        <v>156</v>
      </c>
      <c r="G39" s="235" t="s">
        <v>154</v>
      </c>
      <c r="J39" s="235">
        <f t="shared" si="0"/>
        <v>6.3</v>
      </c>
      <c r="K39" s="236">
        <f t="shared" si="1"/>
        <v>2</v>
      </c>
    </row>
    <row r="40" spans="1:11" s="235" customFormat="1" ht="14.25" customHeight="1" x14ac:dyDescent="0.25">
      <c r="A40" s="232" t="s">
        <v>264</v>
      </c>
      <c r="B40" s="233" t="s">
        <v>263</v>
      </c>
      <c r="C40" s="230">
        <f>ROUNDUP('ITEM CRAFT'!E39/7,1)</f>
        <v>7.5</v>
      </c>
      <c r="D40" s="231">
        <f>ROUNDUP('ITEM CRAFT'!E39,1)</f>
        <v>51.9</v>
      </c>
      <c r="E40" s="230" t="s">
        <v>160</v>
      </c>
      <c r="F40" s="234" t="s">
        <v>156</v>
      </c>
      <c r="G40" s="235" t="s">
        <v>154</v>
      </c>
      <c r="J40" s="235">
        <f t="shared" si="0"/>
        <v>3.8000000000000003</v>
      </c>
      <c r="K40" s="236">
        <f t="shared" si="1"/>
        <v>2</v>
      </c>
    </row>
    <row r="41" spans="1:11" s="235" customFormat="1" ht="14.25" customHeight="1" x14ac:dyDescent="0.25">
      <c r="A41" s="232" t="s">
        <v>265</v>
      </c>
      <c r="B41" s="233" t="s">
        <v>211</v>
      </c>
      <c r="C41" s="230">
        <f>ROUNDUP('ITEM CRAFT'!E40/7,1)</f>
        <v>5.3</v>
      </c>
      <c r="D41" s="231">
        <f>ROUNDUP('ITEM CRAFT'!E40,1)</f>
        <v>36.800000000000004</v>
      </c>
      <c r="E41" s="230" t="s">
        <v>160</v>
      </c>
      <c r="F41" s="234" t="s">
        <v>156</v>
      </c>
      <c r="G41" s="235" t="s">
        <v>154</v>
      </c>
      <c r="J41" s="235">
        <f t="shared" si="0"/>
        <v>2.7</v>
      </c>
      <c r="K41" s="236">
        <f t="shared" si="1"/>
        <v>2</v>
      </c>
    </row>
    <row r="42" spans="1:11" s="235" customFormat="1" ht="14.25" customHeight="1" x14ac:dyDescent="0.25">
      <c r="A42" s="232" t="s">
        <v>267</v>
      </c>
      <c r="B42" s="233" t="s">
        <v>266</v>
      </c>
      <c r="C42" s="230">
        <f>ROUNDUP('ITEM CRAFT'!E41/7,1)</f>
        <v>9.2999999999999989</v>
      </c>
      <c r="D42" s="231">
        <f>ROUNDUP('ITEM CRAFT'!E41,1)</f>
        <v>64.8</v>
      </c>
      <c r="E42" s="230" t="s">
        <v>160</v>
      </c>
      <c r="F42" s="234" t="s">
        <v>156</v>
      </c>
      <c r="G42" s="235" t="s">
        <v>154</v>
      </c>
      <c r="J42" s="235">
        <f t="shared" si="0"/>
        <v>4.6999999999999993</v>
      </c>
      <c r="K42" s="236">
        <f t="shared" si="1"/>
        <v>2</v>
      </c>
    </row>
    <row r="43" spans="1:11" s="235" customFormat="1" ht="14.25" customHeight="1" x14ac:dyDescent="0.25">
      <c r="A43" s="232" t="s">
        <v>268</v>
      </c>
      <c r="B43" s="233" t="s">
        <v>212</v>
      </c>
      <c r="C43" s="230">
        <f>ROUNDUP('ITEM CRAFT'!E42/7,1)</f>
        <v>7.5</v>
      </c>
      <c r="D43" s="231">
        <f>ROUNDUP('ITEM CRAFT'!E42,1)</f>
        <v>51.9</v>
      </c>
      <c r="E43" s="230" t="s">
        <v>160</v>
      </c>
      <c r="F43" s="234" t="s">
        <v>156</v>
      </c>
      <c r="G43" s="235" t="s">
        <v>154</v>
      </c>
      <c r="J43" s="235">
        <f t="shared" si="0"/>
        <v>3.8000000000000003</v>
      </c>
      <c r="K43" s="236">
        <f t="shared" si="1"/>
        <v>2</v>
      </c>
    </row>
    <row r="44" spans="1:11" s="235" customFormat="1" ht="14.25" customHeight="1" x14ac:dyDescent="0.25">
      <c r="A44" s="232" t="s">
        <v>269</v>
      </c>
      <c r="B44" s="233" t="s">
        <v>213</v>
      </c>
      <c r="C44" s="230">
        <f>ROUNDUP('ITEM CRAFT'!E43/7,1)</f>
        <v>7.5</v>
      </c>
      <c r="D44" s="231">
        <f>ROUNDUP('ITEM CRAFT'!E43,1)</f>
        <v>51.9</v>
      </c>
      <c r="E44" s="230" t="s">
        <v>160</v>
      </c>
      <c r="F44" s="234" t="s">
        <v>156</v>
      </c>
      <c r="G44" s="235" t="s">
        <v>154</v>
      </c>
      <c r="J44" s="235">
        <f t="shared" si="0"/>
        <v>3.8000000000000003</v>
      </c>
      <c r="K44" s="236">
        <f t="shared" si="1"/>
        <v>2</v>
      </c>
    </row>
    <row r="45" spans="1:11" s="235" customFormat="1" ht="14.25" customHeight="1" x14ac:dyDescent="0.25">
      <c r="A45" s="232" t="s">
        <v>270</v>
      </c>
      <c r="B45" s="233" t="s">
        <v>214</v>
      </c>
      <c r="C45" s="230">
        <f>ROUNDUP('ITEM CRAFT'!E44/7,1)</f>
        <v>10</v>
      </c>
      <c r="D45" s="231">
        <f>ROUNDUP('ITEM CRAFT'!E44,1)</f>
        <v>70</v>
      </c>
      <c r="E45" s="230" t="s">
        <v>160</v>
      </c>
      <c r="F45" s="234" t="s">
        <v>156</v>
      </c>
      <c r="G45" s="235" t="s">
        <v>154</v>
      </c>
      <c r="J45" s="235">
        <f t="shared" si="0"/>
        <v>5</v>
      </c>
      <c r="K45" s="236">
        <f t="shared" si="1"/>
        <v>2</v>
      </c>
    </row>
    <row r="46" spans="1:11" s="235" customFormat="1" ht="14.25" customHeight="1" x14ac:dyDescent="0.25">
      <c r="A46" s="232" t="s">
        <v>271</v>
      </c>
      <c r="B46" s="233" t="s">
        <v>215</v>
      </c>
      <c r="C46" s="230">
        <f>ROUNDUP('ITEM CRAFT'!E45/7,1)</f>
        <v>7.5</v>
      </c>
      <c r="D46" s="231">
        <f>ROUNDUP('ITEM CRAFT'!E45,1)</f>
        <v>51.9</v>
      </c>
      <c r="E46" s="230" t="s">
        <v>160</v>
      </c>
      <c r="F46" s="234" t="s">
        <v>156</v>
      </c>
      <c r="G46" s="235" t="s">
        <v>154</v>
      </c>
      <c r="J46" s="235">
        <f t="shared" si="0"/>
        <v>3.8000000000000003</v>
      </c>
      <c r="K46" s="236">
        <f t="shared" si="1"/>
        <v>2</v>
      </c>
    </row>
    <row r="47" spans="1:11" s="235" customFormat="1" ht="14.25" customHeight="1" x14ac:dyDescent="0.25">
      <c r="A47" s="232" t="s">
        <v>273</v>
      </c>
      <c r="B47" s="233" t="s">
        <v>272</v>
      </c>
      <c r="C47" s="230">
        <f>ROUNDUP('ITEM CRAFT'!E46/7,1)</f>
        <v>7.5</v>
      </c>
      <c r="D47" s="231">
        <f>ROUNDUP('ITEM CRAFT'!E46,1)</f>
        <v>51.9</v>
      </c>
      <c r="E47" s="230" t="s">
        <v>160</v>
      </c>
      <c r="F47" s="234" t="s">
        <v>156</v>
      </c>
      <c r="G47" s="235" t="s">
        <v>154</v>
      </c>
      <c r="J47" s="235">
        <f t="shared" si="0"/>
        <v>3.8000000000000003</v>
      </c>
      <c r="K47" s="236">
        <f t="shared" si="1"/>
        <v>2</v>
      </c>
    </row>
    <row r="48" spans="1:11" s="235" customFormat="1" ht="14.25" customHeight="1" x14ac:dyDescent="0.25">
      <c r="A48" s="232" t="s">
        <v>275</v>
      </c>
      <c r="B48" s="233" t="s">
        <v>274</v>
      </c>
      <c r="C48" s="230">
        <f>ROUNDUP('ITEM CRAFT'!E47/7,1)</f>
        <v>5.3</v>
      </c>
      <c r="D48" s="231">
        <f>ROUNDUP('ITEM CRAFT'!E47,1)</f>
        <v>36.800000000000004</v>
      </c>
      <c r="E48" s="230" t="s">
        <v>160</v>
      </c>
      <c r="F48" s="234" t="s">
        <v>156</v>
      </c>
      <c r="G48" s="235" t="s">
        <v>154</v>
      </c>
      <c r="J48" s="235">
        <f t="shared" si="0"/>
        <v>2.7</v>
      </c>
      <c r="K48" s="236">
        <f t="shared" si="1"/>
        <v>2</v>
      </c>
    </row>
    <row r="49" spans="1:11" s="235" customFormat="1" ht="14.25" customHeight="1" x14ac:dyDescent="0.25">
      <c r="A49" s="232" t="s">
        <v>277</v>
      </c>
      <c r="B49" s="233" t="s">
        <v>276</v>
      </c>
      <c r="C49" s="230">
        <f>ROUNDUP('ITEM CRAFT'!E48/7,1)</f>
        <v>5.3</v>
      </c>
      <c r="D49" s="231">
        <f>ROUNDUP('ITEM CRAFT'!E48,1)</f>
        <v>36.800000000000004</v>
      </c>
      <c r="E49" s="230" t="s">
        <v>160</v>
      </c>
      <c r="F49" s="234" t="s">
        <v>156</v>
      </c>
      <c r="G49" s="235" t="s">
        <v>154</v>
      </c>
      <c r="J49" s="235">
        <f t="shared" si="0"/>
        <v>2.7</v>
      </c>
      <c r="K49" s="236">
        <f t="shared" si="1"/>
        <v>2</v>
      </c>
    </row>
    <row r="50" spans="1:11" s="235" customFormat="1" ht="14.25" customHeight="1" x14ac:dyDescent="0.25">
      <c r="A50" s="232" t="s">
        <v>279</v>
      </c>
      <c r="B50" s="233" t="s">
        <v>278</v>
      </c>
      <c r="C50" s="230">
        <f>ROUNDUP('ITEM CRAFT'!E49/7,1)</f>
        <v>5.3</v>
      </c>
      <c r="D50" s="231">
        <f>ROUNDUP('ITEM CRAFT'!E49,1)</f>
        <v>36.800000000000004</v>
      </c>
      <c r="E50" s="230" t="s">
        <v>160</v>
      </c>
      <c r="F50" s="234" t="s">
        <v>156</v>
      </c>
      <c r="G50" s="235" t="s">
        <v>154</v>
      </c>
      <c r="J50" s="235">
        <f t="shared" si="0"/>
        <v>2.7</v>
      </c>
      <c r="K50" s="236">
        <f t="shared" si="1"/>
        <v>2</v>
      </c>
    </row>
    <row r="51" spans="1:11" s="235" customFormat="1" ht="14.25" customHeight="1" x14ac:dyDescent="0.25">
      <c r="A51" s="232" t="s">
        <v>281</v>
      </c>
      <c r="B51" s="233" t="s">
        <v>280</v>
      </c>
      <c r="C51" s="230">
        <f>ROUNDUP('ITEM CRAFT'!E50/7,1)</f>
        <v>5.3</v>
      </c>
      <c r="D51" s="231">
        <f>ROUNDUP('ITEM CRAFT'!E50,1)</f>
        <v>36.800000000000004</v>
      </c>
      <c r="E51" s="230" t="s">
        <v>160</v>
      </c>
      <c r="F51" s="234" t="s">
        <v>156</v>
      </c>
      <c r="G51" s="235" t="s">
        <v>154</v>
      </c>
      <c r="J51" s="235">
        <f t="shared" si="0"/>
        <v>2.7</v>
      </c>
      <c r="K51" s="236">
        <f t="shared" si="1"/>
        <v>2</v>
      </c>
    </row>
    <row r="52" spans="1:11" s="235" customFormat="1" ht="14.25" customHeight="1" x14ac:dyDescent="0.25">
      <c r="A52" s="232" t="s">
        <v>283</v>
      </c>
      <c r="B52" s="233" t="s">
        <v>282</v>
      </c>
      <c r="C52" s="230">
        <f>ROUNDUP('ITEM CRAFT'!E51/7,1)</f>
        <v>5.3</v>
      </c>
      <c r="D52" s="231">
        <f>ROUNDUP('ITEM CRAFT'!E51,1)</f>
        <v>36.800000000000004</v>
      </c>
      <c r="E52" s="230" t="s">
        <v>160</v>
      </c>
      <c r="F52" s="234" t="s">
        <v>156</v>
      </c>
      <c r="G52" s="235" t="s">
        <v>154</v>
      </c>
      <c r="J52" s="235">
        <f t="shared" si="0"/>
        <v>2.7</v>
      </c>
      <c r="K52" s="236">
        <f t="shared" si="1"/>
        <v>2</v>
      </c>
    </row>
    <row r="53" spans="1:11" s="217" customFormat="1" ht="14.25" customHeight="1" x14ac:dyDescent="0.25">
      <c r="A53" s="214">
        <v>37</v>
      </c>
      <c r="B53" s="215" t="s">
        <v>284</v>
      </c>
      <c r="C53" s="213">
        <f>ROUNDUP('ITEM CRAFT'!E52/7,1)</f>
        <v>1.1000000000000001</v>
      </c>
      <c r="D53" s="65">
        <f>ROUNDUP('ITEM CRAFT'!E52,1)</f>
        <v>7.5</v>
      </c>
      <c r="E53" s="213" t="s">
        <v>151</v>
      </c>
      <c r="F53" s="216" t="s">
        <v>153</v>
      </c>
      <c r="G53" s="217" t="s">
        <v>154</v>
      </c>
      <c r="J53" s="217">
        <f t="shared" si="0"/>
        <v>0.6</v>
      </c>
      <c r="K53" s="58">
        <f t="shared" si="1"/>
        <v>2</v>
      </c>
    </row>
    <row r="54" spans="1:11" s="217" customFormat="1" ht="14.25" customHeight="1" x14ac:dyDescent="0.25">
      <c r="A54" s="214">
        <v>38</v>
      </c>
      <c r="B54" s="215" t="s">
        <v>285</v>
      </c>
      <c r="C54" s="213">
        <f>ROUNDUP('ITEM CRAFT'!E53/7,1)</f>
        <v>1.1000000000000001</v>
      </c>
      <c r="D54" s="65">
        <f>ROUNDUP('ITEM CRAFT'!E53,1)</f>
        <v>7.5</v>
      </c>
      <c r="E54" s="213" t="s">
        <v>151</v>
      </c>
      <c r="F54" s="216" t="s">
        <v>153</v>
      </c>
      <c r="G54" s="217" t="s">
        <v>154</v>
      </c>
      <c r="J54" s="217">
        <f t="shared" si="0"/>
        <v>0.6</v>
      </c>
      <c r="K54" s="58">
        <f t="shared" si="1"/>
        <v>2</v>
      </c>
    </row>
    <row r="55" spans="1:11" s="217" customFormat="1" ht="14.25" customHeight="1" x14ac:dyDescent="0.25">
      <c r="A55" s="214" t="s">
        <v>287</v>
      </c>
      <c r="B55" s="215" t="s">
        <v>286</v>
      </c>
      <c r="C55" s="213">
        <f>ROUNDUP('ITEM CRAFT'!E54/7,1)</f>
        <v>1.1000000000000001</v>
      </c>
      <c r="D55" s="65">
        <f>ROUNDUP('ITEM CRAFT'!E54,1)</f>
        <v>7.5</v>
      </c>
      <c r="E55" s="213" t="s">
        <v>151</v>
      </c>
      <c r="F55" s="216" t="s">
        <v>153</v>
      </c>
      <c r="G55" s="217" t="s">
        <v>154</v>
      </c>
      <c r="J55" s="217">
        <f t="shared" si="0"/>
        <v>0.6</v>
      </c>
      <c r="K55" s="58">
        <f t="shared" si="1"/>
        <v>2</v>
      </c>
    </row>
    <row r="56" spans="1:11" s="217" customFormat="1" ht="14.25" customHeight="1" x14ac:dyDescent="0.25">
      <c r="A56" s="214" t="s">
        <v>289</v>
      </c>
      <c r="B56" s="215" t="s">
        <v>288</v>
      </c>
      <c r="C56" s="213">
        <f>ROUNDUP('ITEM CRAFT'!E55/7,1)</f>
        <v>1.1000000000000001</v>
      </c>
      <c r="D56" s="65">
        <f>ROUNDUP('ITEM CRAFT'!E55,1)</f>
        <v>7.5</v>
      </c>
      <c r="E56" s="213" t="s">
        <v>151</v>
      </c>
      <c r="F56" s="216" t="s">
        <v>153</v>
      </c>
      <c r="G56" s="217" t="s">
        <v>154</v>
      </c>
      <c r="J56" s="217">
        <f t="shared" si="0"/>
        <v>0.6</v>
      </c>
      <c r="K56" s="58">
        <f t="shared" si="1"/>
        <v>2</v>
      </c>
    </row>
    <row r="57" spans="1:11" s="217" customFormat="1" ht="14.25" customHeight="1" x14ac:dyDescent="0.25">
      <c r="A57" s="214" t="s">
        <v>291</v>
      </c>
      <c r="B57" s="215" t="s">
        <v>290</v>
      </c>
      <c r="C57" s="213">
        <f>ROUNDUP('ITEM CRAFT'!E56/7,1)</f>
        <v>1.1000000000000001</v>
      </c>
      <c r="D57" s="65">
        <f>ROUNDUP('ITEM CRAFT'!E56,1)</f>
        <v>7.5</v>
      </c>
      <c r="E57" s="213" t="s">
        <v>151</v>
      </c>
      <c r="F57" s="216" t="s">
        <v>153</v>
      </c>
      <c r="G57" s="217" t="s">
        <v>154</v>
      </c>
      <c r="J57" s="217">
        <f t="shared" si="0"/>
        <v>0.6</v>
      </c>
      <c r="K57" s="58">
        <f t="shared" si="1"/>
        <v>2</v>
      </c>
    </row>
    <row r="58" spans="1:11" s="217" customFormat="1" ht="14.25" customHeight="1" x14ac:dyDescent="0.25">
      <c r="A58" s="214" t="s">
        <v>293</v>
      </c>
      <c r="B58" s="215" t="s">
        <v>292</v>
      </c>
      <c r="C58" s="213">
        <f>ROUNDUP('ITEM CRAFT'!E57/7,1)</f>
        <v>1.1000000000000001</v>
      </c>
      <c r="D58" s="65">
        <f>ROUNDUP('ITEM CRAFT'!E57,1)</f>
        <v>7.5</v>
      </c>
      <c r="E58" s="213" t="s">
        <v>151</v>
      </c>
      <c r="F58" s="216" t="s">
        <v>153</v>
      </c>
      <c r="G58" s="217" t="s">
        <v>154</v>
      </c>
      <c r="J58" s="217">
        <f t="shared" si="0"/>
        <v>0.6</v>
      </c>
      <c r="K58" s="58">
        <f t="shared" si="1"/>
        <v>2</v>
      </c>
    </row>
    <row r="59" spans="1:11" s="217" customFormat="1" ht="14.25" customHeight="1" x14ac:dyDescent="0.25">
      <c r="A59" s="214" t="s">
        <v>295</v>
      </c>
      <c r="B59" s="215" t="s">
        <v>294</v>
      </c>
      <c r="C59" s="213">
        <f>ROUNDUP('ITEM CRAFT'!E58/7,1)</f>
        <v>1.1000000000000001</v>
      </c>
      <c r="D59" s="65">
        <f>ROUNDUP('ITEM CRAFT'!E58,1)</f>
        <v>7.5</v>
      </c>
      <c r="E59" s="213" t="s">
        <v>151</v>
      </c>
      <c r="F59" s="216" t="s">
        <v>153</v>
      </c>
      <c r="G59" s="217" t="s">
        <v>154</v>
      </c>
      <c r="J59" s="217">
        <f t="shared" si="0"/>
        <v>0.6</v>
      </c>
      <c r="K59" s="58">
        <f t="shared" si="1"/>
        <v>2</v>
      </c>
    </row>
    <row r="60" spans="1:11" s="217" customFormat="1" ht="14.25" customHeight="1" x14ac:dyDescent="0.25">
      <c r="A60" s="214" t="s">
        <v>297</v>
      </c>
      <c r="B60" s="215" t="s">
        <v>296</v>
      </c>
      <c r="C60" s="213">
        <f>ROUNDUP('ITEM CRAFT'!E59/7,1)</f>
        <v>1.1000000000000001</v>
      </c>
      <c r="D60" s="65">
        <f>ROUNDUP('ITEM CRAFT'!E59,1)</f>
        <v>7.5</v>
      </c>
      <c r="E60" s="213" t="s">
        <v>151</v>
      </c>
      <c r="F60" s="216" t="s">
        <v>153</v>
      </c>
      <c r="G60" s="217" t="s">
        <v>154</v>
      </c>
      <c r="J60" s="217">
        <f t="shared" si="0"/>
        <v>0.6</v>
      </c>
      <c r="K60" s="58">
        <f t="shared" si="1"/>
        <v>2</v>
      </c>
    </row>
    <row r="61" spans="1:11" s="217" customFormat="1" ht="14.25" customHeight="1" x14ac:dyDescent="0.25">
      <c r="A61" s="214" t="s">
        <v>299</v>
      </c>
      <c r="B61" s="215" t="s">
        <v>298</v>
      </c>
      <c r="C61" s="213">
        <f>ROUNDUP('ITEM CRAFT'!E60/7,1)</f>
        <v>1.1000000000000001</v>
      </c>
      <c r="D61" s="65">
        <f>ROUNDUP('ITEM CRAFT'!E60,1)</f>
        <v>7.5</v>
      </c>
      <c r="E61" s="213" t="s">
        <v>151</v>
      </c>
      <c r="F61" s="216" t="s">
        <v>153</v>
      </c>
      <c r="G61" s="217" t="s">
        <v>154</v>
      </c>
      <c r="J61" s="217">
        <f t="shared" si="0"/>
        <v>0.6</v>
      </c>
      <c r="K61" s="58">
        <f t="shared" si="1"/>
        <v>2</v>
      </c>
    </row>
    <row r="62" spans="1:11" s="217" customFormat="1" ht="14.25" customHeight="1" x14ac:dyDescent="0.25">
      <c r="A62" s="214" t="s">
        <v>301</v>
      </c>
      <c r="B62" s="215" t="s">
        <v>300</v>
      </c>
      <c r="C62" s="213">
        <f>ROUNDUP('ITEM CRAFT'!E61/7,1)</f>
        <v>1.1000000000000001</v>
      </c>
      <c r="D62" s="65">
        <f>ROUNDUP('ITEM CRAFT'!E61,1)</f>
        <v>7.5</v>
      </c>
      <c r="E62" s="213" t="s">
        <v>151</v>
      </c>
      <c r="F62" s="216" t="s">
        <v>153</v>
      </c>
      <c r="G62" s="217" t="s">
        <v>154</v>
      </c>
      <c r="J62" s="217">
        <f t="shared" si="0"/>
        <v>0.6</v>
      </c>
      <c r="K62" s="58">
        <f t="shared" si="1"/>
        <v>2</v>
      </c>
    </row>
    <row r="63" spans="1:11" s="58" customFormat="1" ht="14.25" customHeight="1" x14ac:dyDescent="0.25">
      <c r="A63" s="214">
        <v>39</v>
      </c>
      <c r="B63" s="215" t="s">
        <v>302</v>
      </c>
      <c r="C63" s="213">
        <f>ROUNDUP('ITEM CRAFT'!E62/7,1)</f>
        <v>134.6</v>
      </c>
      <c r="D63" s="65">
        <f>ROUNDUP('ITEM CRAFT'!E62,1)</f>
        <v>942</v>
      </c>
      <c r="E63" s="213" t="s">
        <v>151</v>
      </c>
      <c r="F63" s="216" t="s">
        <v>153</v>
      </c>
      <c r="G63" s="217" t="s">
        <v>154</v>
      </c>
      <c r="H63" s="217"/>
      <c r="I63" s="217"/>
      <c r="J63" s="217">
        <f t="shared" si="0"/>
        <v>67.3</v>
      </c>
      <c r="K63" s="58">
        <f t="shared" si="1"/>
        <v>2</v>
      </c>
    </row>
    <row r="64" spans="1:11" s="58" customFormat="1" ht="14.25" customHeight="1" x14ac:dyDescent="0.25">
      <c r="A64" s="214">
        <v>40</v>
      </c>
      <c r="B64" s="215" t="s">
        <v>303</v>
      </c>
      <c r="C64" s="213">
        <f>ROUNDUP('ITEM CRAFT'!E63/7,1)</f>
        <v>134.6</v>
      </c>
      <c r="D64" s="65">
        <f>ROUNDUP('ITEM CRAFT'!E63,1)</f>
        <v>942</v>
      </c>
      <c r="E64" s="213" t="s">
        <v>151</v>
      </c>
      <c r="F64" s="216" t="s">
        <v>153</v>
      </c>
      <c r="G64" s="217" t="s">
        <v>154</v>
      </c>
      <c r="H64" s="217"/>
      <c r="I64" s="217"/>
      <c r="J64" s="217">
        <f t="shared" si="0"/>
        <v>67.3</v>
      </c>
      <c r="K64" s="58">
        <f t="shared" si="1"/>
        <v>2</v>
      </c>
    </row>
    <row r="65" spans="1:11" s="247" customFormat="1" ht="14.25" customHeight="1" x14ac:dyDescent="0.25">
      <c r="A65" s="242">
        <v>41</v>
      </c>
      <c r="B65" s="243" t="s">
        <v>304</v>
      </c>
      <c r="C65" s="244">
        <f>ROUNDUP('ITEM CRAFT'!E64/7,1)</f>
        <v>2468.6</v>
      </c>
      <c r="D65" s="245">
        <f>ROUNDUP('ITEM CRAFT'!E64,1)</f>
        <v>17280</v>
      </c>
      <c r="E65" s="244"/>
      <c r="F65" s="246" t="s">
        <v>156</v>
      </c>
      <c r="G65" s="247" t="s">
        <v>154</v>
      </c>
      <c r="J65" s="247">
        <f t="shared" si="0"/>
        <v>1234.3</v>
      </c>
      <c r="K65" s="248">
        <f t="shared" si="1"/>
        <v>2</v>
      </c>
    </row>
    <row r="66" spans="1:11" s="197" customFormat="1" ht="14.25" customHeight="1" x14ac:dyDescent="0.25">
      <c r="A66" s="195">
        <v>42</v>
      </c>
      <c r="B66" s="196" t="s">
        <v>305</v>
      </c>
      <c r="C66" s="194">
        <f>ROUNDUP('ITEM CRAFT'!E65/7,1)</f>
        <v>1234.3</v>
      </c>
      <c r="D66" s="59">
        <f>ROUNDUP('ITEM CRAFT'!E65,1)</f>
        <v>8640</v>
      </c>
      <c r="E66" s="194" t="s">
        <v>152</v>
      </c>
      <c r="F66" s="192" t="s">
        <v>156</v>
      </c>
      <c r="G66" s="197" t="s">
        <v>154</v>
      </c>
      <c r="J66" s="197">
        <f t="shared" si="0"/>
        <v>617.20000000000005</v>
      </c>
      <c r="K66" s="191">
        <f t="shared" si="1"/>
        <v>2</v>
      </c>
    </row>
    <row r="67" spans="1:11" s="197" customFormat="1" ht="14.25" customHeight="1" x14ac:dyDescent="0.25">
      <c r="A67" s="195">
        <v>44</v>
      </c>
      <c r="B67" s="196" t="s">
        <v>306</v>
      </c>
      <c r="C67" s="194">
        <f>ROUNDUP('ITEM CRAFT'!E66/7,1)</f>
        <v>0.4</v>
      </c>
      <c r="D67" s="59">
        <f>ROUNDUP('ITEM CRAFT'!E66,1)</f>
        <v>2.2000000000000002</v>
      </c>
      <c r="E67" s="194" t="s">
        <v>152</v>
      </c>
      <c r="F67" s="192" t="s">
        <v>156</v>
      </c>
      <c r="G67" s="197" t="s">
        <v>154</v>
      </c>
      <c r="J67" s="197">
        <f t="shared" si="0"/>
        <v>0.2</v>
      </c>
      <c r="K67" s="191">
        <f t="shared" si="1"/>
        <v>2</v>
      </c>
    </row>
    <row r="68" spans="1:11" s="197" customFormat="1" ht="14.25" customHeight="1" x14ac:dyDescent="0.25">
      <c r="A68" s="195" t="s">
        <v>308</v>
      </c>
      <c r="B68" s="196" t="s">
        <v>307</v>
      </c>
      <c r="C68" s="194">
        <f>ROUNDUP('ITEM CRAFT'!E67/7,1)</f>
        <v>4.5999999999999996</v>
      </c>
      <c r="D68" s="59">
        <f>ROUNDUP('ITEM CRAFT'!E67,1)</f>
        <v>31.700000000000003</v>
      </c>
      <c r="E68" s="194" t="s">
        <v>152</v>
      </c>
      <c r="F68" s="192" t="s">
        <v>156</v>
      </c>
      <c r="G68" s="197" t="s">
        <v>154</v>
      </c>
      <c r="J68" s="197">
        <f t="shared" ref="J68:J129" si="2">ROUNDUP(C68/K68,1)</f>
        <v>2.2999999999999998</v>
      </c>
      <c r="K68" s="191">
        <f t="shared" si="1"/>
        <v>2</v>
      </c>
    </row>
    <row r="69" spans="1:11" s="205" customFormat="1" ht="14.25" customHeight="1" x14ac:dyDescent="0.25">
      <c r="A69" s="206" t="s">
        <v>310</v>
      </c>
      <c r="B69" s="207" t="s">
        <v>309</v>
      </c>
      <c r="C69" s="201">
        <f>ROUNDUP('ITEM CRAFT'!E68/7,1)</f>
        <v>0.4</v>
      </c>
      <c r="D69" s="63">
        <f>ROUNDUP('ITEM CRAFT'!E68,1)</f>
        <v>2.6</v>
      </c>
      <c r="E69" s="201" t="s">
        <v>150</v>
      </c>
      <c r="F69" s="204" t="s">
        <v>156</v>
      </c>
      <c r="G69" s="205" t="s">
        <v>154</v>
      </c>
      <c r="J69" s="205">
        <f t="shared" si="2"/>
        <v>0.2</v>
      </c>
      <c r="K69" s="56">
        <f t="shared" si="1"/>
        <v>2</v>
      </c>
    </row>
    <row r="70" spans="1:11" s="197" customFormat="1" ht="14.25" customHeight="1" x14ac:dyDescent="0.25">
      <c r="A70" s="195" t="s">
        <v>312</v>
      </c>
      <c r="B70" s="196" t="s">
        <v>311</v>
      </c>
      <c r="C70" s="194">
        <f>ROUNDUP('ITEM CRAFT'!E69/7,1)</f>
        <v>0.30000000000000004</v>
      </c>
      <c r="D70" s="59">
        <f>ROUNDUP('ITEM CRAFT'!E69,1)</f>
        <v>1.8</v>
      </c>
      <c r="E70" s="194" t="s">
        <v>152</v>
      </c>
      <c r="F70" s="192" t="s">
        <v>156</v>
      </c>
      <c r="G70" s="197" t="s">
        <v>154</v>
      </c>
      <c r="J70" s="197">
        <f t="shared" si="2"/>
        <v>0.2</v>
      </c>
      <c r="K70" s="191">
        <f t="shared" si="1"/>
        <v>2</v>
      </c>
    </row>
    <row r="71" spans="1:11" s="197" customFormat="1" ht="14.25" customHeight="1" x14ac:dyDescent="0.25">
      <c r="A71" s="195" t="s">
        <v>314</v>
      </c>
      <c r="B71" s="196" t="s">
        <v>313</v>
      </c>
      <c r="C71" s="194">
        <f>ROUNDUP('ITEM CRAFT'!E70/7,1)</f>
        <v>7.5</v>
      </c>
      <c r="D71" s="59">
        <f>ROUNDUP('ITEM CRAFT'!E70,1)</f>
        <v>51.9</v>
      </c>
      <c r="E71" s="194" t="s">
        <v>152</v>
      </c>
      <c r="F71" s="192" t="s">
        <v>156</v>
      </c>
      <c r="G71" s="197" t="s">
        <v>154</v>
      </c>
      <c r="J71" s="197">
        <f t="shared" si="2"/>
        <v>3.8000000000000003</v>
      </c>
      <c r="K71" s="191">
        <f t="shared" ref="K71:K133" si="3">COUNTIF(F71:I71,"*")</f>
        <v>2</v>
      </c>
    </row>
    <row r="72" spans="1:11" s="197" customFormat="1" ht="14.25" customHeight="1" x14ac:dyDescent="0.25">
      <c r="A72" s="195" t="s">
        <v>316</v>
      </c>
      <c r="B72" s="196" t="s">
        <v>315</v>
      </c>
      <c r="C72" s="194">
        <f>ROUNDUP('ITEM CRAFT'!E71/7,1)</f>
        <v>0.4</v>
      </c>
      <c r="D72" s="59">
        <f>ROUNDUP('ITEM CRAFT'!E71,1)</f>
        <v>2.6</v>
      </c>
      <c r="E72" s="194" t="s">
        <v>152</v>
      </c>
      <c r="F72" s="192" t="s">
        <v>156</v>
      </c>
      <c r="G72" s="197" t="s">
        <v>154</v>
      </c>
      <c r="J72" s="197">
        <f t="shared" si="2"/>
        <v>0.2</v>
      </c>
      <c r="K72" s="191">
        <f t="shared" si="3"/>
        <v>2</v>
      </c>
    </row>
    <row r="73" spans="1:11" s="197" customFormat="1" ht="14.25" customHeight="1" x14ac:dyDescent="0.25">
      <c r="A73" s="195" t="s">
        <v>318</v>
      </c>
      <c r="B73" s="196" t="s">
        <v>317</v>
      </c>
      <c r="C73" s="194">
        <f>ROUNDUP('ITEM CRAFT'!E72/7,1)</f>
        <v>11.4</v>
      </c>
      <c r="D73" s="59">
        <f>ROUNDUP('ITEM CRAFT'!E72,1)</f>
        <v>79.5</v>
      </c>
      <c r="E73" s="194" t="s">
        <v>152</v>
      </c>
      <c r="F73" s="192" t="s">
        <v>156</v>
      </c>
      <c r="G73" s="197" t="s">
        <v>154</v>
      </c>
      <c r="J73" s="197">
        <f t="shared" si="2"/>
        <v>5.7</v>
      </c>
      <c r="K73" s="191">
        <f t="shared" si="3"/>
        <v>2</v>
      </c>
    </row>
    <row r="74" spans="1:11" s="197" customFormat="1" ht="14.25" customHeight="1" x14ac:dyDescent="0.25">
      <c r="A74" s="195" t="s">
        <v>320</v>
      </c>
      <c r="B74" s="196" t="s">
        <v>319</v>
      </c>
      <c r="C74" s="194">
        <f>ROUNDUP('ITEM CRAFT'!E73/7,1)</f>
        <v>7.8999999999999995</v>
      </c>
      <c r="D74" s="59">
        <f>ROUNDUP('ITEM CRAFT'!E73,1)</f>
        <v>54.800000000000004</v>
      </c>
      <c r="E74" s="194" t="s">
        <v>152</v>
      </c>
      <c r="F74" s="192" t="s">
        <v>156</v>
      </c>
      <c r="G74" s="197" t="s">
        <v>154</v>
      </c>
      <c r="J74" s="197">
        <f t="shared" si="2"/>
        <v>4</v>
      </c>
      <c r="K74" s="191">
        <f t="shared" si="3"/>
        <v>2</v>
      </c>
    </row>
    <row r="75" spans="1:11" s="197" customFormat="1" ht="14.25" customHeight="1" x14ac:dyDescent="0.25">
      <c r="A75" s="195">
        <v>45</v>
      </c>
      <c r="B75" s="196" t="s">
        <v>321</v>
      </c>
      <c r="C75" s="194">
        <f>ROUNDUP('ITEM CRAFT'!E74/7,1)</f>
        <v>12.4</v>
      </c>
      <c r="D75" s="59">
        <f>ROUNDUP('ITEM CRAFT'!E74,1)</f>
        <v>86.4</v>
      </c>
      <c r="E75" s="194" t="s">
        <v>152</v>
      </c>
      <c r="F75" s="192" t="s">
        <v>156</v>
      </c>
      <c r="G75" s="197" t="s">
        <v>154</v>
      </c>
      <c r="J75" s="197">
        <f t="shared" si="2"/>
        <v>6.2</v>
      </c>
      <c r="K75" s="191">
        <f t="shared" si="3"/>
        <v>2</v>
      </c>
    </row>
    <row r="76" spans="1:11" s="197" customFormat="1" ht="14.25" customHeight="1" x14ac:dyDescent="0.25">
      <c r="A76" s="195">
        <v>46</v>
      </c>
      <c r="B76" s="196" t="s">
        <v>322</v>
      </c>
      <c r="C76" s="194">
        <f>ROUNDUP('ITEM CRAFT'!E75/7,1)</f>
        <v>20.399999999999999</v>
      </c>
      <c r="D76" s="59">
        <f>ROUNDUP('ITEM CRAFT'!E75,1)</f>
        <v>142.80000000000001</v>
      </c>
      <c r="E76" s="194" t="s">
        <v>152</v>
      </c>
      <c r="F76" s="192" t="s">
        <v>156</v>
      </c>
      <c r="G76" s="197" t="s">
        <v>154</v>
      </c>
      <c r="J76" s="197">
        <f t="shared" si="2"/>
        <v>10.199999999999999</v>
      </c>
      <c r="K76" s="191">
        <f t="shared" si="3"/>
        <v>2</v>
      </c>
    </row>
    <row r="77" spans="1:11" s="205" customFormat="1" ht="14.25" customHeight="1" x14ac:dyDescent="0.25">
      <c r="A77" s="202">
        <v>47</v>
      </c>
      <c r="B77" s="203" t="s">
        <v>323</v>
      </c>
      <c r="C77" s="201">
        <f>ROUNDUP('ITEM CRAFT'!E76/7,1)</f>
        <v>2094.1</v>
      </c>
      <c r="D77" s="63">
        <f>ROUNDUP('ITEM CRAFT'!E76,1)</f>
        <v>14658.7</v>
      </c>
      <c r="E77" s="201" t="s">
        <v>150</v>
      </c>
      <c r="F77" s="204" t="s">
        <v>156</v>
      </c>
      <c r="G77" s="205" t="s">
        <v>154</v>
      </c>
      <c r="J77" s="205">
        <f t="shared" si="2"/>
        <v>1047.0999999999999</v>
      </c>
      <c r="K77" s="56">
        <f t="shared" si="3"/>
        <v>2</v>
      </c>
    </row>
    <row r="78" spans="1:11" s="220" customFormat="1" ht="14.25" customHeight="1" x14ac:dyDescent="0.25">
      <c r="A78" s="195">
        <v>49</v>
      </c>
      <c r="B78" s="196" t="s">
        <v>324</v>
      </c>
      <c r="C78" s="194">
        <f>ROUNDUP('ITEM CRAFT'!E78/7,1)</f>
        <v>3.3000000000000003</v>
      </c>
      <c r="D78" s="59">
        <f>ROUNDUP('ITEM CRAFT'!E78,1)</f>
        <v>23</v>
      </c>
      <c r="E78" s="194" t="s">
        <v>152</v>
      </c>
      <c r="F78" s="221" t="s">
        <v>153</v>
      </c>
      <c r="G78" s="197" t="s">
        <v>154</v>
      </c>
      <c r="H78" s="197"/>
      <c r="I78" s="197"/>
      <c r="J78" s="197">
        <f t="shared" si="2"/>
        <v>1.7000000000000002</v>
      </c>
      <c r="K78" s="220">
        <f t="shared" si="3"/>
        <v>2</v>
      </c>
    </row>
    <row r="79" spans="1:11" s="205" customFormat="1" ht="14.25" customHeight="1" x14ac:dyDescent="0.25">
      <c r="A79" s="202">
        <v>53</v>
      </c>
      <c r="B79" s="203" t="s">
        <v>326</v>
      </c>
      <c r="C79" s="201">
        <f>ROUNDUP('ITEM CRAFT'!E80/7,1)</f>
        <v>0.4</v>
      </c>
      <c r="D79" s="63">
        <f>ROUNDUP('ITEM CRAFT'!E80,1)</f>
        <v>2.2000000000000002</v>
      </c>
      <c r="E79" s="201" t="s">
        <v>150</v>
      </c>
      <c r="F79" s="204" t="s">
        <v>156</v>
      </c>
      <c r="G79" s="205" t="s">
        <v>154</v>
      </c>
      <c r="J79" s="205">
        <f t="shared" si="2"/>
        <v>0.2</v>
      </c>
      <c r="K79" s="56">
        <f t="shared" si="3"/>
        <v>2</v>
      </c>
    </row>
    <row r="80" spans="1:11" s="205" customFormat="1" ht="14.25" customHeight="1" x14ac:dyDescent="0.25">
      <c r="A80" s="202">
        <v>54</v>
      </c>
      <c r="B80" s="203" t="s">
        <v>327</v>
      </c>
      <c r="C80" s="201">
        <f>ROUNDUP('ITEM CRAFT'!E81/7,1)</f>
        <v>1.7000000000000002</v>
      </c>
      <c r="D80" s="63">
        <f>ROUNDUP('ITEM CRAFT'!E81,1)</f>
        <v>11.6</v>
      </c>
      <c r="E80" s="201" t="s">
        <v>150</v>
      </c>
      <c r="F80" s="204" t="s">
        <v>156</v>
      </c>
      <c r="G80" s="205" t="s">
        <v>154</v>
      </c>
      <c r="J80" s="205">
        <f t="shared" si="2"/>
        <v>0.9</v>
      </c>
      <c r="K80" s="56">
        <f t="shared" si="3"/>
        <v>2</v>
      </c>
    </row>
    <row r="81" spans="1:11" s="197" customFormat="1" ht="14.25" customHeight="1" x14ac:dyDescent="0.25">
      <c r="A81" s="195">
        <v>56</v>
      </c>
      <c r="B81" s="196" t="s">
        <v>981</v>
      </c>
      <c r="C81" s="194">
        <f>ROUNDUP(D81/7,1)</f>
        <v>457.20000000000005</v>
      </c>
      <c r="D81" s="59">
        <f>'ECONOMIA &amp; PROFESIONES'!B20</f>
        <v>3200</v>
      </c>
      <c r="E81" s="194" t="s">
        <v>152</v>
      </c>
      <c r="F81" s="221" t="s">
        <v>153</v>
      </c>
      <c r="J81" s="197">
        <f t="shared" si="2"/>
        <v>457.2</v>
      </c>
      <c r="K81" s="220">
        <f t="shared" si="3"/>
        <v>1</v>
      </c>
    </row>
    <row r="82" spans="1:11" s="247" customFormat="1" ht="14.25" customHeight="1" x14ac:dyDescent="0.25">
      <c r="A82" s="242">
        <v>57</v>
      </c>
      <c r="B82" s="243" t="s">
        <v>328</v>
      </c>
      <c r="C82" s="244">
        <f>ROUNDUP('ITEM CRAFT'!E82/7,1)</f>
        <v>4937.2000000000007</v>
      </c>
      <c r="D82" s="245">
        <f>ROUNDUP('ITEM CRAFT'!E82,1)</f>
        <v>34560</v>
      </c>
      <c r="E82" s="244"/>
      <c r="F82" s="246" t="s">
        <v>156</v>
      </c>
      <c r="G82" s="247" t="s">
        <v>154</v>
      </c>
      <c r="J82" s="247">
        <f t="shared" si="2"/>
        <v>2468.6</v>
      </c>
      <c r="K82" s="248">
        <f t="shared" si="3"/>
        <v>2</v>
      </c>
    </row>
    <row r="83" spans="1:11" s="197" customFormat="1" ht="14.25" customHeight="1" x14ac:dyDescent="0.25">
      <c r="A83" s="195">
        <v>61</v>
      </c>
      <c r="B83" s="196" t="s">
        <v>330</v>
      </c>
      <c r="C83" s="194">
        <f>ROUNDUP('ITEM CRAFT'!E84/7,1)</f>
        <v>4.1999999999999993</v>
      </c>
      <c r="D83" s="59">
        <f>ROUNDUP('ITEM CRAFT'!E84,1)</f>
        <v>28.8</v>
      </c>
      <c r="E83" s="194" t="s">
        <v>152</v>
      </c>
      <c r="F83" s="192" t="s">
        <v>156</v>
      </c>
      <c r="G83" s="197" t="s">
        <v>154</v>
      </c>
      <c r="J83" s="197">
        <f t="shared" si="2"/>
        <v>2.1</v>
      </c>
      <c r="K83" s="191">
        <f t="shared" si="3"/>
        <v>2</v>
      </c>
    </row>
    <row r="84" spans="1:11" s="205" customFormat="1" ht="14.25" customHeight="1" x14ac:dyDescent="0.25">
      <c r="A84" s="202">
        <v>65</v>
      </c>
      <c r="B84" s="203" t="s">
        <v>331</v>
      </c>
      <c r="C84" s="201">
        <f>ROUNDUP('ITEM CRAFT'!E85/7,1)</f>
        <v>0.2</v>
      </c>
      <c r="D84" s="63">
        <f>ROUNDUP('ITEM CRAFT'!E85,1)</f>
        <v>1.1000000000000001</v>
      </c>
      <c r="E84" s="201" t="s">
        <v>150</v>
      </c>
      <c r="F84" s="204" t="s">
        <v>156</v>
      </c>
      <c r="G84" s="205" t="s">
        <v>154</v>
      </c>
      <c r="J84" s="205">
        <f t="shared" si="2"/>
        <v>0.1</v>
      </c>
      <c r="K84" s="56">
        <f t="shared" si="3"/>
        <v>2</v>
      </c>
    </row>
    <row r="85" spans="1:11" s="197" customFormat="1" ht="14.25" customHeight="1" x14ac:dyDescent="0.25">
      <c r="A85" s="195">
        <v>66</v>
      </c>
      <c r="B85" s="196" t="s">
        <v>332</v>
      </c>
      <c r="C85" s="194">
        <f>ROUNDUP('ITEM CRAFT'!E86/7,1)</f>
        <v>51.5</v>
      </c>
      <c r="D85" s="59">
        <f>ROUNDUP('ITEM CRAFT'!E86,1)</f>
        <v>360.1</v>
      </c>
      <c r="E85" s="194" t="s">
        <v>152</v>
      </c>
      <c r="F85" s="192" t="s">
        <v>156</v>
      </c>
      <c r="G85" s="197" t="s">
        <v>154</v>
      </c>
      <c r="J85" s="197">
        <f t="shared" si="2"/>
        <v>25.8</v>
      </c>
      <c r="K85" s="191">
        <f t="shared" si="3"/>
        <v>2</v>
      </c>
    </row>
    <row r="86" spans="1:11" s="197" customFormat="1" ht="14.25" customHeight="1" x14ac:dyDescent="0.25">
      <c r="A86" s="195">
        <v>67</v>
      </c>
      <c r="B86" s="196" t="s">
        <v>333</v>
      </c>
      <c r="C86" s="194">
        <f>ROUNDUP('ITEM CRAFT'!E87/7,1)</f>
        <v>0.79999999999999993</v>
      </c>
      <c r="D86" s="59">
        <f>ROUNDUP('ITEM CRAFT'!E87,1)</f>
        <v>5.4</v>
      </c>
      <c r="E86" s="194" t="s">
        <v>152</v>
      </c>
      <c r="F86" s="192" t="s">
        <v>156</v>
      </c>
      <c r="G86" s="197" t="s">
        <v>154</v>
      </c>
      <c r="J86" s="197">
        <f t="shared" si="2"/>
        <v>0.4</v>
      </c>
      <c r="K86" s="191">
        <f t="shared" si="3"/>
        <v>2</v>
      </c>
    </row>
    <row r="87" spans="1:11" s="197" customFormat="1" ht="14.25" customHeight="1" x14ac:dyDescent="0.25">
      <c r="A87" s="195">
        <v>69</v>
      </c>
      <c r="B87" s="196" t="s">
        <v>334</v>
      </c>
      <c r="C87" s="194">
        <f>ROUNDUP('ITEM CRAFT'!E88/7,1)</f>
        <v>0.6</v>
      </c>
      <c r="D87" s="59">
        <f>ROUNDUP('ITEM CRAFT'!E88,1)</f>
        <v>4.0999999999999996</v>
      </c>
      <c r="E87" s="194" t="s">
        <v>152</v>
      </c>
      <c r="F87" s="192" t="s">
        <v>156</v>
      </c>
      <c r="G87" s="197" t="s">
        <v>154</v>
      </c>
      <c r="J87" s="197">
        <f t="shared" si="2"/>
        <v>0.3</v>
      </c>
      <c r="K87" s="191">
        <f t="shared" si="3"/>
        <v>2</v>
      </c>
    </row>
    <row r="88" spans="1:11" s="197" customFormat="1" ht="14.25" customHeight="1" x14ac:dyDescent="0.25">
      <c r="A88" s="195">
        <v>70</v>
      </c>
      <c r="B88" s="196" t="s">
        <v>335</v>
      </c>
      <c r="C88" s="194">
        <f>ROUNDUP('ITEM CRAFT'!E89/7,1)</f>
        <v>1.3</v>
      </c>
      <c r="D88" s="59">
        <f>ROUNDUP('ITEM CRAFT'!E89,1)</f>
        <v>8.6999999999999993</v>
      </c>
      <c r="E88" s="194" t="s">
        <v>152</v>
      </c>
      <c r="F88" s="192" t="s">
        <v>156</v>
      </c>
      <c r="G88" s="197" t="s">
        <v>154</v>
      </c>
      <c r="J88" s="197">
        <f t="shared" si="2"/>
        <v>0.7</v>
      </c>
      <c r="K88" s="191">
        <f t="shared" si="3"/>
        <v>2</v>
      </c>
    </row>
    <row r="89" spans="1:11" s="205" customFormat="1" ht="14.25" customHeight="1" x14ac:dyDescent="0.25">
      <c r="A89" s="202">
        <v>72</v>
      </c>
      <c r="B89" s="203" t="s">
        <v>336</v>
      </c>
      <c r="C89" s="201">
        <f>ROUNDUP('ITEM CRAFT'!E90/7,1)</f>
        <v>0.5</v>
      </c>
      <c r="D89" s="63">
        <f>ROUNDUP('ITEM CRAFT'!E90,1)</f>
        <v>2.9</v>
      </c>
      <c r="E89" s="201" t="s">
        <v>150</v>
      </c>
      <c r="F89" s="204" t="s">
        <v>156</v>
      </c>
      <c r="G89" s="205" t="s">
        <v>154</v>
      </c>
      <c r="J89" s="205">
        <f t="shared" si="2"/>
        <v>0.30000000000000004</v>
      </c>
      <c r="K89" s="56">
        <f t="shared" si="3"/>
        <v>2</v>
      </c>
    </row>
    <row r="90" spans="1:11" s="197" customFormat="1" ht="14.25" customHeight="1" x14ac:dyDescent="0.25">
      <c r="A90" s="198">
        <v>76</v>
      </c>
      <c r="B90" s="199" t="s">
        <v>932</v>
      </c>
      <c r="C90" s="194">
        <f>ROUNDUP('ITEM CRAFT'!E91/7,1)</f>
        <v>2.7</v>
      </c>
      <c r="D90" s="59">
        <f>ROUNDUP('ITEM CRAFT'!E91,1)</f>
        <v>18.5</v>
      </c>
      <c r="E90" s="194" t="s">
        <v>152</v>
      </c>
      <c r="F90" s="192" t="s">
        <v>156</v>
      </c>
      <c r="G90" s="197" t="s">
        <v>154</v>
      </c>
      <c r="J90" s="197">
        <f t="shared" si="2"/>
        <v>1.4000000000000001</v>
      </c>
      <c r="K90" s="191">
        <f t="shared" si="3"/>
        <v>2</v>
      </c>
    </row>
    <row r="91" spans="1:11" s="197" customFormat="1" ht="14.25" customHeight="1" x14ac:dyDescent="0.25">
      <c r="A91" s="195">
        <v>77</v>
      </c>
      <c r="B91" s="196" t="s">
        <v>337</v>
      </c>
      <c r="C91" s="194">
        <f>ROUNDUP('ITEM CRAFT'!E92/7,1)</f>
        <v>0.7</v>
      </c>
      <c r="D91" s="59">
        <f>ROUNDUP('ITEM CRAFT'!E92,1)</f>
        <v>4.3999999999999995</v>
      </c>
      <c r="E91" s="194" t="s">
        <v>152</v>
      </c>
      <c r="F91" s="221" t="s">
        <v>156</v>
      </c>
      <c r="G91" s="197" t="s">
        <v>154</v>
      </c>
      <c r="J91" s="197">
        <f t="shared" si="2"/>
        <v>0.4</v>
      </c>
      <c r="K91" s="220">
        <f t="shared" si="3"/>
        <v>2</v>
      </c>
    </row>
    <row r="92" spans="1:11" s="217" customFormat="1" ht="14.25" customHeight="1" x14ac:dyDescent="0.25">
      <c r="A92" s="214">
        <v>81</v>
      </c>
      <c r="B92" s="215" t="s">
        <v>338</v>
      </c>
      <c r="C92" s="213">
        <f>ROUNDUP('ITEM CRAFT'!E93/7,1)</f>
        <v>1.1000000000000001</v>
      </c>
      <c r="D92" s="65">
        <f>ROUNDUP('ITEM CRAFT'!E93,1)</f>
        <v>7.5</v>
      </c>
      <c r="E92" s="213" t="s">
        <v>151</v>
      </c>
      <c r="F92" s="216" t="s">
        <v>153</v>
      </c>
      <c r="G92" s="217" t="s">
        <v>157</v>
      </c>
      <c r="J92" s="217">
        <f t="shared" si="2"/>
        <v>0.6</v>
      </c>
      <c r="K92" s="58">
        <f t="shared" si="3"/>
        <v>2</v>
      </c>
    </row>
    <row r="93" spans="1:11" s="197" customFormat="1" ht="14.25" customHeight="1" x14ac:dyDescent="0.25">
      <c r="A93" s="195">
        <v>82</v>
      </c>
      <c r="B93" s="196" t="s">
        <v>339</v>
      </c>
      <c r="C93" s="194">
        <f>ROUNDUP('ITEM CRAFT'!E94/7,1)</f>
        <v>10.299999999999999</v>
      </c>
      <c r="D93" s="59">
        <f>ROUNDUP('ITEM CRAFT'!E94,1)</f>
        <v>72</v>
      </c>
      <c r="E93" s="194" t="s">
        <v>152</v>
      </c>
      <c r="F93" s="192" t="s">
        <v>156</v>
      </c>
      <c r="G93" s="197" t="s">
        <v>154</v>
      </c>
      <c r="H93" s="197" t="s">
        <v>157</v>
      </c>
      <c r="J93" s="197">
        <f t="shared" si="2"/>
        <v>3.5</v>
      </c>
      <c r="K93" s="191">
        <f t="shared" si="3"/>
        <v>3</v>
      </c>
    </row>
    <row r="94" spans="1:11" s="205" customFormat="1" ht="14.25" customHeight="1" x14ac:dyDescent="0.25">
      <c r="A94" s="202">
        <v>85</v>
      </c>
      <c r="B94" s="203" t="s">
        <v>340</v>
      </c>
      <c r="C94" s="201">
        <f>ROUNDUP('ITEM CRAFT'!E95/7,1)</f>
        <v>0.4</v>
      </c>
      <c r="D94" s="63">
        <f>ROUNDUP('ITEM CRAFT'!E95,1)</f>
        <v>2.3000000000000003</v>
      </c>
      <c r="E94" s="201" t="s">
        <v>150</v>
      </c>
      <c r="F94" s="204" t="s">
        <v>156</v>
      </c>
      <c r="G94" s="205" t="s">
        <v>154</v>
      </c>
      <c r="J94" s="205">
        <f t="shared" si="2"/>
        <v>0.2</v>
      </c>
      <c r="K94" s="56">
        <f t="shared" si="3"/>
        <v>2</v>
      </c>
    </row>
    <row r="95" spans="1:11" s="217" customFormat="1" ht="14.25" customHeight="1" x14ac:dyDescent="0.25">
      <c r="A95" s="214">
        <v>86</v>
      </c>
      <c r="B95" s="215" t="s">
        <v>341</v>
      </c>
      <c r="C95" s="213">
        <f>ROUNDUP('ITEM CRAFT'!E96/7,1)</f>
        <v>134.6</v>
      </c>
      <c r="D95" s="65">
        <f>ROUNDUP('ITEM CRAFT'!E96,1)</f>
        <v>942</v>
      </c>
      <c r="E95" s="213" t="s">
        <v>151</v>
      </c>
      <c r="F95" s="216" t="s">
        <v>153</v>
      </c>
      <c r="J95" s="217">
        <f t="shared" si="2"/>
        <v>134.6</v>
      </c>
      <c r="K95" s="58">
        <f t="shared" si="3"/>
        <v>1</v>
      </c>
    </row>
    <row r="96" spans="1:11" s="197" customFormat="1" ht="14.25" customHeight="1" x14ac:dyDescent="0.25">
      <c r="A96" s="195">
        <v>87</v>
      </c>
      <c r="B96" s="196" t="s">
        <v>342</v>
      </c>
      <c r="C96" s="194">
        <f>ROUNDUP('ITEM CRAFT'!E97/7,1)</f>
        <v>3.3000000000000003</v>
      </c>
      <c r="D96" s="59">
        <f>ROUNDUP('ITEM CRAFT'!E97,1)</f>
        <v>23</v>
      </c>
      <c r="E96" s="194" t="s">
        <v>152</v>
      </c>
      <c r="F96" s="192" t="s">
        <v>153</v>
      </c>
      <c r="G96" s="197" t="s">
        <v>157</v>
      </c>
      <c r="J96" s="197">
        <f t="shared" si="2"/>
        <v>1.7000000000000002</v>
      </c>
      <c r="K96" s="191">
        <f t="shared" si="3"/>
        <v>2</v>
      </c>
    </row>
    <row r="97" spans="1:11" s="197" customFormat="1" ht="14.25" customHeight="1" x14ac:dyDescent="0.25">
      <c r="A97" s="195">
        <v>89</v>
      </c>
      <c r="B97" s="196" t="s">
        <v>343</v>
      </c>
      <c r="C97" s="194">
        <f>ROUNDUP('ITEM CRAFT'!E98/7,1)</f>
        <v>13.1</v>
      </c>
      <c r="D97" s="59">
        <f>ROUNDUP('ITEM CRAFT'!E98,1)</f>
        <v>91.2</v>
      </c>
      <c r="E97" s="194" t="s">
        <v>152</v>
      </c>
      <c r="F97" s="192" t="s">
        <v>156</v>
      </c>
      <c r="G97" s="197" t="s">
        <v>153</v>
      </c>
      <c r="J97" s="197">
        <f t="shared" si="2"/>
        <v>6.6</v>
      </c>
      <c r="K97" s="191">
        <f t="shared" si="3"/>
        <v>2</v>
      </c>
    </row>
    <row r="98" spans="1:11" s="217" customFormat="1" ht="14.25" customHeight="1" x14ac:dyDescent="0.25">
      <c r="A98" s="214">
        <v>91</v>
      </c>
      <c r="B98" s="215" t="s">
        <v>344</v>
      </c>
      <c r="C98" s="213">
        <f>ROUNDUP('ITEM CRAFT'!E99/7,1)</f>
        <v>161.9</v>
      </c>
      <c r="D98" s="65">
        <f>ROUNDUP('ITEM CRAFT'!E99,1)</f>
        <v>1133.0999999999999</v>
      </c>
      <c r="E98" s="213" t="s">
        <v>151</v>
      </c>
      <c r="F98" s="216" t="s">
        <v>156</v>
      </c>
      <c r="G98" s="217" t="s">
        <v>154</v>
      </c>
      <c r="J98" s="217">
        <f t="shared" si="2"/>
        <v>81</v>
      </c>
      <c r="K98" s="58">
        <f t="shared" si="3"/>
        <v>2</v>
      </c>
    </row>
    <row r="99" spans="1:11" s="197" customFormat="1" ht="14.25" customHeight="1" x14ac:dyDescent="0.25">
      <c r="A99" s="195">
        <v>95</v>
      </c>
      <c r="B99" s="196" t="s">
        <v>345</v>
      </c>
      <c r="C99" s="194">
        <f>ROUNDUP('ITEM CRAFT'!E100/7,1)</f>
        <v>2.5</v>
      </c>
      <c r="D99" s="59">
        <f>ROUNDUP('ITEM CRAFT'!E100,1)</f>
        <v>17.200000000000003</v>
      </c>
      <c r="E99" s="194" t="s">
        <v>152</v>
      </c>
      <c r="F99" s="224" t="s">
        <v>156</v>
      </c>
      <c r="G99" s="197" t="s">
        <v>154</v>
      </c>
      <c r="J99" s="197">
        <f t="shared" si="2"/>
        <v>1.3</v>
      </c>
      <c r="K99" s="223">
        <f t="shared" si="3"/>
        <v>2</v>
      </c>
    </row>
    <row r="100" spans="1:11" s="197" customFormat="1" ht="14.25" customHeight="1" x14ac:dyDescent="0.25">
      <c r="A100" s="195" t="s">
        <v>347</v>
      </c>
      <c r="B100" s="196" t="s">
        <v>346</v>
      </c>
      <c r="C100" s="194">
        <f>ROUNDUP('ITEM CRAFT'!E101/7,1)</f>
        <v>2.8000000000000003</v>
      </c>
      <c r="D100" s="59">
        <f>ROUNDUP('ITEM CRAFT'!E101,1)</f>
        <v>19.100000000000001</v>
      </c>
      <c r="E100" s="194" t="s">
        <v>152</v>
      </c>
      <c r="F100" s="192" t="s">
        <v>156</v>
      </c>
      <c r="G100" s="197" t="s">
        <v>154</v>
      </c>
      <c r="J100" s="197">
        <f t="shared" si="2"/>
        <v>1.4</v>
      </c>
      <c r="K100" s="191">
        <f t="shared" si="3"/>
        <v>2</v>
      </c>
    </row>
    <row r="101" spans="1:11" s="197" customFormat="1" ht="14.25" customHeight="1" x14ac:dyDescent="0.25">
      <c r="A101" s="195" t="s">
        <v>349</v>
      </c>
      <c r="B101" s="196" t="s">
        <v>348</v>
      </c>
      <c r="C101" s="194">
        <f>ROUNDUP('ITEM CRAFT'!E102/7,1)</f>
        <v>3.4</v>
      </c>
      <c r="D101" s="59">
        <f>ROUNDUP('ITEM CRAFT'!E102,1)</f>
        <v>23.700000000000003</v>
      </c>
      <c r="E101" s="194" t="s">
        <v>152</v>
      </c>
      <c r="F101" s="192" t="s">
        <v>156</v>
      </c>
      <c r="G101" s="197" t="s">
        <v>154</v>
      </c>
      <c r="J101" s="197">
        <f t="shared" si="2"/>
        <v>1.7</v>
      </c>
      <c r="K101" s="191">
        <f t="shared" si="3"/>
        <v>2</v>
      </c>
    </row>
    <row r="102" spans="1:11" s="197" customFormat="1" ht="14.25" customHeight="1" x14ac:dyDescent="0.25">
      <c r="A102" s="195" t="s">
        <v>351</v>
      </c>
      <c r="B102" s="196" t="s">
        <v>350</v>
      </c>
      <c r="C102" s="194">
        <f>ROUNDUP('ITEM CRAFT'!E103/7,1)</f>
        <v>2.8000000000000003</v>
      </c>
      <c r="D102" s="59">
        <f>ROUNDUP('ITEM CRAFT'!E103,1)</f>
        <v>19.100000000000001</v>
      </c>
      <c r="E102" s="194" t="s">
        <v>152</v>
      </c>
      <c r="F102" s="192" t="s">
        <v>156</v>
      </c>
      <c r="G102" s="197" t="s">
        <v>154</v>
      </c>
      <c r="J102" s="197">
        <f t="shared" si="2"/>
        <v>1.4</v>
      </c>
      <c r="K102" s="191">
        <f t="shared" si="3"/>
        <v>2</v>
      </c>
    </row>
    <row r="103" spans="1:11" s="197" customFormat="1" ht="14.25" customHeight="1" x14ac:dyDescent="0.25">
      <c r="A103" s="195" t="s">
        <v>353</v>
      </c>
      <c r="B103" s="196" t="s">
        <v>352</v>
      </c>
      <c r="C103" s="194">
        <f>ROUNDUP('ITEM CRAFT'!E104/7,1)</f>
        <v>2.5</v>
      </c>
      <c r="D103" s="59">
        <f>ROUNDUP('ITEM CRAFT'!E104,1)</f>
        <v>17.200000000000003</v>
      </c>
      <c r="E103" s="194" t="s">
        <v>152</v>
      </c>
      <c r="F103" s="192" t="s">
        <v>156</v>
      </c>
      <c r="G103" s="197" t="s">
        <v>154</v>
      </c>
      <c r="J103" s="197">
        <f t="shared" si="2"/>
        <v>1.3</v>
      </c>
      <c r="K103" s="191">
        <f t="shared" si="3"/>
        <v>2</v>
      </c>
    </row>
    <row r="104" spans="1:11" s="197" customFormat="1" ht="14.25" customHeight="1" x14ac:dyDescent="0.25">
      <c r="A104" s="195" t="s">
        <v>355</v>
      </c>
      <c r="B104" s="196" t="s">
        <v>354</v>
      </c>
      <c r="C104" s="194">
        <f>ROUNDUP('ITEM CRAFT'!E105/7,1)</f>
        <v>3</v>
      </c>
      <c r="D104" s="59">
        <f>ROUNDUP('ITEM CRAFT'!E105,1)</f>
        <v>20.7</v>
      </c>
      <c r="E104" s="194" t="s">
        <v>152</v>
      </c>
      <c r="F104" s="192" t="s">
        <v>156</v>
      </c>
      <c r="G104" s="197" t="s">
        <v>154</v>
      </c>
      <c r="J104" s="197">
        <f t="shared" si="2"/>
        <v>1.5</v>
      </c>
      <c r="K104" s="191">
        <f t="shared" si="3"/>
        <v>2</v>
      </c>
    </row>
    <row r="105" spans="1:11" s="197" customFormat="1" ht="14.25" customHeight="1" x14ac:dyDescent="0.25">
      <c r="A105" s="195" t="s">
        <v>357</v>
      </c>
      <c r="B105" s="196" t="s">
        <v>356</v>
      </c>
      <c r="C105" s="194">
        <f>ROUNDUP('ITEM CRAFT'!E106/7,1)</f>
        <v>2.8000000000000003</v>
      </c>
      <c r="D105" s="59">
        <f>ROUNDUP('ITEM CRAFT'!E106,1)</f>
        <v>19.100000000000001</v>
      </c>
      <c r="E105" s="194" t="s">
        <v>152</v>
      </c>
      <c r="F105" s="192" t="s">
        <v>156</v>
      </c>
      <c r="G105" s="197" t="s">
        <v>154</v>
      </c>
      <c r="J105" s="197">
        <f t="shared" si="2"/>
        <v>1.4</v>
      </c>
      <c r="K105" s="191">
        <f t="shared" si="3"/>
        <v>2</v>
      </c>
    </row>
    <row r="106" spans="1:11" s="197" customFormat="1" ht="14.25" customHeight="1" x14ac:dyDescent="0.25">
      <c r="A106" s="195" t="s">
        <v>359</v>
      </c>
      <c r="B106" s="196" t="s">
        <v>358</v>
      </c>
      <c r="C106" s="194">
        <f>ROUNDUP('ITEM CRAFT'!E107/7,1)</f>
        <v>2.8000000000000003</v>
      </c>
      <c r="D106" s="59">
        <f>ROUNDUP('ITEM CRAFT'!E107,1)</f>
        <v>19.100000000000001</v>
      </c>
      <c r="E106" s="194" t="s">
        <v>152</v>
      </c>
      <c r="F106" s="192" t="s">
        <v>156</v>
      </c>
      <c r="G106" s="197" t="s">
        <v>154</v>
      </c>
      <c r="J106" s="197">
        <f t="shared" si="2"/>
        <v>1.4</v>
      </c>
      <c r="K106" s="191">
        <f t="shared" si="3"/>
        <v>2</v>
      </c>
    </row>
    <row r="107" spans="1:11" s="197" customFormat="1" ht="14.25" customHeight="1" x14ac:dyDescent="0.25">
      <c r="A107" s="195" t="s">
        <v>361</v>
      </c>
      <c r="B107" s="196" t="s">
        <v>360</v>
      </c>
      <c r="C107" s="194">
        <f>ROUNDUP('ITEM CRAFT'!E108/7,1)</f>
        <v>3.1</v>
      </c>
      <c r="D107" s="59">
        <f>ROUNDUP('ITEM CRAFT'!E108,1)</f>
        <v>21.400000000000002</v>
      </c>
      <c r="E107" s="194" t="s">
        <v>152</v>
      </c>
      <c r="F107" s="192" t="s">
        <v>156</v>
      </c>
      <c r="G107" s="197" t="s">
        <v>154</v>
      </c>
      <c r="J107" s="197">
        <f t="shared" si="2"/>
        <v>1.6</v>
      </c>
      <c r="K107" s="191">
        <f t="shared" si="3"/>
        <v>2</v>
      </c>
    </row>
    <row r="108" spans="1:11" s="197" customFormat="1" ht="14.25" customHeight="1" x14ac:dyDescent="0.25">
      <c r="A108" s="195" t="s">
        <v>363</v>
      </c>
      <c r="B108" s="196" t="s">
        <v>362</v>
      </c>
      <c r="C108" s="194">
        <f>ROUNDUP('ITEM CRAFT'!E109/7,1)</f>
        <v>2.8000000000000003</v>
      </c>
      <c r="D108" s="59">
        <f>ROUNDUP('ITEM CRAFT'!E109,1)</f>
        <v>19.100000000000001</v>
      </c>
      <c r="E108" s="194" t="s">
        <v>152</v>
      </c>
      <c r="F108" s="192" t="s">
        <v>156</v>
      </c>
      <c r="G108" s="197" t="s">
        <v>154</v>
      </c>
      <c r="J108" s="197">
        <f t="shared" si="2"/>
        <v>1.4</v>
      </c>
      <c r="K108" s="191">
        <f t="shared" si="3"/>
        <v>2</v>
      </c>
    </row>
    <row r="109" spans="1:11" s="197" customFormat="1" ht="14.25" customHeight="1" x14ac:dyDescent="0.25">
      <c r="A109" s="195" t="s">
        <v>365</v>
      </c>
      <c r="B109" s="196" t="s">
        <v>364</v>
      </c>
      <c r="C109" s="194">
        <f>ROUNDUP('ITEM CRAFT'!E110/7,1)</f>
        <v>2.8000000000000003</v>
      </c>
      <c r="D109" s="59">
        <f>ROUNDUP('ITEM CRAFT'!E110,1)</f>
        <v>19.100000000000001</v>
      </c>
      <c r="E109" s="194" t="s">
        <v>152</v>
      </c>
      <c r="F109" s="192" t="s">
        <v>156</v>
      </c>
      <c r="G109" s="197" t="s">
        <v>154</v>
      </c>
      <c r="J109" s="197">
        <f t="shared" si="2"/>
        <v>1.4</v>
      </c>
      <c r="K109" s="191">
        <f t="shared" si="3"/>
        <v>2</v>
      </c>
    </row>
    <row r="110" spans="1:11" s="197" customFormat="1" ht="14.25" customHeight="1" x14ac:dyDescent="0.25">
      <c r="A110" s="195" t="s">
        <v>367</v>
      </c>
      <c r="B110" s="196" t="s">
        <v>366</v>
      </c>
      <c r="C110" s="194">
        <f>ROUNDUP('ITEM CRAFT'!E111/7,1)</f>
        <v>2.5</v>
      </c>
      <c r="D110" s="59">
        <f>ROUNDUP('ITEM CRAFT'!E111,1)</f>
        <v>17.200000000000003</v>
      </c>
      <c r="E110" s="194" t="s">
        <v>152</v>
      </c>
      <c r="F110" s="192" t="s">
        <v>156</v>
      </c>
      <c r="G110" s="197" t="s">
        <v>154</v>
      </c>
      <c r="J110" s="197">
        <f t="shared" si="2"/>
        <v>1.3</v>
      </c>
      <c r="K110" s="191">
        <f t="shared" si="3"/>
        <v>2</v>
      </c>
    </row>
    <row r="111" spans="1:11" s="197" customFormat="1" ht="14.25" customHeight="1" x14ac:dyDescent="0.25">
      <c r="A111" s="195" t="s">
        <v>369</v>
      </c>
      <c r="B111" s="196" t="s">
        <v>368</v>
      </c>
      <c r="C111" s="194">
        <f>ROUNDUP('ITEM CRAFT'!E112/7,1)</f>
        <v>2.5</v>
      </c>
      <c r="D111" s="59">
        <f>ROUNDUP('ITEM CRAFT'!E112,1)</f>
        <v>17.200000000000003</v>
      </c>
      <c r="E111" s="194" t="s">
        <v>152</v>
      </c>
      <c r="F111" s="192" t="s">
        <v>156</v>
      </c>
      <c r="G111" s="197" t="s">
        <v>154</v>
      </c>
      <c r="J111" s="197">
        <f t="shared" si="2"/>
        <v>1.3</v>
      </c>
      <c r="K111" s="191">
        <f t="shared" si="3"/>
        <v>2</v>
      </c>
    </row>
    <row r="112" spans="1:11" s="197" customFormat="1" ht="14.25" customHeight="1" x14ac:dyDescent="0.25">
      <c r="A112" s="195" t="s">
        <v>371</v>
      </c>
      <c r="B112" s="196" t="s">
        <v>370</v>
      </c>
      <c r="C112" s="194">
        <f>ROUNDUP('ITEM CRAFT'!E113/7,1)</f>
        <v>2.5</v>
      </c>
      <c r="D112" s="59">
        <f>ROUNDUP('ITEM CRAFT'!E113,1)</f>
        <v>17.200000000000003</v>
      </c>
      <c r="E112" s="194" t="s">
        <v>152</v>
      </c>
      <c r="F112" s="192" t="s">
        <v>156</v>
      </c>
      <c r="G112" s="197" t="s">
        <v>154</v>
      </c>
      <c r="J112" s="197">
        <f t="shared" si="2"/>
        <v>1.3</v>
      </c>
      <c r="K112" s="191">
        <f t="shared" si="3"/>
        <v>2</v>
      </c>
    </row>
    <row r="113" spans="1:11" s="197" customFormat="1" ht="14.25" customHeight="1" x14ac:dyDescent="0.25">
      <c r="A113" s="195" t="s">
        <v>373</v>
      </c>
      <c r="B113" s="196" t="s">
        <v>372</v>
      </c>
      <c r="C113" s="194">
        <f>ROUNDUP('ITEM CRAFT'!E114/7,1)</f>
        <v>2.5</v>
      </c>
      <c r="D113" s="59">
        <f>ROUNDUP('ITEM CRAFT'!E114,1)</f>
        <v>17.200000000000003</v>
      </c>
      <c r="E113" s="194" t="s">
        <v>152</v>
      </c>
      <c r="F113" s="192" t="s">
        <v>156</v>
      </c>
      <c r="G113" s="197" t="s">
        <v>154</v>
      </c>
      <c r="J113" s="197">
        <f t="shared" si="2"/>
        <v>1.3</v>
      </c>
      <c r="K113" s="191">
        <f t="shared" si="3"/>
        <v>2</v>
      </c>
    </row>
    <row r="114" spans="1:11" s="197" customFormat="1" ht="14.25" customHeight="1" x14ac:dyDescent="0.25">
      <c r="A114" s="195" t="s">
        <v>375</v>
      </c>
      <c r="B114" s="196" t="s">
        <v>374</v>
      </c>
      <c r="C114" s="194">
        <f>ROUNDUP('ITEM CRAFT'!E115/7,1)</f>
        <v>2.5</v>
      </c>
      <c r="D114" s="59">
        <f>ROUNDUP('ITEM CRAFT'!E115,1)</f>
        <v>17.200000000000003</v>
      </c>
      <c r="E114" s="194" t="s">
        <v>152</v>
      </c>
      <c r="F114" s="192" t="s">
        <v>156</v>
      </c>
      <c r="G114" s="197" t="s">
        <v>154</v>
      </c>
      <c r="J114" s="197">
        <f t="shared" si="2"/>
        <v>1.3</v>
      </c>
      <c r="K114" s="191">
        <f t="shared" si="3"/>
        <v>2</v>
      </c>
    </row>
    <row r="115" spans="1:11" s="205" customFormat="1" ht="14.25" customHeight="1" x14ac:dyDescent="0.25">
      <c r="A115" s="202">
        <v>96</v>
      </c>
      <c r="B115" s="203" t="s">
        <v>376</v>
      </c>
      <c r="C115" s="201">
        <f>ROUNDUP('ITEM CRAFT'!E116/7,1)</f>
        <v>0.7</v>
      </c>
      <c r="D115" s="63">
        <f>ROUNDUP('ITEM CRAFT'!E116,1)</f>
        <v>4.3999999999999995</v>
      </c>
      <c r="E115" s="201" t="s">
        <v>150</v>
      </c>
      <c r="F115" s="204" t="s">
        <v>156</v>
      </c>
      <c r="G115" s="205" t="s">
        <v>154</v>
      </c>
      <c r="J115" s="205">
        <f t="shared" si="2"/>
        <v>0.4</v>
      </c>
      <c r="K115" s="56">
        <f t="shared" si="3"/>
        <v>2</v>
      </c>
    </row>
    <row r="116" spans="1:11" s="197" customFormat="1" ht="14.25" customHeight="1" x14ac:dyDescent="0.25">
      <c r="A116" s="195">
        <v>98</v>
      </c>
      <c r="B116" s="196" t="s">
        <v>377</v>
      </c>
      <c r="C116" s="194">
        <f>ROUNDUP('ITEM CRAFT'!E117/7,1)</f>
        <v>0.7</v>
      </c>
      <c r="D116" s="59">
        <f>ROUNDUP('ITEM CRAFT'!E117,1)</f>
        <v>4.3999999999999995</v>
      </c>
      <c r="E116" s="194" t="s">
        <v>152</v>
      </c>
      <c r="F116" s="192" t="s">
        <v>156</v>
      </c>
      <c r="G116" s="197" t="s">
        <v>157</v>
      </c>
      <c r="J116" s="197">
        <f t="shared" si="2"/>
        <v>0.4</v>
      </c>
      <c r="K116" s="191">
        <f t="shared" si="3"/>
        <v>2</v>
      </c>
    </row>
    <row r="117" spans="1:11" s="197" customFormat="1" ht="14.25" customHeight="1" x14ac:dyDescent="0.25">
      <c r="A117" s="195" t="s">
        <v>1030</v>
      </c>
      <c r="B117" s="196" t="s">
        <v>1031</v>
      </c>
      <c r="C117" s="194">
        <f>ROUNDUP('ITEM CRAFT'!E118/7,1)</f>
        <v>0.79999999999999993</v>
      </c>
      <c r="D117" s="59">
        <f>ROUNDUP('ITEM CRAFT'!E118,1)</f>
        <v>5.1999999999999993</v>
      </c>
      <c r="E117" s="194" t="s">
        <v>152</v>
      </c>
      <c r="F117" s="255" t="s">
        <v>157</v>
      </c>
      <c r="J117" s="197">
        <f t="shared" ref="J117" si="4">ROUNDUP(C117/K117,1)</f>
        <v>0.8</v>
      </c>
      <c r="K117" s="253">
        <f t="shared" ref="K117" si="5">COUNTIF(F117:I117,"*")</f>
        <v>1</v>
      </c>
    </row>
    <row r="118" spans="1:11" s="197" customFormat="1" ht="14.25" customHeight="1" x14ac:dyDescent="0.25">
      <c r="A118" s="195" t="s">
        <v>379</v>
      </c>
      <c r="B118" s="196" t="s">
        <v>378</v>
      </c>
      <c r="C118" s="194">
        <f>ROUNDUP('ITEM CRAFT'!E119/7,1)</f>
        <v>0.5</v>
      </c>
      <c r="D118" s="59">
        <f>ROUNDUP('ITEM CRAFT'!E119,1)</f>
        <v>3.2</v>
      </c>
      <c r="E118" s="194" t="s">
        <v>152</v>
      </c>
      <c r="F118" s="224" t="s">
        <v>156</v>
      </c>
      <c r="G118" s="197" t="s">
        <v>154</v>
      </c>
      <c r="J118" s="197">
        <f t="shared" si="2"/>
        <v>0.30000000000000004</v>
      </c>
      <c r="K118" s="223">
        <f t="shared" si="3"/>
        <v>2</v>
      </c>
    </row>
    <row r="119" spans="1:11" s="197" customFormat="1" ht="14.25" customHeight="1" x14ac:dyDescent="0.25">
      <c r="A119" s="195">
        <v>101</v>
      </c>
      <c r="B119" s="196" t="s">
        <v>380</v>
      </c>
      <c r="C119" s="194">
        <f>ROUNDUP('ITEM CRAFT'!E120/7,1)</f>
        <v>51.5</v>
      </c>
      <c r="D119" s="59">
        <f>ROUNDUP('ITEM CRAFT'!E120,1)</f>
        <v>360</v>
      </c>
      <c r="E119" s="194" t="s">
        <v>152</v>
      </c>
      <c r="F119" s="192" t="s">
        <v>156</v>
      </c>
      <c r="G119" s="197" t="s">
        <v>154</v>
      </c>
      <c r="J119" s="197">
        <f t="shared" si="2"/>
        <v>25.8</v>
      </c>
      <c r="K119" s="191">
        <f t="shared" si="3"/>
        <v>2</v>
      </c>
    </row>
    <row r="120" spans="1:11" s="197" customFormat="1" ht="14.25" customHeight="1" x14ac:dyDescent="0.25">
      <c r="A120" s="195">
        <v>102</v>
      </c>
      <c r="B120" s="196" t="s">
        <v>381</v>
      </c>
      <c r="C120" s="194">
        <f>ROUNDUP('ITEM CRAFT'!E121/7,1)</f>
        <v>0.9</v>
      </c>
      <c r="D120" s="59">
        <f>ROUNDUP('ITEM CRAFT'!E121,1)</f>
        <v>6</v>
      </c>
      <c r="E120" s="194" t="s">
        <v>152</v>
      </c>
      <c r="F120" s="192" t="s">
        <v>156</v>
      </c>
      <c r="G120" s="197" t="s">
        <v>154</v>
      </c>
      <c r="J120" s="197">
        <f t="shared" si="2"/>
        <v>0.5</v>
      </c>
      <c r="K120" s="191">
        <f t="shared" si="3"/>
        <v>2</v>
      </c>
    </row>
    <row r="121" spans="1:11" s="58" customFormat="1" ht="14.25" customHeight="1" x14ac:dyDescent="0.25">
      <c r="A121" s="214">
        <v>103</v>
      </c>
      <c r="B121" s="215" t="s">
        <v>382</v>
      </c>
      <c r="C121" s="213">
        <f>ROUNDUP('ITEM CRAFT'!E122/7,1)</f>
        <v>36.800000000000004</v>
      </c>
      <c r="D121" s="65">
        <f>ROUNDUP('ITEM CRAFT'!E122,1)</f>
        <v>257</v>
      </c>
      <c r="E121" s="213" t="s">
        <v>151</v>
      </c>
      <c r="F121" s="216" t="s">
        <v>153</v>
      </c>
      <c r="G121" s="217"/>
      <c r="H121" s="217"/>
      <c r="I121" s="217"/>
      <c r="J121" s="217">
        <f t="shared" si="2"/>
        <v>36.799999999999997</v>
      </c>
      <c r="K121" s="58">
        <f t="shared" si="3"/>
        <v>1</v>
      </c>
    </row>
    <row r="122" spans="1:11" s="205" customFormat="1" ht="14.25" customHeight="1" x14ac:dyDescent="0.25">
      <c r="A122" s="202">
        <v>107</v>
      </c>
      <c r="B122" s="203" t="s">
        <v>383</v>
      </c>
      <c r="C122" s="201">
        <f>ROUNDUP('ITEM CRAFT'!E123/7,1)</f>
        <v>0.7</v>
      </c>
      <c r="D122" s="63">
        <f>ROUNDUP('ITEM CRAFT'!E123,1)</f>
        <v>4.6999999999999993</v>
      </c>
      <c r="E122" s="201" t="s">
        <v>152</v>
      </c>
      <c r="F122" s="204" t="s">
        <v>156</v>
      </c>
      <c r="G122" s="205" t="s">
        <v>154</v>
      </c>
      <c r="J122" s="205">
        <f t="shared" si="2"/>
        <v>0.4</v>
      </c>
      <c r="K122" s="56">
        <f t="shared" si="3"/>
        <v>2</v>
      </c>
    </row>
    <row r="123" spans="1:11" s="197" customFormat="1" ht="14.25" customHeight="1" x14ac:dyDescent="0.25">
      <c r="A123" s="195">
        <v>108</v>
      </c>
      <c r="B123" s="196" t="s">
        <v>384</v>
      </c>
      <c r="C123" s="194">
        <f>ROUNDUP('ITEM CRAFT'!E124/7,1)</f>
        <v>22.3</v>
      </c>
      <c r="D123" s="59">
        <f>ROUNDUP('ITEM CRAFT'!E124,1)</f>
        <v>155.6</v>
      </c>
      <c r="E123" s="194" t="s">
        <v>152</v>
      </c>
      <c r="F123" s="192" t="s">
        <v>156</v>
      </c>
      <c r="G123" s="197" t="s">
        <v>154</v>
      </c>
      <c r="J123" s="197">
        <f t="shared" si="2"/>
        <v>11.2</v>
      </c>
      <c r="K123" s="191">
        <f t="shared" si="3"/>
        <v>2</v>
      </c>
    </row>
    <row r="124" spans="1:11" s="197" customFormat="1" ht="14.25" customHeight="1" x14ac:dyDescent="0.25">
      <c r="A124" s="195">
        <v>109</v>
      </c>
      <c r="B124" s="196" t="s">
        <v>385</v>
      </c>
      <c r="C124" s="194">
        <f>ROUNDUP('ITEM CRAFT'!E125/7,1)</f>
        <v>1.2000000000000002</v>
      </c>
      <c r="D124" s="59">
        <f>ROUNDUP('ITEM CRAFT'!E125,1)</f>
        <v>7.8</v>
      </c>
      <c r="E124" s="194" t="s">
        <v>152</v>
      </c>
      <c r="F124" s="192" t="s">
        <v>156</v>
      </c>
      <c r="G124" s="197" t="s">
        <v>154</v>
      </c>
      <c r="J124" s="197">
        <f t="shared" si="2"/>
        <v>0.6</v>
      </c>
      <c r="K124" s="191">
        <f t="shared" si="3"/>
        <v>2</v>
      </c>
    </row>
    <row r="125" spans="1:11" s="247" customFormat="1" ht="14.25" customHeight="1" x14ac:dyDescent="0.25">
      <c r="A125" s="242">
        <v>110</v>
      </c>
      <c r="B125" s="243" t="s">
        <v>386</v>
      </c>
      <c r="C125" s="244">
        <f>ROUNDUP('ITEM CRAFT'!E126/7,1)</f>
        <v>0</v>
      </c>
      <c r="D125" s="245">
        <f>ROUNDUP('ITEM CRAFT'!E126,1)</f>
        <v>0</v>
      </c>
      <c r="E125" s="244"/>
      <c r="F125" s="246" t="s">
        <v>153</v>
      </c>
      <c r="G125" s="247" t="s">
        <v>154</v>
      </c>
      <c r="J125" s="247">
        <f t="shared" si="2"/>
        <v>0</v>
      </c>
      <c r="K125" s="248">
        <f t="shared" si="3"/>
        <v>2</v>
      </c>
    </row>
    <row r="126" spans="1:11" s="197" customFormat="1" ht="14.25" customHeight="1" x14ac:dyDescent="0.25">
      <c r="A126" s="195">
        <v>112</v>
      </c>
      <c r="B126" s="196" t="s">
        <v>387</v>
      </c>
      <c r="C126" s="194">
        <f>ROUNDUP('ITEM CRAFT'!E127/7,1)</f>
        <v>19</v>
      </c>
      <c r="D126" s="59">
        <f>ROUNDUP('ITEM CRAFT'!E127,1)</f>
        <v>132.5</v>
      </c>
      <c r="E126" s="194" t="s">
        <v>152</v>
      </c>
      <c r="F126" s="192" t="s">
        <v>156</v>
      </c>
      <c r="G126" s="197" t="s">
        <v>154</v>
      </c>
      <c r="J126" s="197">
        <f t="shared" si="2"/>
        <v>9.5</v>
      </c>
      <c r="K126" s="191">
        <f t="shared" si="3"/>
        <v>2</v>
      </c>
    </row>
    <row r="127" spans="1:11" s="197" customFormat="1" ht="14.25" customHeight="1" x14ac:dyDescent="0.25">
      <c r="A127" s="195">
        <v>113</v>
      </c>
      <c r="B127" s="196" t="s">
        <v>388</v>
      </c>
      <c r="C127" s="194">
        <f>ROUNDUP('ITEM CRAFT'!E128/7,1)</f>
        <v>68.199999999999989</v>
      </c>
      <c r="D127" s="59">
        <f>ROUNDUP('ITEM CRAFT'!E128,1)</f>
        <v>477</v>
      </c>
      <c r="E127" s="194" t="s">
        <v>152</v>
      </c>
      <c r="F127" s="192" t="s">
        <v>156</v>
      </c>
      <c r="G127" s="197" t="s">
        <v>154</v>
      </c>
      <c r="J127" s="197">
        <f t="shared" si="2"/>
        <v>34.1</v>
      </c>
      <c r="K127" s="191">
        <f t="shared" si="3"/>
        <v>2</v>
      </c>
    </row>
    <row r="128" spans="1:11" s="197" customFormat="1" ht="14.25" customHeight="1" x14ac:dyDescent="0.25">
      <c r="A128" s="195">
        <v>114</v>
      </c>
      <c r="B128" s="196" t="s">
        <v>389</v>
      </c>
      <c r="C128" s="194">
        <f>ROUNDUP('ITEM CRAFT'!E129/7,1)</f>
        <v>34.1</v>
      </c>
      <c r="D128" s="59">
        <f>ROUNDUP('ITEM CRAFT'!E129,1)</f>
        <v>238.5</v>
      </c>
      <c r="E128" s="194" t="s">
        <v>152</v>
      </c>
      <c r="F128" s="192" t="s">
        <v>156</v>
      </c>
      <c r="G128" s="197" t="s">
        <v>154</v>
      </c>
      <c r="J128" s="197">
        <f t="shared" si="2"/>
        <v>17.100000000000001</v>
      </c>
      <c r="K128" s="191">
        <f t="shared" si="3"/>
        <v>2</v>
      </c>
    </row>
    <row r="129" spans="1:11" s="205" customFormat="1" ht="14.25" customHeight="1" x14ac:dyDescent="0.25">
      <c r="A129" s="202">
        <v>116</v>
      </c>
      <c r="B129" s="203" t="s">
        <v>390</v>
      </c>
      <c r="C129" s="201">
        <f>ROUNDUP('ITEM CRAFT'!E130/7,1)</f>
        <v>1810.6</v>
      </c>
      <c r="D129" s="63">
        <f>ROUNDUP('ITEM CRAFT'!E130,1)</f>
        <v>12673.800000000001</v>
      </c>
      <c r="E129" s="201" t="s">
        <v>150</v>
      </c>
      <c r="F129" s="204" t="s">
        <v>156</v>
      </c>
      <c r="G129" s="205" t="s">
        <v>154</v>
      </c>
      <c r="J129" s="205">
        <f t="shared" si="2"/>
        <v>905.3</v>
      </c>
      <c r="K129" s="56">
        <f t="shared" si="3"/>
        <v>2</v>
      </c>
    </row>
    <row r="130" spans="1:11" s="197" customFormat="1" ht="14.25" customHeight="1" x14ac:dyDescent="0.25">
      <c r="A130" s="195">
        <v>121</v>
      </c>
      <c r="B130" s="196" t="s">
        <v>391</v>
      </c>
      <c r="C130" s="194">
        <f>ROUNDUP('ITEM CRAFT'!E131/7,1)</f>
        <v>3.3000000000000003</v>
      </c>
      <c r="D130" s="59">
        <f>ROUNDUP('ITEM CRAFT'!E131,1)</f>
        <v>23</v>
      </c>
      <c r="E130" s="194" t="s">
        <v>152</v>
      </c>
      <c r="F130" s="224" t="s">
        <v>153</v>
      </c>
      <c r="G130" s="197" t="s">
        <v>154</v>
      </c>
      <c r="J130" s="197">
        <f t="shared" ref="J130:J193" si="6">ROUNDUP(C130/K130,1)</f>
        <v>1.7000000000000002</v>
      </c>
      <c r="K130" s="223">
        <f t="shared" si="3"/>
        <v>2</v>
      </c>
    </row>
    <row r="131" spans="1:11" s="197" customFormat="1" ht="14.25" customHeight="1" x14ac:dyDescent="0.25">
      <c r="A131" s="195">
        <v>123</v>
      </c>
      <c r="B131" s="196" t="s">
        <v>392</v>
      </c>
      <c r="C131" s="194">
        <f>ROUNDUP('ITEM CRAFT'!E132/7,1)</f>
        <v>26</v>
      </c>
      <c r="D131" s="59">
        <f>ROUNDUP('ITEM CRAFT'!E132,1)</f>
        <v>181.5</v>
      </c>
      <c r="E131" s="194" t="s">
        <v>152</v>
      </c>
      <c r="F131" s="192" t="s">
        <v>156</v>
      </c>
      <c r="G131" s="197" t="s">
        <v>154</v>
      </c>
      <c r="J131" s="197">
        <f t="shared" si="6"/>
        <v>13</v>
      </c>
      <c r="K131" s="191">
        <f t="shared" si="3"/>
        <v>2</v>
      </c>
    </row>
    <row r="132" spans="1:11" s="205" customFormat="1" ht="14.25" customHeight="1" x14ac:dyDescent="0.25">
      <c r="A132" s="202">
        <v>126</v>
      </c>
      <c r="B132" s="203" t="s">
        <v>393</v>
      </c>
      <c r="C132" s="201">
        <f>ROUNDUP('ITEM CRAFT'!E133/7,1)</f>
        <v>0.2</v>
      </c>
      <c r="D132" s="63">
        <f>ROUNDUP('ITEM CRAFT'!E133,1)</f>
        <v>0.79999999999999993</v>
      </c>
      <c r="E132" s="201" t="s">
        <v>150</v>
      </c>
      <c r="F132" s="204" t="s">
        <v>156</v>
      </c>
      <c r="G132" s="205" t="s">
        <v>154</v>
      </c>
      <c r="J132" s="205">
        <f t="shared" si="6"/>
        <v>0.1</v>
      </c>
      <c r="K132" s="56">
        <f t="shared" si="3"/>
        <v>2</v>
      </c>
    </row>
    <row r="133" spans="1:11" s="205" customFormat="1" ht="14.25" customHeight="1" x14ac:dyDescent="0.25">
      <c r="A133" s="202" t="s">
        <v>395</v>
      </c>
      <c r="B133" s="203" t="s">
        <v>394</v>
      </c>
      <c r="C133" s="201">
        <f>ROUNDUP('ITEM CRAFT'!E134/7,1)</f>
        <v>0.30000000000000004</v>
      </c>
      <c r="D133" s="63">
        <f>ROUNDUP('ITEM CRAFT'!E134,1)</f>
        <v>2</v>
      </c>
      <c r="E133" s="201" t="s">
        <v>150</v>
      </c>
      <c r="F133" s="204" t="s">
        <v>156</v>
      </c>
      <c r="G133" s="205" t="s">
        <v>154</v>
      </c>
      <c r="J133" s="205">
        <f t="shared" si="6"/>
        <v>0.2</v>
      </c>
      <c r="K133" s="56">
        <f t="shared" si="3"/>
        <v>2</v>
      </c>
    </row>
    <row r="134" spans="1:11" s="205" customFormat="1" ht="14.25" customHeight="1" x14ac:dyDescent="0.25">
      <c r="A134" s="202" t="s">
        <v>397</v>
      </c>
      <c r="B134" s="203" t="s">
        <v>396</v>
      </c>
      <c r="C134" s="201">
        <f>ROUNDUP('ITEM CRAFT'!E135/7,1)</f>
        <v>0.5</v>
      </c>
      <c r="D134" s="63">
        <f>ROUNDUP('ITEM CRAFT'!E135,1)</f>
        <v>3.1</v>
      </c>
      <c r="E134" s="201" t="s">
        <v>150</v>
      </c>
      <c r="F134" s="204" t="s">
        <v>156</v>
      </c>
      <c r="G134" s="205" t="s">
        <v>154</v>
      </c>
      <c r="J134" s="205">
        <f t="shared" si="6"/>
        <v>0.30000000000000004</v>
      </c>
      <c r="K134" s="56">
        <f t="shared" ref="K134:K197" si="7">COUNTIF(F134:I134,"*")</f>
        <v>2</v>
      </c>
    </row>
    <row r="135" spans="1:11" s="205" customFormat="1" ht="14.25" customHeight="1" x14ac:dyDescent="0.25">
      <c r="A135" s="202" t="s">
        <v>399</v>
      </c>
      <c r="B135" s="203" t="s">
        <v>398</v>
      </c>
      <c r="C135" s="201">
        <f>ROUNDUP('ITEM CRAFT'!E136/7,1)</f>
        <v>0.7</v>
      </c>
      <c r="D135" s="63">
        <f>ROUNDUP('ITEM CRAFT'!E136,1)</f>
        <v>4.3999999999999995</v>
      </c>
      <c r="E135" s="201" t="s">
        <v>150</v>
      </c>
      <c r="F135" s="204" t="s">
        <v>156</v>
      </c>
      <c r="G135" s="205" t="s">
        <v>154</v>
      </c>
      <c r="J135" s="205">
        <f t="shared" si="6"/>
        <v>0.4</v>
      </c>
      <c r="K135" s="56">
        <f t="shared" si="7"/>
        <v>2</v>
      </c>
    </row>
    <row r="136" spans="1:11" s="205" customFormat="1" ht="14.25" customHeight="1" x14ac:dyDescent="0.25">
      <c r="A136" s="202" t="s">
        <v>401</v>
      </c>
      <c r="B136" s="203" t="s">
        <v>400</v>
      </c>
      <c r="C136" s="201">
        <f>ROUNDUP('ITEM CRAFT'!E137/7,1)</f>
        <v>0.79999999999999993</v>
      </c>
      <c r="D136" s="63">
        <f>ROUNDUP('ITEM CRAFT'!E137,1)</f>
        <v>5.6</v>
      </c>
      <c r="E136" s="201" t="s">
        <v>150</v>
      </c>
      <c r="F136" s="204" t="s">
        <v>156</v>
      </c>
      <c r="G136" s="205" t="s">
        <v>154</v>
      </c>
      <c r="J136" s="205">
        <f t="shared" si="6"/>
        <v>0.4</v>
      </c>
      <c r="K136" s="56">
        <f t="shared" si="7"/>
        <v>2</v>
      </c>
    </row>
    <row r="137" spans="1:11" s="205" customFormat="1" ht="14.25" customHeight="1" x14ac:dyDescent="0.25">
      <c r="A137" s="202" t="s">
        <v>403</v>
      </c>
      <c r="B137" s="203" t="s">
        <v>402</v>
      </c>
      <c r="C137" s="201">
        <f>ROUNDUP('ITEM CRAFT'!E138/7,1)</f>
        <v>1</v>
      </c>
      <c r="D137" s="63">
        <f>ROUNDUP('ITEM CRAFT'!E138,1)</f>
        <v>6.6999999999999993</v>
      </c>
      <c r="E137" s="201" t="s">
        <v>150</v>
      </c>
      <c r="F137" s="204" t="s">
        <v>156</v>
      </c>
      <c r="G137" s="205" t="s">
        <v>154</v>
      </c>
      <c r="J137" s="205">
        <f t="shared" si="6"/>
        <v>0.5</v>
      </c>
      <c r="K137" s="56">
        <f t="shared" si="7"/>
        <v>2</v>
      </c>
    </row>
    <row r="138" spans="1:11" s="197" customFormat="1" ht="14.25" customHeight="1" x14ac:dyDescent="0.25">
      <c r="A138" s="195">
        <v>128</v>
      </c>
      <c r="B138" s="196" t="s">
        <v>404</v>
      </c>
      <c r="C138" s="194">
        <f>ROUNDUP('ITEM CRAFT'!E139/7,1)</f>
        <v>13.6</v>
      </c>
      <c r="D138" s="59">
        <f>ROUNDUP('ITEM CRAFT'!E139,1)</f>
        <v>95.1</v>
      </c>
      <c r="E138" s="194" t="s">
        <v>152</v>
      </c>
      <c r="F138" s="192" t="s">
        <v>156</v>
      </c>
      <c r="G138" s="197" t="s">
        <v>154</v>
      </c>
      <c r="J138" s="197">
        <f t="shared" si="6"/>
        <v>6.8</v>
      </c>
      <c r="K138" s="191">
        <f t="shared" si="7"/>
        <v>2</v>
      </c>
    </row>
    <row r="139" spans="1:11" s="217" customFormat="1" ht="14.25" customHeight="1" x14ac:dyDescent="0.25">
      <c r="A139" s="214">
        <v>130</v>
      </c>
      <c r="B139" s="215" t="s">
        <v>405</v>
      </c>
      <c r="C139" s="213">
        <f>ROUNDUP('ITEM CRAFT'!E140/7,1)</f>
        <v>38.800000000000004</v>
      </c>
      <c r="D139" s="65">
        <f>ROUNDUP('ITEM CRAFT'!E140,1)</f>
        <v>271.40000000000003</v>
      </c>
      <c r="E139" s="213" t="s">
        <v>151</v>
      </c>
      <c r="F139" s="216" t="s">
        <v>156</v>
      </c>
      <c r="G139" s="217" t="s">
        <v>154</v>
      </c>
      <c r="J139" s="217">
        <f t="shared" si="6"/>
        <v>19.399999999999999</v>
      </c>
      <c r="K139" s="58">
        <f t="shared" si="7"/>
        <v>2</v>
      </c>
    </row>
    <row r="140" spans="1:11" s="197" customFormat="1" ht="14.25" customHeight="1" x14ac:dyDescent="0.25">
      <c r="A140" s="195">
        <v>131</v>
      </c>
      <c r="B140" s="196" t="s">
        <v>406</v>
      </c>
      <c r="C140" s="194">
        <f>ROUNDUP('ITEM CRAFT'!E141/7,1)</f>
        <v>68.8</v>
      </c>
      <c r="D140" s="59">
        <f>ROUNDUP('ITEM CRAFT'!E141,1)</f>
        <v>481</v>
      </c>
      <c r="E140" s="194" t="s">
        <v>152</v>
      </c>
      <c r="F140" s="192" t="s">
        <v>156</v>
      </c>
      <c r="G140" s="197" t="s">
        <v>154</v>
      </c>
      <c r="J140" s="197">
        <f t="shared" si="6"/>
        <v>34.4</v>
      </c>
      <c r="K140" s="191">
        <f t="shared" si="7"/>
        <v>2</v>
      </c>
    </row>
    <row r="141" spans="1:11" s="197" customFormat="1" ht="14.25" customHeight="1" x14ac:dyDescent="0.25">
      <c r="A141" s="195">
        <v>133</v>
      </c>
      <c r="B141" s="196" t="s">
        <v>407</v>
      </c>
      <c r="C141" s="194">
        <f>ROUNDUP('ITEM CRAFT'!E142/7,1)</f>
        <v>29.400000000000002</v>
      </c>
      <c r="D141" s="59">
        <f>ROUNDUP('ITEM CRAFT'!E142,1)</f>
        <v>205.2</v>
      </c>
      <c r="E141" s="194" t="s">
        <v>152</v>
      </c>
      <c r="F141" s="192" t="s">
        <v>156</v>
      </c>
      <c r="G141" s="197" t="s">
        <v>154</v>
      </c>
      <c r="J141" s="197">
        <f t="shared" si="6"/>
        <v>14.7</v>
      </c>
      <c r="K141" s="191">
        <f t="shared" si="7"/>
        <v>2</v>
      </c>
    </row>
    <row r="142" spans="1:11" s="205" customFormat="1" ht="14.25" customHeight="1" x14ac:dyDescent="0.25">
      <c r="A142" s="202">
        <v>134</v>
      </c>
      <c r="B142" s="203" t="s">
        <v>408</v>
      </c>
      <c r="C142" s="201">
        <f>ROUNDUP('ITEM CRAFT'!E143/7,1)</f>
        <v>0.9</v>
      </c>
      <c r="D142" s="63">
        <f>ROUNDUP('ITEM CRAFT'!E143,1)</f>
        <v>6</v>
      </c>
      <c r="E142" s="201" t="s">
        <v>150</v>
      </c>
      <c r="F142" s="204" t="s">
        <v>156</v>
      </c>
      <c r="G142" s="205" t="s">
        <v>154</v>
      </c>
      <c r="J142" s="205">
        <f t="shared" si="6"/>
        <v>0.5</v>
      </c>
      <c r="K142" s="56">
        <f t="shared" si="7"/>
        <v>2</v>
      </c>
    </row>
    <row r="143" spans="1:11" s="205" customFormat="1" ht="14.25" customHeight="1" x14ac:dyDescent="0.25">
      <c r="A143" s="202">
        <v>135</v>
      </c>
      <c r="B143" s="203" t="s">
        <v>409</v>
      </c>
      <c r="C143" s="201">
        <f>ROUNDUP('ITEM CRAFT'!E144/7,1)</f>
        <v>1.4000000000000001</v>
      </c>
      <c r="D143" s="63">
        <f>ROUNDUP('ITEM CRAFT'!E144,1)</f>
        <v>9.1999999999999993</v>
      </c>
      <c r="E143" s="201" t="s">
        <v>150</v>
      </c>
      <c r="F143" s="204" t="s">
        <v>156</v>
      </c>
      <c r="G143" s="205" t="s">
        <v>154</v>
      </c>
      <c r="J143" s="205">
        <f t="shared" si="6"/>
        <v>0.7</v>
      </c>
      <c r="K143" s="56">
        <f t="shared" si="7"/>
        <v>2</v>
      </c>
    </row>
    <row r="144" spans="1:11" s="205" customFormat="1" ht="14.25" customHeight="1" x14ac:dyDescent="0.25">
      <c r="A144" s="202">
        <v>136</v>
      </c>
      <c r="B144" s="203" t="s">
        <v>410</v>
      </c>
      <c r="C144" s="201">
        <f>ROUNDUP('ITEM CRAFT'!E145/7,1)</f>
        <v>1.9000000000000001</v>
      </c>
      <c r="D144" s="63">
        <f>ROUNDUP('ITEM CRAFT'!E145,1)</f>
        <v>13</v>
      </c>
      <c r="E144" s="201" t="s">
        <v>150</v>
      </c>
      <c r="F144" s="204" t="s">
        <v>156</v>
      </c>
      <c r="G144" s="205" t="s">
        <v>154</v>
      </c>
      <c r="J144" s="205">
        <f t="shared" si="6"/>
        <v>1</v>
      </c>
      <c r="K144" s="56">
        <f t="shared" si="7"/>
        <v>2</v>
      </c>
    </row>
    <row r="145" spans="1:11" s="217" customFormat="1" ht="14.25" customHeight="1" x14ac:dyDescent="0.25">
      <c r="A145" s="214">
        <v>138</v>
      </c>
      <c r="B145" s="215" t="s">
        <v>411</v>
      </c>
      <c r="C145" s="213">
        <f>ROUNDUP('ITEM CRAFT'!E146/7,1)</f>
        <v>26</v>
      </c>
      <c r="D145" s="65">
        <f>ROUNDUP('ITEM CRAFT'!E146,1)</f>
        <v>181.8</v>
      </c>
      <c r="E145" s="213" t="s">
        <v>151</v>
      </c>
      <c r="F145" s="216" t="s">
        <v>156</v>
      </c>
      <c r="G145" s="217" t="s">
        <v>154</v>
      </c>
      <c r="J145" s="217">
        <f t="shared" si="6"/>
        <v>13</v>
      </c>
      <c r="K145" s="58">
        <f t="shared" si="7"/>
        <v>2</v>
      </c>
    </row>
    <row r="146" spans="1:11" s="197" customFormat="1" ht="14.25" customHeight="1" x14ac:dyDescent="0.25">
      <c r="A146" s="195">
        <v>139</v>
      </c>
      <c r="B146" s="196" t="s">
        <v>412</v>
      </c>
      <c r="C146" s="194">
        <f>ROUNDUP('ITEM CRAFT'!E147/7,1)</f>
        <v>0.6</v>
      </c>
      <c r="D146" s="59">
        <f>ROUNDUP('ITEM CRAFT'!E147,1)</f>
        <v>3.6</v>
      </c>
      <c r="E146" s="194" t="s">
        <v>152</v>
      </c>
      <c r="F146" s="192" t="s">
        <v>156</v>
      </c>
      <c r="G146" s="197" t="s">
        <v>154</v>
      </c>
      <c r="J146" s="197">
        <f t="shared" si="6"/>
        <v>0.3</v>
      </c>
      <c r="K146" s="191">
        <f t="shared" si="7"/>
        <v>2</v>
      </c>
    </row>
    <row r="147" spans="1:11" s="247" customFormat="1" ht="14.25" customHeight="1" x14ac:dyDescent="0.25">
      <c r="A147" s="242" t="s">
        <v>414</v>
      </c>
      <c r="B147" s="243" t="s">
        <v>413</v>
      </c>
      <c r="C147" s="244">
        <f>ROUNDUP('ITEM CRAFT'!E148/7,1)</f>
        <v>0</v>
      </c>
      <c r="D147" s="245">
        <f>ROUNDUP('ITEM CRAFT'!E148,1)</f>
        <v>0</v>
      </c>
      <c r="E147" s="244"/>
      <c r="F147" s="246" t="s">
        <v>156</v>
      </c>
      <c r="G147" s="247" t="s">
        <v>154</v>
      </c>
      <c r="J147" s="247">
        <f t="shared" si="6"/>
        <v>0</v>
      </c>
      <c r="K147" s="248">
        <f t="shared" si="7"/>
        <v>2</v>
      </c>
    </row>
    <row r="148" spans="1:11" s="205" customFormat="1" ht="14.25" customHeight="1" x14ac:dyDescent="0.25">
      <c r="A148" s="202">
        <v>143</v>
      </c>
      <c r="B148" s="203" t="s">
        <v>415</v>
      </c>
      <c r="C148" s="201">
        <f>ROUNDUP('ITEM CRAFT'!E149/7,1)</f>
        <v>0.30000000000000004</v>
      </c>
      <c r="D148" s="63">
        <f>ROUNDUP('ITEM CRAFT'!E149,1)</f>
        <v>1.5</v>
      </c>
      <c r="E148" s="201" t="s">
        <v>150</v>
      </c>
      <c r="F148" s="204" t="s">
        <v>156</v>
      </c>
      <c r="G148" s="205" t="s">
        <v>154</v>
      </c>
      <c r="J148" s="205">
        <f t="shared" si="6"/>
        <v>0.2</v>
      </c>
      <c r="K148" s="56">
        <f t="shared" si="7"/>
        <v>2</v>
      </c>
    </row>
    <row r="149" spans="1:11" s="197" customFormat="1" ht="14.25" customHeight="1" x14ac:dyDescent="0.25">
      <c r="A149" s="195">
        <v>145</v>
      </c>
      <c r="B149" s="196" t="s">
        <v>416</v>
      </c>
      <c r="C149" s="194">
        <f>ROUNDUP('ITEM CRAFT'!E150/7,1)</f>
        <v>4854.9000000000005</v>
      </c>
      <c r="D149" s="59">
        <f>ROUNDUP('ITEM CRAFT'!E150,1)</f>
        <v>33984</v>
      </c>
      <c r="E149" s="194" t="s">
        <v>152</v>
      </c>
      <c r="F149" s="192" t="s">
        <v>156</v>
      </c>
      <c r="G149" s="197" t="s">
        <v>154</v>
      </c>
      <c r="J149" s="197">
        <f t="shared" si="6"/>
        <v>2427.5</v>
      </c>
      <c r="K149" s="191">
        <f t="shared" si="7"/>
        <v>2</v>
      </c>
    </row>
    <row r="150" spans="1:11" s="205" customFormat="1" ht="14.25" customHeight="1" x14ac:dyDescent="0.25">
      <c r="A150" s="202">
        <v>146</v>
      </c>
      <c r="B150" s="203" t="s">
        <v>417</v>
      </c>
      <c r="C150" s="201">
        <f>ROUNDUP('ITEM CRAFT'!E151/7,1)</f>
        <v>84.5</v>
      </c>
      <c r="D150" s="63">
        <f>ROUNDUP('ITEM CRAFT'!E151,1)</f>
        <v>591</v>
      </c>
      <c r="E150" s="201" t="s">
        <v>150</v>
      </c>
      <c r="F150" s="204" t="s">
        <v>156</v>
      </c>
      <c r="G150" s="205" t="s">
        <v>154</v>
      </c>
      <c r="J150" s="205">
        <f t="shared" si="6"/>
        <v>42.300000000000004</v>
      </c>
      <c r="K150" s="56">
        <f t="shared" si="7"/>
        <v>2</v>
      </c>
    </row>
    <row r="151" spans="1:11" s="197" customFormat="1" ht="14.25" customHeight="1" x14ac:dyDescent="0.25">
      <c r="A151" s="195">
        <v>147</v>
      </c>
      <c r="B151" s="196" t="s">
        <v>418</v>
      </c>
      <c r="C151" s="194">
        <f>ROUNDUP('ITEM CRAFT'!E152/7,1)</f>
        <v>548.6</v>
      </c>
      <c r="D151" s="59">
        <f>ROUNDUP('ITEM CRAFT'!E152,1)</f>
        <v>3840</v>
      </c>
      <c r="E151" s="194" t="s">
        <v>152</v>
      </c>
      <c r="F151" s="224" t="s">
        <v>156</v>
      </c>
      <c r="G151" s="197" t="s">
        <v>154</v>
      </c>
      <c r="J151" s="197">
        <f t="shared" si="6"/>
        <v>274.3</v>
      </c>
      <c r="K151" s="223">
        <f t="shared" si="7"/>
        <v>2</v>
      </c>
    </row>
    <row r="152" spans="1:11" s="197" customFormat="1" ht="14.25" customHeight="1" x14ac:dyDescent="0.25">
      <c r="A152" s="195">
        <v>148</v>
      </c>
      <c r="B152" s="196" t="s">
        <v>419</v>
      </c>
      <c r="C152" s="194">
        <f>ROUNDUP('ITEM CRAFT'!E153/7,1)</f>
        <v>274.3</v>
      </c>
      <c r="D152" s="59">
        <f>ROUNDUP('ITEM CRAFT'!E153,1)</f>
        <v>1920</v>
      </c>
      <c r="E152" s="194" t="s">
        <v>152</v>
      </c>
      <c r="F152" s="192" t="s">
        <v>156</v>
      </c>
      <c r="G152" s="197" t="s">
        <v>154</v>
      </c>
      <c r="J152" s="197">
        <f t="shared" si="6"/>
        <v>137.19999999999999</v>
      </c>
      <c r="K152" s="191">
        <f t="shared" si="7"/>
        <v>2</v>
      </c>
    </row>
    <row r="153" spans="1:11" s="197" customFormat="1" ht="14.25" customHeight="1" x14ac:dyDescent="0.25">
      <c r="A153" s="195">
        <v>151</v>
      </c>
      <c r="B153" s="196" t="s">
        <v>420</v>
      </c>
      <c r="C153" s="194">
        <f>ROUNDUP('ITEM CRAFT'!E154/7,1)</f>
        <v>17</v>
      </c>
      <c r="D153" s="59">
        <f>ROUNDUP('ITEM CRAFT'!E154,1)</f>
        <v>118.6</v>
      </c>
      <c r="E153" s="194" t="s">
        <v>152</v>
      </c>
      <c r="F153" s="192" t="s">
        <v>156</v>
      </c>
      <c r="G153" s="197" t="s">
        <v>154</v>
      </c>
      <c r="J153" s="197">
        <f t="shared" si="6"/>
        <v>8.5</v>
      </c>
      <c r="K153" s="191">
        <f t="shared" si="7"/>
        <v>2</v>
      </c>
    </row>
    <row r="154" spans="1:11" s="197" customFormat="1" ht="14.25" customHeight="1" x14ac:dyDescent="0.25">
      <c r="A154" s="195">
        <v>152</v>
      </c>
      <c r="B154" s="196" t="s">
        <v>421</v>
      </c>
      <c r="C154" s="194">
        <f>ROUNDUP('ITEM CRAFT'!E155/7,1)</f>
        <v>23.200000000000003</v>
      </c>
      <c r="D154" s="59">
        <f>ROUNDUP('ITEM CRAFT'!E155,1)</f>
        <v>162</v>
      </c>
      <c r="E154" s="194" t="s">
        <v>152</v>
      </c>
      <c r="F154" s="192" t="s">
        <v>156</v>
      </c>
      <c r="G154" s="197" t="s">
        <v>154</v>
      </c>
      <c r="J154" s="197">
        <f t="shared" si="6"/>
        <v>11.6</v>
      </c>
      <c r="K154" s="191">
        <f t="shared" si="7"/>
        <v>2</v>
      </c>
    </row>
    <row r="155" spans="1:11" s="197" customFormat="1" ht="14.25" customHeight="1" x14ac:dyDescent="0.25">
      <c r="A155" s="195">
        <v>154</v>
      </c>
      <c r="B155" s="196" t="s">
        <v>422</v>
      </c>
      <c r="C155" s="194">
        <f>ROUNDUP('ITEM CRAFT'!E156/7,1)</f>
        <v>687.7</v>
      </c>
      <c r="D155" s="59">
        <f>ROUNDUP('ITEM CRAFT'!E156,1)</f>
        <v>4813.9000000000005</v>
      </c>
      <c r="E155" s="194" t="s">
        <v>152</v>
      </c>
      <c r="F155" s="192" t="s">
        <v>156</v>
      </c>
      <c r="G155" s="197" t="s">
        <v>154</v>
      </c>
      <c r="J155" s="197">
        <f t="shared" si="6"/>
        <v>343.90000000000003</v>
      </c>
      <c r="K155" s="191">
        <f t="shared" si="7"/>
        <v>2</v>
      </c>
    </row>
    <row r="156" spans="1:11" s="197" customFormat="1" ht="14.25" customHeight="1" x14ac:dyDescent="0.25">
      <c r="A156" s="195">
        <v>155</v>
      </c>
      <c r="B156" s="196" t="s">
        <v>423</v>
      </c>
      <c r="C156" s="194">
        <f>ROUNDUP('ITEM CRAFT'!E157/7,1)</f>
        <v>13.1</v>
      </c>
      <c r="D156" s="59">
        <f>ROUNDUP('ITEM CRAFT'!E157,1)</f>
        <v>91.2</v>
      </c>
      <c r="E156" s="194" t="s">
        <v>152</v>
      </c>
      <c r="F156" s="192" t="s">
        <v>156</v>
      </c>
      <c r="G156" s="197" t="s">
        <v>154</v>
      </c>
      <c r="J156" s="197">
        <f t="shared" si="6"/>
        <v>6.6</v>
      </c>
      <c r="K156" s="191">
        <f t="shared" si="7"/>
        <v>2</v>
      </c>
    </row>
    <row r="157" spans="1:11" s="197" customFormat="1" ht="14.25" customHeight="1" x14ac:dyDescent="0.25">
      <c r="A157" s="195" t="s">
        <v>425</v>
      </c>
      <c r="B157" s="196" t="s">
        <v>424</v>
      </c>
      <c r="C157" s="194">
        <f>ROUNDUP('ITEM CRAFT'!E158/7,1)</f>
        <v>18.8</v>
      </c>
      <c r="D157" s="59">
        <f>ROUNDUP('ITEM CRAFT'!E158,1)</f>
        <v>131.4</v>
      </c>
      <c r="E157" s="194" t="s">
        <v>152</v>
      </c>
      <c r="F157" s="224" t="s">
        <v>156</v>
      </c>
      <c r="G157" s="197" t="s">
        <v>154</v>
      </c>
      <c r="J157" s="197">
        <f t="shared" si="6"/>
        <v>9.4</v>
      </c>
      <c r="K157" s="223">
        <f t="shared" si="7"/>
        <v>2</v>
      </c>
    </row>
    <row r="158" spans="1:11" s="197" customFormat="1" ht="14.25" customHeight="1" x14ac:dyDescent="0.25">
      <c r="A158" s="195" t="s">
        <v>427</v>
      </c>
      <c r="B158" s="196" t="s">
        <v>426</v>
      </c>
      <c r="C158" s="194">
        <f>ROUNDUP('ITEM CRAFT'!E159/7,1)</f>
        <v>15.7</v>
      </c>
      <c r="D158" s="59">
        <f>ROUNDUP('ITEM CRAFT'!E159,1)</f>
        <v>109.5</v>
      </c>
      <c r="E158" s="194" t="s">
        <v>152</v>
      </c>
      <c r="F158" s="192" t="s">
        <v>156</v>
      </c>
      <c r="G158" s="197" t="s">
        <v>154</v>
      </c>
      <c r="J158" s="197">
        <f t="shared" si="6"/>
        <v>7.8999999999999995</v>
      </c>
      <c r="K158" s="191">
        <f t="shared" si="7"/>
        <v>2</v>
      </c>
    </row>
    <row r="159" spans="1:11" s="197" customFormat="1" ht="14.25" customHeight="1" x14ac:dyDescent="0.25">
      <c r="A159" s="195">
        <v>156</v>
      </c>
      <c r="B159" s="196" t="s">
        <v>428</v>
      </c>
      <c r="C159" s="194">
        <f>ROUNDUP('ITEM CRAFT'!E160/7,1)</f>
        <v>23.5</v>
      </c>
      <c r="D159" s="59">
        <f>ROUNDUP('ITEM CRAFT'!E160,1)</f>
        <v>164.2</v>
      </c>
      <c r="E159" s="194" t="s">
        <v>152</v>
      </c>
      <c r="F159" s="192" t="s">
        <v>156</v>
      </c>
      <c r="G159" s="197" t="s">
        <v>154</v>
      </c>
      <c r="J159" s="197">
        <f t="shared" si="6"/>
        <v>11.799999999999999</v>
      </c>
      <c r="K159" s="191">
        <f t="shared" si="7"/>
        <v>2</v>
      </c>
    </row>
    <row r="160" spans="1:11" s="197" customFormat="1" ht="14.25" customHeight="1" x14ac:dyDescent="0.25">
      <c r="A160" s="195">
        <v>157</v>
      </c>
      <c r="B160" s="196" t="s">
        <v>429</v>
      </c>
      <c r="C160" s="194">
        <f>ROUNDUP('ITEM CRAFT'!E161/7,1)</f>
        <v>137.69999999999999</v>
      </c>
      <c r="D160" s="59">
        <f>ROUNDUP('ITEM CRAFT'!E161,1)</f>
        <v>963.80000000000007</v>
      </c>
      <c r="E160" s="194" t="s">
        <v>152</v>
      </c>
      <c r="F160" s="192" t="s">
        <v>156</v>
      </c>
      <c r="G160" s="197" t="s">
        <v>154</v>
      </c>
      <c r="J160" s="197">
        <f t="shared" si="6"/>
        <v>68.899999999999991</v>
      </c>
      <c r="K160" s="191">
        <f t="shared" si="7"/>
        <v>2</v>
      </c>
    </row>
    <row r="161" spans="1:11" s="197" customFormat="1" ht="14.25" customHeight="1" x14ac:dyDescent="0.25">
      <c r="A161" s="195">
        <v>158</v>
      </c>
      <c r="B161" s="196" t="s">
        <v>430</v>
      </c>
      <c r="C161" s="194">
        <f>ROUNDUP('ITEM CRAFT'!E162/7,1)</f>
        <v>118.5</v>
      </c>
      <c r="D161" s="59">
        <f>ROUNDUP('ITEM CRAFT'!E162,1)</f>
        <v>829.5</v>
      </c>
      <c r="E161" s="194" t="s">
        <v>152</v>
      </c>
      <c r="F161" s="192" t="s">
        <v>156</v>
      </c>
      <c r="G161" s="197" t="s">
        <v>154</v>
      </c>
      <c r="J161" s="197">
        <f t="shared" si="6"/>
        <v>59.300000000000004</v>
      </c>
      <c r="K161" s="191">
        <f t="shared" si="7"/>
        <v>2</v>
      </c>
    </row>
    <row r="162" spans="1:11" s="197" customFormat="1" ht="14.25" customHeight="1" x14ac:dyDescent="0.25">
      <c r="A162" s="195">
        <v>159</v>
      </c>
      <c r="B162" s="196" t="s">
        <v>431</v>
      </c>
      <c r="C162" s="194">
        <f>ROUNDUP('ITEM CRAFT'!E163/7,1)</f>
        <v>15.1</v>
      </c>
      <c r="D162" s="59">
        <f>ROUNDUP('ITEM CRAFT'!E163,1)</f>
        <v>105.1</v>
      </c>
      <c r="E162" s="194" t="s">
        <v>152</v>
      </c>
      <c r="F162" s="192" t="s">
        <v>156</v>
      </c>
      <c r="G162" s="197" t="s">
        <v>154</v>
      </c>
      <c r="J162" s="197">
        <f t="shared" si="6"/>
        <v>7.6</v>
      </c>
      <c r="K162" s="191">
        <f t="shared" si="7"/>
        <v>2</v>
      </c>
    </row>
    <row r="163" spans="1:11" s="197" customFormat="1" ht="14.25" customHeight="1" x14ac:dyDescent="0.25">
      <c r="A163" s="195" t="s">
        <v>433</v>
      </c>
      <c r="B163" s="196" t="s">
        <v>432</v>
      </c>
      <c r="C163" s="194">
        <f>ROUNDUP('ITEM CRAFT'!E164/7,1)</f>
        <v>15.299999999999999</v>
      </c>
      <c r="D163" s="59">
        <f>ROUNDUP('ITEM CRAFT'!E164,1)</f>
        <v>107</v>
      </c>
      <c r="E163" s="194" t="s">
        <v>152</v>
      </c>
      <c r="F163" s="192" t="s">
        <v>156</v>
      </c>
      <c r="G163" s="197" t="s">
        <v>154</v>
      </c>
      <c r="J163" s="197">
        <f t="shared" si="6"/>
        <v>7.6999999999999993</v>
      </c>
      <c r="K163" s="191">
        <f t="shared" si="7"/>
        <v>2</v>
      </c>
    </row>
    <row r="164" spans="1:11" s="197" customFormat="1" ht="14.25" customHeight="1" x14ac:dyDescent="0.25">
      <c r="A164" s="195" t="s">
        <v>435</v>
      </c>
      <c r="B164" s="196" t="s">
        <v>434</v>
      </c>
      <c r="C164" s="194">
        <f>ROUNDUP('ITEM CRAFT'!E165/7,1)</f>
        <v>16</v>
      </c>
      <c r="D164" s="59">
        <f>ROUNDUP('ITEM CRAFT'!E165,1)</f>
        <v>111.5</v>
      </c>
      <c r="E164" s="194" t="s">
        <v>152</v>
      </c>
      <c r="F164" s="192" t="s">
        <v>156</v>
      </c>
      <c r="G164" s="197" t="s">
        <v>154</v>
      </c>
      <c r="J164" s="197">
        <f t="shared" si="6"/>
        <v>8</v>
      </c>
      <c r="K164" s="191">
        <f t="shared" si="7"/>
        <v>2</v>
      </c>
    </row>
    <row r="165" spans="1:11" s="197" customFormat="1" ht="14.25" customHeight="1" x14ac:dyDescent="0.25">
      <c r="A165" s="195" t="s">
        <v>437</v>
      </c>
      <c r="B165" s="196" t="s">
        <v>436</v>
      </c>
      <c r="C165" s="194">
        <f>ROUNDUP('ITEM CRAFT'!E166/7,1)</f>
        <v>15.299999999999999</v>
      </c>
      <c r="D165" s="59">
        <f>ROUNDUP('ITEM CRAFT'!E166,1)</f>
        <v>107</v>
      </c>
      <c r="E165" s="194" t="s">
        <v>152</v>
      </c>
      <c r="F165" s="192" t="s">
        <v>156</v>
      </c>
      <c r="G165" s="197" t="s">
        <v>154</v>
      </c>
      <c r="J165" s="197">
        <f t="shared" si="6"/>
        <v>7.6999999999999993</v>
      </c>
      <c r="K165" s="191">
        <f t="shared" si="7"/>
        <v>2</v>
      </c>
    </row>
    <row r="166" spans="1:11" s="197" customFormat="1" ht="14.25" customHeight="1" x14ac:dyDescent="0.25">
      <c r="A166" s="195" t="s">
        <v>439</v>
      </c>
      <c r="B166" s="196" t="s">
        <v>438</v>
      </c>
      <c r="C166" s="194">
        <f>ROUNDUP('ITEM CRAFT'!E167/7,1)</f>
        <v>15.1</v>
      </c>
      <c r="D166" s="59">
        <f>ROUNDUP('ITEM CRAFT'!E167,1)</f>
        <v>105.1</v>
      </c>
      <c r="E166" s="194" t="s">
        <v>152</v>
      </c>
      <c r="F166" s="192" t="s">
        <v>156</v>
      </c>
      <c r="G166" s="197" t="s">
        <v>154</v>
      </c>
      <c r="J166" s="197">
        <f t="shared" si="6"/>
        <v>7.6</v>
      </c>
      <c r="K166" s="191">
        <f t="shared" si="7"/>
        <v>2</v>
      </c>
    </row>
    <row r="167" spans="1:11" s="197" customFormat="1" ht="14.25" customHeight="1" x14ac:dyDescent="0.25">
      <c r="A167" s="195" t="s">
        <v>441</v>
      </c>
      <c r="B167" s="196" t="s">
        <v>440</v>
      </c>
      <c r="C167" s="194">
        <f>ROUNDUP('ITEM CRAFT'!E168/7,1)</f>
        <v>15.6</v>
      </c>
      <c r="D167" s="59">
        <f>ROUNDUP('ITEM CRAFT'!E168,1)</f>
        <v>108.6</v>
      </c>
      <c r="E167" s="194" t="s">
        <v>152</v>
      </c>
      <c r="F167" s="192" t="s">
        <v>156</v>
      </c>
      <c r="G167" s="197" t="s">
        <v>154</v>
      </c>
      <c r="J167" s="197">
        <f t="shared" si="6"/>
        <v>7.8</v>
      </c>
      <c r="K167" s="191">
        <f t="shared" si="7"/>
        <v>2</v>
      </c>
    </row>
    <row r="168" spans="1:11" s="197" customFormat="1" ht="14.25" customHeight="1" x14ac:dyDescent="0.25">
      <c r="A168" s="195" t="s">
        <v>443</v>
      </c>
      <c r="B168" s="196" t="s">
        <v>442</v>
      </c>
      <c r="C168" s="194">
        <f>ROUNDUP('ITEM CRAFT'!E169/7,1)</f>
        <v>15.299999999999999</v>
      </c>
      <c r="D168" s="59">
        <f>ROUNDUP('ITEM CRAFT'!E169,1)</f>
        <v>107</v>
      </c>
      <c r="E168" s="194" t="s">
        <v>152</v>
      </c>
      <c r="F168" s="192" t="s">
        <v>156</v>
      </c>
      <c r="G168" s="197" t="s">
        <v>154</v>
      </c>
      <c r="J168" s="197">
        <f t="shared" si="6"/>
        <v>7.6999999999999993</v>
      </c>
      <c r="K168" s="191">
        <f t="shared" si="7"/>
        <v>2</v>
      </c>
    </row>
    <row r="169" spans="1:11" s="197" customFormat="1" ht="14.25" customHeight="1" x14ac:dyDescent="0.25">
      <c r="A169" s="195" t="s">
        <v>445</v>
      </c>
      <c r="B169" s="196" t="s">
        <v>444</v>
      </c>
      <c r="C169" s="194">
        <f>ROUNDUP('ITEM CRAFT'!E170/7,1)</f>
        <v>15.299999999999999</v>
      </c>
      <c r="D169" s="59">
        <f>ROUNDUP('ITEM CRAFT'!E170,1)</f>
        <v>107</v>
      </c>
      <c r="E169" s="194" t="s">
        <v>152</v>
      </c>
      <c r="F169" s="192" t="s">
        <v>156</v>
      </c>
      <c r="G169" s="197" t="s">
        <v>154</v>
      </c>
      <c r="J169" s="197">
        <f t="shared" si="6"/>
        <v>7.6999999999999993</v>
      </c>
      <c r="K169" s="191">
        <f t="shared" si="7"/>
        <v>2</v>
      </c>
    </row>
    <row r="170" spans="1:11" s="197" customFormat="1" ht="14.25" customHeight="1" x14ac:dyDescent="0.25">
      <c r="A170" s="195" t="s">
        <v>447</v>
      </c>
      <c r="B170" s="196" t="s">
        <v>446</v>
      </c>
      <c r="C170" s="194">
        <f>ROUNDUP('ITEM CRAFT'!E171/7,1)</f>
        <v>15.6</v>
      </c>
      <c r="D170" s="59">
        <f>ROUNDUP('ITEM CRAFT'!E171,1)</f>
        <v>109.19999999999999</v>
      </c>
      <c r="E170" s="194" t="s">
        <v>152</v>
      </c>
      <c r="F170" s="192" t="s">
        <v>156</v>
      </c>
      <c r="G170" s="197" t="s">
        <v>154</v>
      </c>
      <c r="J170" s="197">
        <f t="shared" si="6"/>
        <v>7.8</v>
      </c>
      <c r="K170" s="191">
        <f t="shared" si="7"/>
        <v>2</v>
      </c>
    </row>
    <row r="171" spans="1:11" s="197" customFormat="1" ht="14.25" customHeight="1" x14ac:dyDescent="0.25">
      <c r="A171" s="195" t="s">
        <v>449</v>
      </c>
      <c r="B171" s="196" t="s">
        <v>448</v>
      </c>
      <c r="C171" s="194">
        <f>ROUNDUP('ITEM CRAFT'!E172/7,1)</f>
        <v>15.299999999999999</v>
      </c>
      <c r="D171" s="59">
        <f>ROUNDUP('ITEM CRAFT'!E172,1)</f>
        <v>107</v>
      </c>
      <c r="E171" s="194" t="s">
        <v>152</v>
      </c>
      <c r="F171" s="192" t="s">
        <v>156</v>
      </c>
      <c r="G171" s="197" t="s">
        <v>154</v>
      </c>
      <c r="J171" s="197">
        <f t="shared" si="6"/>
        <v>7.6999999999999993</v>
      </c>
      <c r="K171" s="191">
        <f t="shared" si="7"/>
        <v>2</v>
      </c>
    </row>
    <row r="172" spans="1:11" s="197" customFormat="1" ht="14.25" customHeight="1" x14ac:dyDescent="0.25">
      <c r="A172" s="195" t="s">
        <v>451</v>
      </c>
      <c r="B172" s="196" t="s">
        <v>450</v>
      </c>
      <c r="C172" s="194">
        <f>ROUNDUP('ITEM CRAFT'!E173/7,1)</f>
        <v>15.299999999999999</v>
      </c>
      <c r="D172" s="59">
        <f>ROUNDUP('ITEM CRAFT'!E173,1)</f>
        <v>107</v>
      </c>
      <c r="E172" s="194" t="s">
        <v>152</v>
      </c>
      <c r="F172" s="192" t="s">
        <v>156</v>
      </c>
      <c r="G172" s="197" t="s">
        <v>154</v>
      </c>
      <c r="J172" s="197">
        <f t="shared" si="6"/>
        <v>7.6999999999999993</v>
      </c>
      <c r="K172" s="191">
        <f t="shared" si="7"/>
        <v>2</v>
      </c>
    </row>
    <row r="173" spans="1:11" s="197" customFormat="1" ht="14.25" customHeight="1" x14ac:dyDescent="0.25">
      <c r="A173" s="195" t="s">
        <v>453</v>
      </c>
      <c r="B173" s="196" t="s">
        <v>452</v>
      </c>
      <c r="C173" s="194">
        <f>ROUNDUP('ITEM CRAFT'!E174/7,1)</f>
        <v>15.1</v>
      </c>
      <c r="D173" s="59">
        <f>ROUNDUP('ITEM CRAFT'!E174,1)</f>
        <v>105.1</v>
      </c>
      <c r="E173" s="194" t="s">
        <v>152</v>
      </c>
      <c r="F173" s="192" t="s">
        <v>156</v>
      </c>
      <c r="G173" s="197" t="s">
        <v>154</v>
      </c>
      <c r="J173" s="197">
        <f t="shared" si="6"/>
        <v>7.6</v>
      </c>
      <c r="K173" s="191">
        <f t="shared" si="7"/>
        <v>2</v>
      </c>
    </row>
    <row r="174" spans="1:11" s="197" customFormat="1" ht="14.25" customHeight="1" x14ac:dyDescent="0.25">
      <c r="A174" s="195" t="s">
        <v>455</v>
      </c>
      <c r="B174" s="196" t="s">
        <v>454</v>
      </c>
      <c r="C174" s="194">
        <f>ROUNDUP('ITEM CRAFT'!E175/7,1)</f>
        <v>15.1</v>
      </c>
      <c r="D174" s="59">
        <f>ROUNDUP('ITEM CRAFT'!E175,1)</f>
        <v>105.1</v>
      </c>
      <c r="E174" s="194" t="s">
        <v>152</v>
      </c>
      <c r="F174" s="192" t="s">
        <v>156</v>
      </c>
      <c r="G174" s="197" t="s">
        <v>154</v>
      </c>
      <c r="J174" s="197">
        <f t="shared" si="6"/>
        <v>7.6</v>
      </c>
      <c r="K174" s="191">
        <f t="shared" si="7"/>
        <v>2</v>
      </c>
    </row>
    <row r="175" spans="1:11" s="197" customFormat="1" ht="14.25" customHeight="1" x14ac:dyDescent="0.25">
      <c r="A175" s="195" t="s">
        <v>457</v>
      </c>
      <c r="B175" s="196" t="s">
        <v>456</v>
      </c>
      <c r="C175" s="194">
        <f>ROUNDUP('ITEM CRAFT'!E176/7,1)</f>
        <v>15.1</v>
      </c>
      <c r="D175" s="59">
        <f>ROUNDUP('ITEM CRAFT'!E176,1)</f>
        <v>105.1</v>
      </c>
      <c r="E175" s="194" t="s">
        <v>152</v>
      </c>
      <c r="F175" s="192" t="s">
        <v>156</v>
      </c>
      <c r="G175" s="197" t="s">
        <v>154</v>
      </c>
      <c r="J175" s="197">
        <f t="shared" si="6"/>
        <v>7.6</v>
      </c>
      <c r="K175" s="191">
        <f t="shared" si="7"/>
        <v>2</v>
      </c>
    </row>
    <row r="176" spans="1:11" s="197" customFormat="1" ht="14.25" customHeight="1" x14ac:dyDescent="0.25">
      <c r="A176" s="195" t="s">
        <v>459</v>
      </c>
      <c r="B176" s="196" t="s">
        <v>458</v>
      </c>
      <c r="C176" s="194">
        <f>ROUNDUP('ITEM CRAFT'!E177/7,1)</f>
        <v>15.1</v>
      </c>
      <c r="D176" s="59">
        <f>ROUNDUP('ITEM CRAFT'!E177,1)</f>
        <v>105.1</v>
      </c>
      <c r="E176" s="194" t="s">
        <v>152</v>
      </c>
      <c r="F176" s="192" t="s">
        <v>156</v>
      </c>
      <c r="G176" s="197" t="s">
        <v>154</v>
      </c>
      <c r="J176" s="197">
        <f t="shared" si="6"/>
        <v>7.6</v>
      </c>
      <c r="K176" s="191">
        <f t="shared" si="7"/>
        <v>2</v>
      </c>
    </row>
    <row r="177" spans="1:11" s="197" customFormat="1" ht="14.25" customHeight="1" x14ac:dyDescent="0.25">
      <c r="A177" s="195" t="s">
        <v>461</v>
      </c>
      <c r="B177" s="196" t="s">
        <v>460</v>
      </c>
      <c r="C177" s="194">
        <f>ROUNDUP('ITEM CRAFT'!E178/7,1)</f>
        <v>15.1</v>
      </c>
      <c r="D177" s="59">
        <f>ROUNDUP('ITEM CRAFT'!E178,1)</f>
        <v>105.1</v>
      </c>
      <c r="E177" s="194" t="s">
        <v>152</v>
      </c>
      <c r="F177" s="192" t="s">
        <v>156</v>
      </c>
      <c r="G177" s="197" t="s">
        <v>154</v>
      </c>
      <c r="J177" s="197">
        <f t="shared" si="6"/>
        <v>7.6</v>
      </c>
      <c r="K177" s="191">
        <f t="shared" si="7"/>
        <v>2</v>
      </c>
    </row>
    <row r="178" spans="1:11" s="197" customFormat="1" ht="14.25" customHeight="1" x14ac:dyDescent="0.25">
      <c r="A178" s="195">
        <v>160</v>
      </c>
      <c r="B178" s="196" t="s">
        <v>462</v>
      </c>
      <c r="C178" s="194">
        <f>ROUNDUP('ITEM CRAFT'!E179/7,1)</f>
        <v>1.3</v>
      </c>
      <c r="D178" s="59">
        <f>ROUNDUP('ITEM CRAFT'!E179,1)</f>
        <v>8.5</v>
      </c>
      <c r="E178" s="194" t="s">
        <v>152</v>
      </c>
      <c r="F178" s="192" t="s">
        <v>156</v>
      </c>
      <c r="G178" s="197" t="s">
        <v>154</v>
      </c>
      <c r="J178" s="197">
        <f t="shared" si="6"/>
        <v>0.7</v>
      </c>
      <c r="K178" s="191">
        <f t="shared" si="7"/>
        <v>2</v>
      </c>
    </row>
    <row r="179" spans="1:11" s="197" customFormat="1" ht="14.25" customHeight="1" x14ac:dyDescent="0.25">
      <c r="A179" s="195" t="s">
        <v>464</v>
      </c>
      <c r="B179" s="196" t="s">
        <v>463</v>
      </c>
      <c r="C179" s="194">
        <f>ROUNDUP('ITEM CRAFT'!E180/7,1)</f>
        <v>1.5</v>
      </c>
      <c r="D179" s="59">
        <f>ROUNDUP('ITEM CRAFT'!E180,1)</f>
        <v>10.299999999999999</v>
      </c>
      <c r="E179" s="194" t="s">
        <v>152</v>
      </c>
      <c r="F179" s="192" t="s">
        <v>156</v>
      </c>
      <c r="G179" s="197" t="s">
        <v>154</v>
      </c>
      <c r="J179" s="197">
        <f t="shared" si="6"/>
        <v>0.79999999999999993</v>
      </c>
      <c r="K179" s="191">
        <f t="shared" si="7"/>
        <v>2</v>
      </c>
    </row>
    <row r="180" spans="1:11" s="197" customFormat="1" ht="14.25" customHeight="1" x14ac:dyDescent="0.25">
      <c r="A180" s="195" t="s">
        <v>466</v>
      </c>
      <c r="B180" s="196" t="s">
        <v>465</v>
      </c>
      <c r="C180" s="194">
        <f>ROUNDUP('ITEM CRAFT'!E181/7,1)</f>
        <v>2.1</v>
      </c>
      <c r="D180" s="59">
        <f>ROUNDUP('ITEM CRAFT'!E181,1)</f>
        <v>14.6</v>
      </c>
      <c r="E180" s="194" t="s">
        <v>152</v>
      </c>
      <c r="F180" s="192" t="s">
        <v>156</v>
      </c>
      <c r="G180" s="197" t="s">
        <v>154</v>
      </c>
      <c r="J180" s="197">
        <f t="shared" si="6"/>
        <v>1.1000000000000001</v>
      </c>
      <c r="K180" s="191">
        <f t="shared" si="7"/>
        <v>2</v>
      </c>
    </row>
    <row r="181" spans="1:11" s="197" customFormat="1" ht="14.25" customHeight="1" x14ac:dyDescent="0.25">
      <c r="A181" s="195" t="s">
        <v>468</v>
      </c>
      <c r="B181" s="196" t="s">
        <v>467</v>
      </c>
      <c r="C181" s="194">
        <f>ROUNDUP('ITEM CRAFT'!E182/7,1)</f>
        <v>1.5</v>
      </c>
      <c r="D181" s="59">
        <f>ROUNDUP('ITEM CRAFT'!E182,1)</f>
        <v>10.299999999999999</v>
      </c>
      <c r="E181" s="194" t="s">
        <v>152</v>
      </c>
      <c r="F181" s="192" t="s">
        <v>156</v>
      </c>
      <c r="G181" s="197" t="s">
        <v>154</v>
      </c>
      <c r="J181" s="197">
        <f t="shared" si="6"/>
        <v>0.79999999999999993</v>
      </c>
      <c r="K181" s="191">
        <f t="shared" si="7"/>
        <v>2</v>
      </c>
    </row>
    <row r="182" spans="1:11" s="197" customFormat="1" ht="14.25" customHeight="1" x14ac:dyDescent="0.25">
      <c r="A182" s="195" t="s">
        <v>470</v>
      </c>
      <c r="B182" s="196" t="s">
        <v>469</v>
      </c>
      <c r="C182" s="194">
        <f>ROUNDUP('ITEM CRAFT'!E183/7,1)</f>
        <v>1.3</v>
      </c>
      <c r="D182" s="59">
        <f>ROUNDUP('ITEM CRAFT'!E183,1)</f>
        <v>8.5</v>
      </c>
      <c r="E182" s="194" t="s">
        <v>152</v>
      </c>
      <c r="F182" s="192" t="s">
        <v>156</v>
      </c>
      <c r="G182" s="197" t="s">
        <v>154</v>
      </c>
      <c r="J182" s="197">
        <f t="shared" si="6"/>
        <v>0.7</v>
      </c>
      <c r="K182" s="191">
        <f t="shared" si="7"/>
        <v>2</v>
      </c>
    </row>
    <row r="183" spans="1:11" s="197" customFormat="1" ht="14.25" customHeight="1" x14ac:dyDescent="0.25">
      <c r="A183" s="195" t="s">
        <v>472</v>
      </c>
      <c r="B183" s="196" t="s">
        <v>471</v>
      </c>
      <c r="C183" s="194">
        <f>ROUNDUP('ITEM CRAFT'!E184/7,1)</f>
        <v>1.7000000000000002</v>
      </c>
      <c r="D183" s="59">
        <f>ROUNDUP('ITEM CRAFT'!E184,1)</f>
        <v>11.799999999999999</v>
      </c>
      <c r="E183" s="194" t="s">
        <v>152</v>
      </c>
      <c r="F183" s="192" t="s">
        <v>156</v>
      </c>
      <c r="G183" s="197" t="s">
        <v>154</v>
      </c>
      <c r="J183" s="197">
        <f t="shared" si="6"/>
        <v>0.9</v>
      </c>
      <c r="K183" s="191">
        <f t="shared" si="7"/>
        <v>2</v>
      </c>
    </row>
    <row r="184" spans="1:11" s="197" customFormat="1" ht="14.25" customHeight="1" x14ac:dyDescent="0.25">
      <c r="A184" s="195" t="s">
        <v>474</v>
      </c>
      <c r="B184" s="196" t="s">
        <v>473</v>
      </c>
      <c r="C184" s="194">
        <f>ROUNDUP('ITEM CRAFT'!E185/7,1)</f>
        <v>1.5</v>
      </c>
      <c r="D184" s="59">
        <f>ROUNDUP('ITEM CRAFT'!E185,1)</f>
        <v>10.299999999999999</v>
      </c>
      <c r="E184" s="194" t="s">
        <v>152</v>
      </c>
      <c r="F184" s="192" t="s">
        <v>156</v>
      </c>
      <c r="G184" s="197" t="s">
        <v>154</v>
      </c>
      <c r="J184" s="197">
        <f t="shared" si="6"/>
        <v>0.79999999999999993</v>
      </c>
      <c r="K184" s="191">
        <f t="shared" si="7"/>
        <v>2</v>
      </c>
    </row>
    <row r="185" spans="1:11" s="197" customFormat="1" ht="14.25" customHeight="1" x14ac:dyDescent="0.25">
      <c r="A185" s="195" t="s">
        <v>476</v>
      </c>
      <c r="B185" s="196" t="s">
        <v>475</v>
      </c>
      <c r="C185" s="194">
        <f>ROUNDUP('ITEM CRAFT'!E186/7,1)</f>
        <v>1.5</v>
      </c>
      <c r="D185" s="59">
        <f>ROUNDUP('ITEM CRAFT'!E186,1)</f>
        <v>10.299999999999999</v>
      </c>
      <c r="E185" s="194" t="s">
        <v>152</v>
      </c>
      <c r="F185" s="192" t="s">
        <v>156</v>
      </c>
      <c r="G185" s="197" t="s">
        <v>154</v>
      </c>
      <c r="J185" s="197">
        <f t="shared" si="6"/>
        <v>0.79999999999999993</v>
      </c>
      <c r="K185" s="191">
        <f t="shared" si="7"/>
        <v>2</v>
      </c>
    </row>
    <row r="186" spans="1:11" s="197" customFormat="1" ht="14.25" customHeight="1" x14ac:dyDescent="0.25">
      <c r="A186" s="195" t="s">
        <v>478</v>
      </c>
      <c r="B186" s="196" t="s">
        <v>477</v>
      </c>
      <c r="C186" s="194">
        <f>ROUNDUP('ITEM CRAFT'!E187/7,1)</f>
        <v>1.8</v>
      </c>
      <c r="D186" s="59">
        <f>ROUNDUP('ITEM CRAFT'!E187,1)</f>
        <v>12.4</v>
      </c>
      <c r="E186" s="194" t="s">
        <v>152</v>
      </c>
      <c r="F186" s="192" t="s">
        <v>156</v>
      </c>
      <c r="G186" s="197" t="s">
        <v>154</v>
      </c>
      <c r="J186" s="197">
        <f t="shared" si="6"/>
        <v>0.9</v>
      </c>
      <c r="K186" s="191">
        <f t="shared" si="7"/>
        <v>2</v>
      </c>
    </row>
    <row r="187" spans="1:11" s="197" customFormat="1" ht="14.25" customHeight="1" x14ac:dyDescent="0.25">
      <c r="A187" s="195" t="s">
        <v>480</v>
      </c>
      <c r="B187" s="196" t="s">
        <v>479</v>
      </c>
      <c r="C187" s="194">
        <f>ROUNDUP('ITEM CRAFT'!E188/7,1)</f>
        <v>1.5</v>
      </c>
      <c r="D187" s="59">
        <f>ROUNDUP('ITEM CRAFT'!E188,1)</f>
        <v>10.299999999999999</v>
      </c>
      <c r="E187" s="194" t="s">
        <v>152</v>
      </c>
      <c r="F187" s="192" t="s">
        <v>156</v>
      </c>
      <c r="G187" s="197" t="s">
        <v>154</v>
      </c>
      <c r="J187" s="197">
        <f t="shared" si="6"/>
        <v>0.79999999999999993</v>
      </c>
      <c r="K187" s="191">
        <f t="shared" si="7"/>
        <v>2</v>
      </c>
    </row>
    <row r="188" spans="1:11" s="197" customFormat="1" ht="14.25" customHeight="1" x14ac:dyDescent="0.25">
      <c r="A188" s="195" t="s">
        <v>482</v>
      </c>
      <c r="B188" s="196" t="s">
        <v>481</v>
      </c>
      <c r="C188" s="194">
        <f>ROUNDUP('ITEM CRAFT'!E189/7,1)</f>
        <v>1.5</v>
      </c>
      <c r="D188" s="59">
        <f>ROUNDUP('ITEM CRAFT'!E189,1)</f>
        <v>10.299999999999999</v>
      </c>
      <c r="E188" s="194" t="s">
        <v>152</v>
      </c>
      <c r="F188" s="192" t="s">
        <v>156</v>
      </c>
      <c r="G188" s="197" t="s">
        <v>154</v>
      </c>
      <c r="J188" s="197">
        <f t="shared" si="6"/>
        <v>0.79999999999999993</v>
      </c>
      <c r="K188" s="191">
        <f t="shared" si="7"/>
        <v>2</v>
      </c>
    </row>
    <row r="189" spans="1:11" s="197" customFormat="1" ht="14.25" customHeight="1" x14ac:dyDescent="0.25">
      <c r="A189" s="195" t="s">
        <v>484</v>
      </c>
      <c r="B189" s="196" t="s">
        <v>483</v>
      </c>
      <c r="C189" s="194">
        <f>ROUNDUP('ITEM CRAFT'!E190/7,1)</f>
        <v>1.3</v>
      </c>
      <c r="D189" s="59">
        <f>ROUNDUP('ITEM CRAFT'!E190,1)</f>
        <v>8.5</v>
      </c>
      <c r="E189" s="194" t="s">
        <v>152</v>
      </c>
      <c r="F189" s="192" t="s">
        <v>156</v>
      </c>
      <c r="G189" s="197" t="s">
        <v>154</v>
      </c>
      <c r="J189" s="197">
        <f t="shared" si="6"/>
        <v>0.7</v>
      </c>
      <c r="K189" s="191">
        <f t="shared" si="7"/>
        <v>2</v>
      </c>
    </row>
    <row r="190" spans="1:11" s="197" customFormat="1" ht="14.25" customHeight="1" x14ac:dyDescent="0.25">
      <c r="A190" s="195" t="s">
        <v>486</v>
      </c>
      <c r="B190" s="196" t="s">
        <v>485</v>
      </c>
      <c r="C190" s="194">
        <f>ROUNDUP('ITEM CRAFT'!E191/7,1)</f>
        <v>1.3</v>
      </c>
      <c r="D190" s="59">
        <f>ROUNDUP('ITEM CRAFT'!E191,1)</f>
        <v>8.5</v>
      </c>
      <c r="E190" s="194" t="s">
        <v>152</v>
      </c>
      <c r="F190" s="192" t="s">
        <v>156</v>
      </c>
      <c r="G190" s="197" t="s">
        <v>154</v>
      </c>
      <c r="J190" s="197">
        <f t="shared" si="6"/>
        <v>0.7</v>
      </c>
      <c r="K190" s="191">
        <f t="shared" si="7"/>
        <v>2</v>
      </c>
    </row>
    <row r="191" spans="1:11" s="197" customFormat="1" ht="14.25" customHeight="1" x14ac:dyDescent="0.25">
      <c r="A191" s="195" t="s">
        <v>488</v>
      </c>
      <c r="B191" s="196" t="s">
        <v>487</v>
      </c>
      <c r="C191" s="194">
        <f>ROUNDUP('ITEM CRAFT'!E192/7,1)</f>
        <v>1.3</v>
      </c>
      <c r="D191" s="59">
        <f>ROUNDUP('ITEM CRAFT'!E192,1)</f>
        <v>8.5</v>
      </c>
      <c r="E191" s="194" t="s">
        <v>152</v>
      </c>
      <c r="F191" s="192" t="s">
        <v>156</v>
      </c>
      <c r="G191" s="197" t="s">
        <v>154</v>
      </c>
      <c r="J191" s="197">
        <f t="shared" si="6"/>
        <v>0.7</v>
      </c>
      <c r="K191" s="191">
        <f t="shared" si="7"/>
        <v>2</v>
      </c>
    </row>
    <row r="192" spans="1:11" s="197" customFormat="1" ht="14.25" customHeight="1" x14ac:dyDescent="0.25">
      <c r="A192" s="195" t="s">
        <v>490</v>
      </c>
      <c r="B192" s="196" t="s">
        <v>489</v>
      </c>
      <c r="C192" s="194">
        <f>ROUNDUP('ITEM CRAFT'!E193/7,1)</f>
        <v>1.3</v>
      </c>
      <c r="D192" s="59">
        <f>ROUNDUP('ITEM CRAFT'!E193,1)</f>
        <v>8.5</v>
      </c>
      <c r="E192" s="194" t="s">
        <v>152</v>
      </c>
      <c r="F192" s="192" t="s">
        <v>156</v>
      </c>
      <c r="G192" s="197" t="s">
        <v>154</v>
      </c>
      <c r="J192" s="197">
        <f t="shared" si="6"/>
        <v>0.7</v>
      </c>
      <c r="K192" s="191">
        <f t="shared" si="7"/>
        <v>2</v>
      </c>
    </row>
    <row r="193" spans="1:11" s="197" customFormat="1" ht="14.25" customHeight="1" x14ac:dyDescent="0.25">
      <c r="A193" s="195" t="s">
        <v>492</v>
      </c>
      <c r="B193" s="196" t="s">
        <v>491</v>
      </c>
      <c r="C193" s="194">
        <f>ROUNDUP('ITEM CRAFT'!E194/7,1)</f>
        <v>1.3</v>
      </c>
      <c r="D193" s="59">
        <f>ROUNDUP('ITEM CRAFT'!E194,1)</f>
        <v>8.5</v>
      </c>
      <c r="E193" s="194" t="s">
        <v>152</v>
      </c>
      <c r="F193" s="192" t="s">
        <v>156</v>
      </c>
      <c r="G193" s="197" t="s">
        <v>154</v>
      </c>
      <c r="J193" s="197">
        <f t="shared" si="6"/>
        <v>0.7</v>
      </c>
      <c r="K193" s="191">
        <f t="shared" si="7"/>
        <v>2</v>
      </c>
    </row>
    <row r="194" spans="1:11" s="205" customFormat="1" ht="14.25" customHeight="1" x14ac:dyDescent="0.25">
      <c r="A194" s="202">
        <v>162</v>
      </c>
      <c r="B194" s="203" t="s">
        <v>493</v>
      </c>
      <c r="C194" s="201">
        <f>ROUNDUP('ITEM CRAFT'!E195/7,1)</f>
        <v>4.5</v>
      </c>
      <c r="D194" s="63">
        <f>ROUNDUP('ITEM CRAFT'!E195,1)</f>
        <v>31</v>
      </c>
      <c r="E194" s="201" t="s">
        <v>150</v>
      </c>
      <c r="F194" s="204" t="s">
        <v>153</v>
      </c>
      <c r="G194" s="205" t="s">
        <v>157</v>
      </c>
      <c r="J194" s="205">
        <f t="shared" ref="J194:J257" si="8">ROUNDUP(C194/K194,1)</f>
        <v>2.3000000000000003</v>
      </c>
      <c r="K194" s="56">
        <f t="shared" si="7"/>
        <v>2</v>
      </c>
    </row>
    <row r="195" spans="1:11" s="205" customFormat="1" ht="14.25" customHeight="1" x14ac:dyDescent="0.25">
      <c r="A195" s="202" t="s">
        <v>495</v>
      </c>
      <c r="B195" s="203" t="s">
        <v>494</v>
      </c>
      <c r="C195" s="201">
        <f>ROUNDUP('ITEM CRAFT'!E196/7,1)</f>
        <v>5.3</v>
      </c>
      <c r="D195" s="63">
        <f>ROUNDUP('ITEM CRAFT'!E196,1)</f>
        <v>37</v>
      </c>
      <c r="E195" s="201" t="s">
        <v>150</v>
      </c>
      <c r="F195" s="204" t="s">
        <v>153</v>
      </c>
      <c r="G195" s="205" t="s">
        <v>157</v>
      </c>
      <c r="J195" s="205">
        <f t="shared" si="8"/>
        <v>2.7</v>
      </c>
      <c r="K195" s="56">
        <f t="shared" si="7"/>
        <v>2</v>
      </c>
    </row>
    <row r="196" spans="1:11" s="205" customFormat="1" ht="14.25" customHeight="1" x14ac:dyDescent="0.25">
      <c r="A196" s="202">
        <v>163</v>
      </c>
      <c r="B196" s="203" t="s">
        <v>496</v>
      </c>
      <c r="C196" s="201">
        <f>ROUNDUP('ITEM CRAFT'!E197/7,1)</f>
        <v>2.4</v>
      </c>
      <c r="D196" s="63">
        <f>ROUNDUP('ITEM CRAFT'!E197,1)</f>
        <v>16.8</v>
      </c>
      <c r="E196" s="201" t="s">
        <v>150</v>
      </c>
      <c r="F196" s="204" t="s">
        <v>156</v>
      </c>
      <c r="G196" s="205" t="s">
        <v>154</v>
      </c>
      <c r="J196" s="205">
        <f t="shared" si="8"/>
        <v>1.2</v>
      </c>
      <c r="K196" s="56">
        <f t="shared" si="7"/>
        <v>2</v>
      </c>
    </row>
    <row r="197" spans="1:11" s="205" customFormat="1" ht="14.25" customHeight="1" x14ac:dyDescent="0.25">
      <c r="A197" s="202">
        <v>164</v>
      </c>
      <c r="B197" s="203" t="s">
        <v>497</v>
      </c>
      <c r="C197" s="201">
        <f>ROUNDUP('ITEM CRAFT'!E198/7,1)</f>
        <v>2.9</v>
      </c>
      <c r="D197" s="63">
        <f>ROUNDUP('ITEM CRAFT'!E198,1)</f>
        <v>20</v>
      </c>
      <c r="E197" s="201" t="s">
        <v>150</v>
      </c>
      <c r="F197" s="204" t="s">
        <v>156</v>
      </c>
      <c r="G197" s="205" t="s">
        <v>154</v>
      </c>
      <c r="J197" s="205">
        <f t="shared" si="8"/>
        <v>1.5</v>
      </c>
      <c r="K197" s="56">
        <f t="shared" si="7"/>
        <v>2</v>
      </c>
    </row>
    <row r="198" spans="1:11" s="197" customFormat="1" ht="14.25" customHeight="1" x14ac:dyDescent="0.25">
      <c r="A198" s="198">
        <v>165</v>
      </c>
      <c r="B198" s="199" t="s">
        <v>498</v>
      </c>
      <c r="C198" s="194">
        <f>ROUNDUP('ITEM CRAFT'!E199/7,1)</f>
        <v>32.4</v>
      </c>
      <c r="D198" s="59">
        <f>ROUNDUP('ITEM CRAFT'!E199,1)</f>
        <v>226.8</v>
      </c>
      <c r="E198" s="194" t="s">
        <v>152</v>
      </c>
      <c r="F198" s="192" t="s">
        <v>156</v>
      </c>
      <c r="G198" s="197" t="s">
        <v>154</v>
      </c>
      <c r="J198" s="197">
        <f t="shared" si="8"/>
        <v>16.2</v>
      </c>
      <c r="K198" s="191">
        <f t="shared" ref="K198:K261" si="9">COUNTIF(F198:I198,"*")</f>
        <v>2</v>
      </c>
    </row>
    <row r="199" spans="1:11" s="197" customFormat="1" ht="14.25" customHeight="1" x14ac:dyDescent="0.25">
      <c r="A199" s="198">
        <v>167</v>
      </c>
      <c r="B199" s="199" t="s">
        <v>499</v>
      </c>
      <c r="C199" s="194">
        <f>ROUNDUP('ITEM CRAFT'!E200/7,1)</f>
        <v>274.3</v>
      </c>
      <c r="D199" s="59">
        <f>ROUNDUP('ITEM CRAFT'!E200,1)</f>
        <v>1920</v>
      </c>
      <c r="E199" s="194" t="s">
        <v>152</v>
      </c>
      <c r="F199" s="192" t="s">
        <v>156</v>
      </c>
      <c r="G199" s="197" t="s">
        <v>154</v>
      </c>
      <c r="J199" s="197">
        <f t="shared" si="8"/>
        <v>137.19999999999999</v>
      </c>
      <c r="K199" s="191">
        <f t="shared" si="9"/>
        <v>2</v>
      </c>
    </row>
    <row r="200" spans="1:11" s="197" customFormat="1" ht="14.25" customHeight="1" x14ac:dyDescent="0.25">
      <c r="A200" s="198">
        <v>168</v>
      </c>
      <c r="B200" s="199" t="s">
        <v>500</v>
      </c>
      <c r="C200" s="194">
        <f>ROUNDUP('ITEM CRAFT'!E201/7,1)</f>
        <v>13.1</v>
      </c>
      <c r="D200" s="59">
        <f>ROUNDUP('ITEM CRAFT'!E201,1)</f>
        <v>91.2</v>
      </c>
      <c r="E200" s="194" t="s">
        <v>152</v>
      </c>
      <c r="F200" s="192" t="s">
        <v>156</v>
      </c>
      <c r="G200" s="197" t="s">
        <v>154</v>
      </c>
      <c r="H200" s="197" t="s">
        <v>153</v>
      </c>
      <c r="J200" s="197">
        <f t="shared" si="8"/>
        <v>4.3999999999999995</v>
      </c>
      <c r="K200" s="191">
        <f t="shared" si="9"/>
        <v>3</v>
      </c>
    </row>
    <row r="201" spans="1:11" s="197" customFormat="1" ht="14.25" customHeight="1" x14ac:dyDescent="0.25">
      <c r="A201" s="198" t="s">
        <v>502</v>
      </c>
      <c r="B201" s="199" t="s">
        <v>501</v>
      </c>
      <c r="C201" s="194">
        <f>ROUNDUP('ITEM CRAFT'!E202/7,1)</f>
        <v>29.400000000000002</v>
      </c>
      <c r="D201" s="59">
        <f>ROUNDUP('ITEM CRAFT'!E202,1)</f>
        <v>205.2</v>
      </c>
      <c r="E201" s="194" t="s">
        <v>152</v>
      </c>
      <c r="F201" s="192" t="s">
        <v>156</v>
      </c>
      <c r="G201" s="197" t="s">
        <v>154</v>
      </c>
      <c r="J201" s="197">
        <f t="shared" si="8"/>
        <v>14.7</v>
      </c>
      <c r="K201" s="191">
        <f t="shared" si="9"/>
        <v>2</v>
      </c>
    </row>
    <row r="202" spans="1:11" s="197" customFormat="1" ht="14.25" customHeight="1" x14ac:dyDescent="0.25">
      <c r="A202" s="198" t="s">
        <v>504</v>
      </c>
      <c r="B202" s="199" t="s">
        <v>503</v>
      </c>
      <c r="C202" s="194">
        <f>ROUNDUP('ITEM CRAFT'!E203/7,1)</f>
        <v>27.6</v>
      </c>
      <c r="D202" s="59">
        <f>ROUNDUP('ITEM CRAFT'!E203,1)</f>
        <v>193.2</v>
      </c>
      <c r="E202" s="194" t="s">
        <v>152</v>
      </c>
      <c r="F202" s="192" t="s">
        <v>156</v>
      </c>
      <c r="G202" s="197" t="s">
        <v>154</v>
      </c>
      <c r="J202" s="197">
        <f t="shared" si="8"/>
        <v>13.8</v>
      </c>
      <c r="K202" s="191">
        <f t="shared" si="9"/>
        <v>2</v>
      </c>
    </row>
    <row r="203" spans="1:11" s="197" customFormat="1" ht="14.25" customHeight="1" x14ac:dyDescent="0.25">
      <c r="A203" s="198">
        <v>169</v>
      </c>
      <c r="B203" s="199" t="s">
        <v>505</v>
      </c>
      <c r="C203" s="194">
        <f>ROUNDUP('ITEM CRAFT'!E204/7,1)</f>
        <v>29.400000000000002</v>
      </c>
      <c r="D203" s="59">
        <f>ROUNDUP('ITEM CRAFT'!E204,1)</f>
        <v>205.2</v>
      </c>
      <c r="E203" s="194" t="s">
        <v>152</v>
      </c>
      <c r="F203" s="192" t="s">
        <v>156</v>
      </c>
      <c r="G203" s="197" t="s">
        <v>154</v>
      </c>
      <c r="J203" s="197">
        <f t="shared" si="8"/>
        <v>14.7</v>
      </c>
      <c r="K203" s="191">
        <f t="shared" si="9"/>
        <v>2</v>
      </c>
    </row>
    <row r="204" spans="1:11" s="217" customFormat="1" ht="14.25" customHeight="1" x14ac:dyDescent="0.25">
      <c r="A204" s="214">
        <v>170</v>
      </c>
      <c r="B204" s="215" t="s">
        <v>506</v>
      </c>
      <c r="C204" s="213">
        <f>ROUNDUP('ITEM CRAFT'!E205/7,1)</f>
        <v>924.2</v>
      </c>
      <c r="D204" s="65">
        <f>ROUNDUP('ITEM CRAFT'!E205,1)</f>
        <v>6469.2</v>
      </c>
      <c r="E204" s="213" t="s">
        <v>151</v>
      </c>
      <c r="F204" s="216" t="s">
        <v>156</v>
      </c>
      <c r="G204" s="217" t="s">
        <v>154</v>
      </c>
      <c r="J204" s="217">
        <f t="shared" si="8"/>
        <v>462.1</v>
      </c>
      <c r="K204" s="58">
        <f t="shared" si="9"/>
        <v>2</v>
      </c>
    </row>
    <row r="205" spans="1:11" s="235" customFormat="1" ht="14.25" customHeight="1" x14ac:dyDescent="0.25">
      <c r="A205" s="232">
        <v>171</v>
      </c>
      <c r="B205" s="233" t="s">
        <v>507</v>
      </c>
      <c r="C205" s="230">
        <f>ROUNDUP('ITEM CRAFT'!E206/7,1)</f>
        <v>7.5</v>
      </c>
      <c r="D205" s="231">
        <f>ROUNDUP('ITEM CRAFT'!E206,1)</f>
        <v>51.9</v>
      </c>
      <c r="E205" s="230" t="s">
        <v>160</v>
      </c>
      <c r="F205" s="234" t="s">
        <v>156</v>
      </c>
      <c r="G205" s="235" t="s">
        <v>154</v>
      </c>
      <c r="J205" s="235">
        <f t="shared" si="8"/>
        <v>3.8000000000000003</v>
      </c>
      <c r="K205" s="236">
        <f t="shared" si="9"/>
        <v>2</v>
      </c>
    </row>
    <row r="206" spans="1:11" s="235" customFormat="1" ht="14.25" customHeight="1" x14ac:dyDescent="0.25">
      <c r="A206" s="232" t="s">
        <v>509</v>
      </c>
      <c r="B206" s="233" t="s">
        <v>508</v>
      </c>
      <c r="C206" s="230">
        <f>ROUNDUP('ITEM CRAFT'!E207/7,1)</f>
        <v>17.8</v>
      </c>
      <c r="D206" s="231">
        <f>ROUNDUP('ITEM CRAFT'!E207,1)</f>
        <v>124.5</v>
      </c>
      <c r="E206" s="230" t="s">
        <v>160</v>
      </c>
      <c r="F206" s="234" t="s">
        <v>156</v>
      </c>
      <c r="G206" s="235" t="s">
        <v>154</v>
      </c>
      <c r="J206" s="235">
        <f t="shared" si="8"/>
        <v>8.9</v>
      </c>
      <c r="K206" s="236">
        <f t="shared" si="9"/>
        <v>2</v>
      </c>
    </row>
    <row r="207" spans="1:11" s="235" customFormat="1" ht="14.25" customHeight="1" x14ac:dyDescent="0.25">
      <c r="A207" s="232" t="s">
        <v>511</v>
      </c>
      <c r="B207" s="233" t="s">
        <v>510</v>
      </c>
      <c r="C207" s="230">
        <f>ROUNDUP('ITEM CRAFT'!E208/7,1)</f>
        <v>30.3</v>
      </c>
      <c r="D207" s="231">
        <f>ROUNDUP('ITEM CRAFT'!E208,1)</f>
        <v>211.6</v>
      </c>
      <c r="E207" s="230" t="s">
        <v>160</v>
      </c>
      <c r="F207" s="234" t="s">
        <v>156</v>
      </c>
      <c r="G207" s="235" t="s">
        <v>154</v>
      </c>
      <c r="J207" s="235">
        <f t="shared" si="8"/>
        <v>15.2</v>
      </c>
      <c r="K207" s="236">
        <f t="shared" si="9"/>
        <v>2</v>
      </c>
    </row>
    <row r="208" spans="1:11" s="235" customFormat="1" ht="14.25" customHeight="1" x14ac:dyDescent="0.25">
      <c r="A208" s="232" t="s">
        <v>513</v>
      </c>
      <c r="B208" s="233" t="s">
        <v>512</v>
      </c>
      <c r="C208" s="230">
        <f>ROUNDUP('ITEM CRAFT'!E209/7,1)</f>
        <v>17.8</v>
      </c>
      <c r="D208" s="231">
        <f>ROUNDUP('ITEM CRAFT'!E209,1)</f>
        <v>124.5</v>
      </c>
      <c r="E208" s="230" t="s">
        <v>160</v>
      </c>
      <c r="F208" s="234" t="s">
        <v>156</v>
      </c>
      <c r="G208" s="235" t="s">
        <v>154</v>
      </c>
      <c r="J208" s="235">
        <f t="shared" si="8"/>
        <v>8.9</v>
      </c>
      <c r="K208" s="236">
        <f t="shared" si="9"/>
        <v>2</v>
      </c>
    </row>
    <row r="209" spans="1:11" s="235" customFormat="1" ht="14.25" customHeight="1" x14ac:dyDescent="0.25">
      <c r="A209" s="232" t="s">
        <v>515</v>
      </c>
      <c r="B209" s="233" t="s">
        <v>514</v>
      </c>
      <c r="C209" s="230">
        <f>ROUNDUP('ITEM CRAFT'!E210/7,1)</f>
        <v>12.6</v>
      </c>
      <c r="D209" s="231">
        <f>ROUNDUP('ITEM CRAFT'!E210,1)</f>
        <v>88.199999999999989</v>
      </c>
      <c r="E209" s="230" t="s">
        <v>160</v>
      </c>
      <c r="F209" s="234" t="s">
        <v>156</v>
      </c>
      <c r="G209" s="235" t="s">
        <v>154</v>
      </c>
      <c r="J209" s="235">
        <f t="shared" si="8"/>
        <v>6.3</v>
      </c>
      <c r="K209" s="236">
        <f t="shared" si="9"/>
        <v>2</v>
      </c>
    </row>
    <row r="210" spans="1:11" s="235" customFormat="1" ht="14.25" customHeight="1" x14ac:dyDescent="0.25">
      <c r="A210" s="232" t="s">
        <v>517</v>
      </c>
      <c r="B210" s="233" t="s">
        <v>516</v>
      </c>
      <c r="C210" s="230">
        <f>ROUNDUP('ITEM CRAFT'!E211/7,1)</f>
        <v>22.3</v>
      </c>
      <c r="D210" s="231">
        <f>ROUNDUP('ITEM CRAFT'!E211,1)</f>
        <v>155.6</v>
      </c>
      <c r="E210" s="230" t="s">
        <v>160</v>
      </c>
      <c r="F210" s="234" t="s">
        <v>156</v>
      </c>
      <c r="G210" s="235" t="s">
        <v>154</v>
      </c>
      <c r="J210" s="235">
        <f t="shared" si="8"/>
        <v>11.2</v>
      </c>
      <c r="K210" s="236">
        <f t="shared" si="9"/>
        <v>2</v>
      </c>
    </row>
    <row r="211" spans="1:11" s="235" customFormat="1" ht="14.25" customHeight="1" x14ac:dyDescent="0.25">
      <c r="A211" s="232" t="s">
        <v>519</v>
      </c>
      <c r="B211" s="233" t="s">
        <v>518</v>
      </c>
      <c r="C211" s="230">
        <f>ROUNDUP('ITEM CRAFT'!E212/7,1)</f>
        <v>17.8</v>
      </c>
      <c r="D211" s="231">
        <f>ROUNDUP('ITEM CRAFT'!E212,1)</f>
        <v>124.5</v>
      </c>
      <c r="E211" s="230" t="s">
        <v>160</v>
      </c>
      <c r="F211" s="234" t="s">
        <v>156</v>
      </c>
      <c r="G211" s="235" t="s">
        <v>154</v>
      </c>
      <c r="J211" s="235">
        <f t="shared" si="8"/>
        <v>8.9</v>
      </c>
      <c r="K211" s="236">
        <f t="shared" si="9"/>
        <v>2</v>
      </c>
    </row>
    <row r="212" spans="1:11" s="235" customFormat="1" ht="14.25" customHeight="1" x14ac:dyDescent="0.25">
      <c r="A212" s="232" t="s">
        <v>521</v>
      </c>
      <c r="B212" s="233" t="s">
        <v>520</v>
      </c>
      <c r="C212" s="230">
        <f>ROUNDUP('ITEM CRAFT'!E213/7,1)</f>
        <v>17.8</v>
      </c>
      <c r="D212" s="231">
        <f>ROUNDUP('ITEM CRAFT'!E213,1)</f>
        <v>124.5</v>
      </c>
      <c r="E212" s="230" t="s">
        <v>160</v>
      </c>
      <c r="F212" s="234" t="s">
        <v>156</v>
      </c>
      <c r="G212" s="235" t="s">
        <v>154</v>
      </c>
      <c r="J212" s="235">
        <f t="shared" si="8"/>
        <v>8.9</v>
      </c>
      <c r="K212" s="236">
        <f t="shared" si="9"/>
        <v>2</v>
      </c>
    </row>
    <row r="213" spans="1:11" s="235" customFormat="1" ht="14.25" customHeight="1" x14ac:dyDescent="0.25">
      <c r="A213" s="232" t="s">
        <v>523</v>
      </c>
      <c r="B213" s="233" t="s">
        <v>522</v>
      </c>
      <c r="C213" s="230">
        <f>ROUNDUP('ITEM CRAFT'!E214/7,1)</f>
        <v>24</v>
      </c>
      <c r="D213" s="231">
        <f>ROUNDUP('ITEM CRAFT'!E214,1)</f>
        <v>168</v>
      </c>
      <c r="E213" s="230" t="s">
        <v>160</v>
      </c>
      <c r="F213" s="234" t="s">
        <v>156</v>
      </c>
      <c r="G213" s="235" t="s">
        <v>154</v>
      </c>
      <c r="J213" s="235">
        <f t="shared" si="8"/>
        <v>12</v>
      </c>
      <c r="K213" s="236">
        <f t="shared" si="9"/>
        <v>2</v>
      </c>
    </row>
    <row r="214" spans="1:11" s="235" customFormat="1" ht="14.25" customHeight="1" x14ac:dyDescent="0.25">
      <c r="A214" s="232" t="s">
        <v>525</v>
      </c>
      <c r="B214" s="233" t="s">
        <v>524</v>
      </c>
      <c r="C214" s="230">
        <f>ROUNDUP('ITEM CRAFT'!E215/7,1)</f>
        <v>17.8</v>
      </c>
      <c r="D214" s="231">
        <f>ROUNDUP('ITEM CRAFT'!E215,1)</f>
        <v>124.5</v>
      </c>
      <c r="E214" s="230" t="s">
        <v>160</v>
      </c>
      <c r="F214" s="234" t="s">
        <v>156</v>
      </c>
      <c r="G214" s="235" t="s">
        <v>154</v>
      </c>
      <c r="J214" s="235">
        <f t="shared" si="8"/>
        <v>8.9</v>
      </c>
      <c r="K214" s="236">
        <f t="shared" si="9"/>
        <v>2</v>
      </c>
    </row>
    <row r="215" spans="1:11" s="235" customFormat="1" ht="14.25" customHeight="1" x14ac:dyDescent="0.25">
      <c r="A215" s="232" t="s">
        <v>527</v>
      </c>
      <c r="B215" s="233" t="s">
        <v>526</v>
      </c>
      <c r="C215" s="230">
        <f>ROUNDUP('ITEM CRAFT'!E216/7,1)</f>
        <v>17.8</v>
      </c>
      <c r="D215" s="231">
        <f>ROUNDUP('ITEM CRAFT'!E216,1)</f>
        <v>124.5</v>
      </c>
      <c r="E215" s="230" t="s">
        <v>160</v>
      </c>
      <c r="F215" s="234" t="s">
        <v>156</v>
      </c>
      <c r="G215" s="235" t="s">
        <v>154</v>
      </c>
      <c r="J215" s="235">
        <f t="shared" si="8"/>
        <v>8.9</v>
      </c>
      <c r="K215" s="236">
        <f t="shared" si="9"/>
        <v>2</v>
      </c>
    </row>
    <row r="216" spans="1:11" s="235" customFormat="1" ht="14.25" customHeight="1" x14ac:dyDescent="0.25">
      <c r="A216" s="232" t="s">
        <v>529</v>
      </c>
      <c r="B216" s="233" t="s">
        <v>528</v>
      </c>
      <c r="C216" s="230">
        <f>ROUNDUP('ITEM CRAFT'!E217/7,1)</f>
        <v>12.6</v>
      </c>
      <c r="D216" s="231">
        <f>ROUNDUP('ITEM CRAFT'!E217,1)</f>
        <v>88.199999999999989</v>
      </c>
      <c r="E216" s="230" t="s">
        <v>160</v>
      </c>
      <c r="F216" s="234" t="s">
        <v>156</v>
      </c>
      <c r="G216" s="235" t="s">
        <v>154</v>
      </c>
      <c r="J216" s="235">
        <f t="shared" si="8"/>
        <v>6.3</v>
      </c>
      <c r="K216" s="236">
        <f t="shared" si="9"/>
        <v>2</v>
      </c>
    </row>
    <row r="217" spans="1:11" s="235" customFormat="1" ht="14.25" customHeight="1" x14ac:dyDescent="0.25">
      <c r="A217" s="232" t="s">
        <v>531</v>
      </c>
      <c r="B217" s="233" t="s">
        <v>530</v>
      </c>
      <c r="C217" s="230">
        <f>ROUNDUP('ITEM CRAFT'!E218/7,1)</f>
        <v>12.6</v>
      </c>
      <c r="D217" s="231">
        <f>ROUNDUP('ITEM CRAFT'!E218,1)</f>
        <v>88.199999999999989</v>
      </c>
      <c r="E217" s="230" t="s">
        <v>160</v>
      </c>
      <c r="F217" s="234" t="s">
        <v>156</v>
      </c>
      <c r="G217" s="235" t="s">
        <v>154</v>
      </c>
      <c r="J217" s="235">
        <f t="shared" si="8"/>
        <v>6.3</v>
      </c>
      <c r="K217" s="236">
        <f t="shared" si="9"/>
        <v>2</v>
      </c>
    </row>
    <row r="218" spans="1:11" s="235" customFormat="1" ht="14.25" customHeight="1" x14ac:dyDescent="0.25">
      <c r="A218" s="232" t="s">
        <v>533</v>
      </c>
      <c r="B218" s="233" t="s">
        <v>532</v>
      </c>
      <c r="C218" s="230">
        <f>ROUNDUP('ITEM CRAFT'!E219/7,1)</f>
        <v>12.6</v>
      </c>
      <c r="D218" s="231">
        <f>ROUNDUP('ITEM CRAFT'!E219,1)</f>
        <v>88.199999999999989</v>
      </c>
      <c r="E218" s="230" t="s">
        <v>160</v>
      </c>
      <c r="F218" s="234" t="s">
        <v>156</v>
      </c>
      <c r="G218" s="235" t="s">
        <v>154</v>
      </c>
      <c r="J218" s="235">
        <f t="shared" si="8"/>
        <v>6.3</v>
      </c>
      <c r="K218" s="236">
        <f t="shared" si="9"/>
        <v>2</v>
      </c>
    </row>
    <row r="219" spans="1:11" s="235" customFormat="1" ht="14.25" customHeight="1" x14ac:dyDescent="0.25">
      <c r="A219" s="232" t="s">
        <v>535</v>
      </c>
      <c r="B219" s="233" t="s">
        <v>534</v>
      </c>
      <c r="C219" s="230">
        <f>ROUNDUP('ITEM CRAFT'!E220/7,1)</f>
        <v>12.6</v>
      </c>
      <c r="D219" s="231">
        <f>ROUNDUP('ITEM CRAFT'!E220,1)</f>
        <v>88.199999999999989</v>
      </c>
      <c r="E219" s="230" t="s">
        <v>160</v>
      </c>
      <c r="F219" s="234" t="s">
        <v>156</v>
      </c>
      <c r="G219" s="235" t="s">
        <v>154</v>
      </c>
      <c r="J219" s="235">
        <f t="shared" si="8"/>
        <v>6.3</v>
      </c>
      <c r="K219" s="236">
        <f t="shared" si="9"/>
        <v>2</v>
      </c>
    </row>
    <row r="220" spans="1:11" s="235" customFormat="1" ht="14.25" customHeight="1" x14ac:dyDescent="0.25">
      <c r="A220" s="232" t="s">
        <v>962</v>
      </c>
      <c r="B220" s="233" t="s">
        <v>536</v>
      </c>
      <c r="C220" s="230">
        <f>ROUNDUP('ITEM CRAFT'!E221/7,1)</f>
        <v>12.6</v>
      </c>
      <c r="D220" s="231">
        <f>ROUNDUP('ITEM CRAFT'!E221,1)</f>
        <v>88.199999999999989</v>
      </c>
      <c r="E220" s="230" t="s">
        <v>160</v>
      </c>
      <c r="F220" s="234" t="s">
        <v>156</v>
      </c>
      <c r="G220" s="235" t="s">
        <v>154</v>
      </c>
      <c r="J220" s="235">
        <f t="shared" si="8"/>
        <v>6.3</v>
      </c>
      <c r="K220" s="236">
        <f t="shared" si="9"/>
        <v>2</v>
      </c>
    </row>
    <row r="221" spans="1:11" s="197" customFormat="1" ht="14.25" customHeight="1" x14ac:dyDescent="0.25">
      <c r="A221" s="195">
        <v>172</v>
      </c>
      <c r="B221" s="196" t="s">
        <v>537</v>
      </c>
      <c r="C221" s="194">
        <f>ROUNDUP('ITEM CRAFT'!E222/7,1)</f>
        <v>12.4</v>
      </c>
      <c r="D221" s="59">
        <f>ROUNDUP('ITEM CRAFT'!E222,1)</f>
        <v>86.4</v>
      </c>
      <c r="E221" s="194" t="s">
        <v>152</v>
      </c>
      <c r="F221" s="192" t="s">
        <v>154</v>
      </c>
      <c r="J221" s="197">
        <f t="shared" si="8"/>
        <v>12.4</v>
      </c>
      <c r="K221" s="191">
        <f t="shared" si="9"/>
        <v>1</v>
      </c>
    </row>
    <row r="222" spans="1:11" s="247" customFormat="1" ht="14.25" customHeight="1" x14ac:dyDescent="0.25">
      <c r="A222" s="242">
        <v>173</v>
      </c>
      <c r="B222" s="243" t="s">
        <v>538</v>
      </c>
      <c r="C222" s="244">
        <f>ROUNDUP('ITEM CRAFT'!E223/7,1)</f>
        <v>10.8</v>
      </c>
      <c r="D222" s="245">
        <f>ROUNDUP('ITEM CRAFT'!E223,1)</f>
        <v>75.599999999999994</v>
      </c>
      <c r="E222" s="244"/>
      <c r="F222" s="246" t="s">
        <v>156</v>
      </c>
      <c r="G222" s="247" t="s">
        <v>154</v>
      </c>
      <c r="J222" s="247">
        <f t="shared" si="8"/>
        <v>5.4</v>
      </c>
      <c r="K222" s="248">
        <f t="shared" si="9"/>
        <v>2</v>
      </c>
    </row>
    <row r="223" spans="1:11" s="197" customFormat="1" ht="14.25" customHeight="1" x14ac:dyDescent="0.25">
      <c r="A223" s="198">
        <v>179</v>
      </c>
      <c r="B223" s="199" t="s">
        <v>539</v>
      </c>
      <c r="C223" s="194">
        <f>ROUNDUP('ITEM CRAFT'!E224/7,1)</f>
        <v>10.299999999999999</v>
      </c>
      <c r="D223" s="59">
        <f>ROUNDUP('ITEM CRAFT'!E224,1)</f>
        <v>72</v>
      </c>
      <c r="E223" s="194" t="s">
        <v>152</v>
      </c>
      <c r="F223" s="192" t="s">
        <v>156</v>
      </c>
      <c r="G223" s="197" t="s">
        <v>154</v>
      </c>
      <c r="J223" s="197">
        <f t="shared" si="8"/>
        <v>5.1999999999999993</v>
      </c>
      <c r="K223" s="191">
        <f t="shared" si="9"/>
        <v>2</v>
      </c>
    </row>
    <row r="224" spans="1:11" s="197" customFormat="1" ht="14.25" customHeight="1" x14ac:dyDescent="0.25">
      <c r="A224" s="198" t="s">
        <v>541</v>
      </c>
      <c r="B224" s="199" t="s">
        <v>540</v>
      </c>
      <c r="C224" s="194">
        <f>ROUNDUP('ITEM CRAFT'!E225/7,1)</f>
        <v>14.9</v>
      </c>
      <c r="D224" s="59">
        <f>ROUNDUP('ITEM CRAFT'!E225,1)</f>
        <v>103.69999999999999</v>
      </c>
      <c r="E224" s="194" t="s">
        <v>152</v>
      </c>
      <c r="F224" s="192" t="s">
        <v>156</v>
      </c>
      <c r="G224" s="197" t="s">
        <v>154</v>
      </c>
      <c r="J224" s="197">
        <f t="shared" si="8"/>
        <v>7.5</v>
      </c>
      <c r="K224" s="191">
        <f t="shared" si="9"/>
        <v>2</v>
      </c>
    </row>
    <row r="225" spans="1:11" s="197" customFormat="1" ht="14.25" customHeight="1" x14ac:dyDescent="0.25">
      <c r="A225" s="198">
        <v>180</v>
      </c>
      <c r="B225" s="199" t="s">
        <v>542</v>
      </c>
      <c r="C225" s="194">
        <f>ROUNDUP('ITEM CRAFT'!E226/7,1)</f>
        <v>18.600000000000001</v>
      </c>
      <c r="D225" s="59">
        <f>ROUNDUP('ITEM CRAFT'!E226,1)</f>
        <v>129.6</v>
      </c>
      <c r="E225" s="194" t="s">
        <v>152</v>
      </c>
      <c r="F225" s="192" t="s">
        <v>156</v>
      </c>
      <c r="G225" s="197" t="s">
        <v>154</v>
      </c>
      <c r="J225" s="197">
        <f t="shared" si="8"/>
        <v>9.3000000000000007</v>
      </c>
      <c r="K225" s="191">
        <f t="shared" si="9"/>
        <v>2</v>
      </c>
    </row>
    <row r="226" spans="1:11" s="197" customFormat="1" ht="14.25" customHeight="1" x14ac:dyDescent="0.25">
      <c r="A226" s="198">
        <v>182</v>
      </c>
      <c r="B226" s="199" t="s">
        <v>543</v>
      </c>
      <c r="C226" s="194">
        <f>ROUNDUP('ITEM CRAFT'!E227/7,1)</f>
        <v>6.1999999999999993</v>
      </c>
      <c r="D226" s="59">
        <f>ROUNDUP('ITEM CRAFT'!E227,1)</f>
        <v>43.2</v>
      </c>
      <c r="E226" s="194" t="s">
        <v>152</v>
      </c>
      <c r="F226" s="192" t="s">
        <v>156</v>
      </c>
      <c r="G226" s="197" t="s">
        <v>154</v>
      </c>
      <c r="J226" s="197">
        <f t="shared" si="8"/>
        <v>3.1</v>
      </c>
      <c r="K226" s="191">
        <f t="shared" si="9"/>
        <v>2</v>
      </c>
    </row>
    <row r="227" spans="1:11" s="205" customFormat="1" ht="14.25" customHeight="1" x14ac:dyDescent="0.25">
      <c r="A227" s="208">
        <v>183</v>
      </c>
      <c r="B227" s="209" t="s">
        <v>544</v>
      </c>
      <c r="C227" s="201">
        <f>ROUNDUP('ITEM CRAFT'!E228/7,1)</f>
        <v>1.4000000000000001</v>
      </c>
      <c r="D227" s="63">
        <f>ROUNDUP('ITEM CRAFT'!E228,1)</f>
        <v>9.6999999999999993</v>
      </c>
      <c r="E227" s="201" t="s">
        <v>150</v>
      </c>
      <c r="F227" s="204" t="s">
        <v>156</v>
      </c>
      <c r="G227" s="205" t="s">
        <v>154</v>
      </c>
      <c r="J227" s="205">
        <f t="shared" si="8"/>
        <v>0.7</v>
      </c>
      <c r="K227" s="56">
        <f t="shared" si="9"/>
        <v>2</v>
      </c>
    </row>
    <row r="228" spans="1:11" s="205" customFormat="1" ht="14.25" customHeight="1" x14ac:dyDescent="0.25">
      <c r="A228" s="208">
        <v>184</v>
      </c>
      <c r="B228" s="209" t="s">
        <v>545</v>
      </c>
      <c r="C228" s="201">
        <f>ROUNDUP('ITEM CRAFT'!E229/7,1)</f>
        <v>2</v>
      </c>
      <c r="D228" s="63">
        <f>ROUNDUP('ITEM CRAFT'!E229,1)</f>
        <v>14</v>
      </c>
      <c r="E228" s="201" t="s">
        <v>150</v>
      </c>
      <c r="F228" s="204" t="s">
        <v>156</v>
      </c>
      <c r="G228" s="205" t="s">
        <v>154</v>
      </c>
      <c r="J228" s="205">
        <f t="shared" si="8"/>
        <v>1</v>
      </c>
      <c r="K228" s="56">
        <f t="shared" si="9"/>
        <v>2</v>
      </c>
    </row>
    <row r="229" spans="1:11" s="205" customFormat="1" ht="14.25" customHeight="1" x14ac:dyDescent="0.25">
      <c r="A229" s="208">
        <v>185</v>
      </c>
      <c r="B229" s="209" t="s">
        <v>546</v>
      </c>
      <c r="C229" s="201">
        <f>ROUNDUP('ITEM CRAFT'!E230/7,1)</f>
        <v>2.8000000000000003</v>
      </c>
      <c r="D229" s="63">
        <f>ROUNDUP('ITEM CRAFT'!E230,1)</f>
        <v>19.100000000000001</v>
      </c>
      <c r="E229" s="201" t="s">
        <v>150</v>
      </c>
      <c r="F229" s="204" t="s">
        <v>156</v>
      </c>
      <c r="G229" s="205" t="s">
        <v>154</v>
      </c>
      <c r="J229" s="205">
        <f t="shared" si="8"/>
        <v>1.4</v>
      </c>
      <c r="K229" s="56">
        <f t="shared" si="9"/>
        <v>2</v>
      </c>
    </row>
    <row r="230" spans="1:11" s="205" customFormat="1" ht="14.25" customHeight="1" x14ac:dyDescent="0.25">
      <c r="A230" s="208">
        <v>186</v>
      </c>
      <c r="B230" s="209" t="s">
        <v>547</v>
      </c>
      <c r="C230" s="201">
        <f>ROUNDUP('ITEM CRAFT'!E231/7,1)</f>
        <v>4.0999999999999996</v>
      </c>
      <c r="D230" s="63">
        <f>ROUNDUP('ITEM CRAFT'!E231,1)</f>
        <v>28.400000000000002</v>
      </c>
      <c r="E230" s="201" t="s">
        <v>150</v>
      </c>
      <c r="F230" s="204" t="s">
        <v>156</v>
      </c>
      <c r="G230" s="205" t="s">
        <v>154</v>
      </c>
      <c r="J230" s="205">
        <f t="shared" si="8"/>
        <v>2.1</v>
      </c>
      <c r="K230" s="56">
        <f t="shared" si="9"/>
        <v>2</v>
      </c>
    </row>
    <row r="231" spans="1:11" s="205" customFormat="1" ht="14.25" customHeight="1" x14ac:dyDescent="0.25">
      <c r="A231" s="208">
        <v>187</v>
      </c>
      <c r="B231" s="209" t="s">
        <v>548</v>
      </c>
      <c r="C231" s="201">
        <f>ROUNDUP('ITEM CRAFT'!E232/7,1)</f>
        <v>3.5</v>
      </c>
      <c r="D231" s="63">
        <f>ROUNDUP('ITEM CRAFT'!E232,1)</f>
        <v>24.1</v>
      </c>
      <c r="E231" s="201" t="s">
        <v>150</v>
      </c>
      <c r="F231" s="204" t="s">
        <v>156</v>
      </c>
      <c r="G231" s="205" t="s">
        <v>154</v>
      </c>
      <c r="J231" s="205">
        <f t="shared" si="8"/>
        <v>1.8</v>
      </c>
      <c r="K231" s="56">
        <f t="shared" si="9"/>
        <v>2</v>
      </c>
    </row>
    <row r="232" spans="1:11" s="205" customFormat="1" ht="14.25" customHeight="1" x14ac:dyDescent="0.25">
      <c r="A232" s="208">
        <v>188</v>
      </c>
      <c r="B232" s="209" t="s">
        <v>549</v>
      </c>
      <c r="C232" s="201">
        <f>ROUNDUP('ITEM CRAFT'!E233/7,1)</f>
        <v>0.79999999999999993</v>
      </c>
      <c r="D232" s="63">
        <f>ROUNDUP('ITEM CRAFT'!E233,1)</f>
        <v>5.6</v>
      </c>
      <c r="E232" s="201" t="s">
        <v>150</v>
      </c>
      <c r="F232" s="204" t="s">
        <v>156</v>
      </c>
      <c r="G232" s="205" t="s">
        <v>154</v>
      </c>
      <c r="J232" s="205">
        <f t="shared" si="8"/>
        <v>0.4</v>
      </c>
      <c r="K232" s="56">
        <f t="shared" si="9"/>
        <v>2</v>
      </c>
    </row>
    <row r="233" spans="1:11" s="205" customFormat="1" ht="14.25" customHeight="1" x14ac:dyDescent="0.25">
      <c r="A233" s="208">
        <v>189</v>
      </c>
      <c r="B233" s="209" t="s">
        <v>550</v>
      </c>
      <c r="C233" s="201">
        <f>ROUNDUP('ITEM CRAFT'!E234/7,1)</f>
        <v>1.3</v>
      </c>
      <c r="D233" s="63">
        <f>ROUNDUP('ITEM CRAFT'!E234,1)</f>
        <v>8.5</v>
      </c>
      <c r="E233" s="201" t="s">
        <v>150</v>
      </c>
      <c r="F233" s="204" t="s">
        <v>156</v>
      </c>
      <c r="G233" s="205" t="s">
        <v>154</v>
      </c>
      <c r="J233" s="205">
        <f t="shared" si="8"/>
        <v>0.7</v>
      </c>
      <c r="K233" s="56">
        <f t="shared" si="9"/>
        <v>2</v>
      </c>
    </row>
    <row r="234" spans="1:11" s="205" customFormat="1" ht="14.25" customHeight="1" x14ac:dyDescent="0.25">
      <c r="A234" s="208">
        <v>190</v>
      </c>
      <c r="B234" s="209" t="s">
        <v>551</v>
      </c>
      <c r="C234" s="201">
        <f>ROUNDUP('ITEM CRAFT'!E235/7,1)</f>
        <v>1.7000000000000002</v>
      </c>
      <c r="D234" s="63">
        <f>ROUNDUP('ITEM CRAFT'!E235,1)</f>
        <v>11.9</v>
      </c>
      <c r="E234" s="201" t="s">
        <v>150</v>
      </c>
      <c r="F234" s="204" t="s">
        <v>156</v>
      </c>
      <c r="G234" s="205" t="s">
        <v>154</v>
      </c>
      <c r="J234" s="205">
        <f t="shared" si="8"/>
        <v>0.9</v>
      </c>
      <c r="K234" s="56">
        <f t="shared" si="9"/>
        <v>2</v>
      </c>
    </row>
    <row r="235" spans="1:11" s="205" customFormat="1" ht="14.25" customHeight="1" x14ac:dyDescent="0.25">
      <c r="A235" s="208">
        <v>191</v>
      </c>
      <c r="B235" s="209" t="s">
        <v>552</v>
      </c>
      <c r="C235" s="201">
        <f>ROUNDUP('ITEM CRAFT'!E236/7,1)</f>
        <v>2.6</v>
      </c>
      <c r="D235" s="63">
        <f>ROUNDUP('ITEM CRAFT'!E236,1)</f>
        <v>18.100000000000001</v>
      </c>
      <c r="E235" s="201" t="s">
        <v>150</v>
      </c>
      <c r="F235" s="204" t="s">
        <v>156</v>
      </c>
      <c r="G235" s="205" t="s">
        <v>154</v>
      </c>
      <c r="J235" s="205">
        <f t="shared" si="8"/>
        <v>1.3</v>
      </c>
      <c r="K235" s="56">
        <f t="shared" si="9"/>
        <v>2</v>
      </c>
    </row>
    <row r="236" spans="1:11" s="205" customFormat="1" ht="14.25" customHeight="1" x14ac:dyDescent="0.25">
      <c r="A236" s="208">
        <v>192</v>
      </c>
      <c r="B236" s="209" t="s">
        <v>553</v>
      </c>
      <c r="C236" s="201">
        <f>ROUNDUP('ITEM CRAFT'!E237/7,1)</f>
        <v>2.2000000000000002</v>
      </c>
      <c r="D236" s="63">
        <f>ROUNDUP('ITEM CRAFT'!E237,1)</f>
        <v>15.2</v>
      </c>
      <c r="E236" s="201" t="s">
        <v>150</v>
      </c>
      <c r="F236" s="204" t="s">
        <v>156</v>
      </c>
      <c r="G236" s="205" t="s">
        <v>154</v>
      </c>
      <c r="J236" s="205">
        <f t="shared" si="8"/>
        <v>1.1000000000000001</v>
      </c>
      <c r="K236" s="56">
        <f t="shared" si="9"/>
        <v>2</v>
      </c>
    </row>
    <row r="237" spans="1:11" s="197" customFormat="1" ht="14.25" customHeight="1" x14ac:dyDescent="0.25">
      <c r="A237" s="200">
        <v>198</v>
      </c>
      <c r="B237" s="199" t="s">
        <v>933</v>
      </c>
      <c r="C237" s="194">
        <f>ROUNDUP('ITEM CRAFT'!E238/7,1)</f>
        <v>49.1</v>
      </c>
      <c r="D237" s="59">
        <f>ROUNDUP('ITEM CRAFT'!E238,1)</f>
        <v>343.20000000000005</v>
      </c>
      <c r="E237" s="194" t="s">
        <v>152</v>
      </c>
      <c r="F237" s="192" t="s">
        <v>156</v>
      </c>
      <c r="J237" s="197">
        <f t="shared" si="8"/>
        <v>49.1</v>
      </c>
      <c r="K237" s="191">
        <f t="shared" si="9"/>
        <v>1</v>
      </c>
    </row>
    <row r="238" spans="1:11" s="197" customFormat="1" ht="14.25" customHeight="1" x14ac:dyDescent="0.25">
      <c r="A238" s="200">
        <v>201</v>
      </c>
      <c r="B238" s="199" t="s">
        <v>934</v>
      </c>
      <c r="C238" s="194">
        <f>ROUNDUP('ITEM CRAFT'!E239/7,1)</f>
        <v>193.79999999999998</v>
      </c>
      <c r="D238" s="59">
        <f>ROUNDUP('ITEM CRAFT'!E239,1)</f>
        <v>1356.5</v>
      </c>
      <c r="E238" s="194" t="s">
        <v>152</v>
      </c>
      <c r="F238" s="192" t="s">
        <v>156</v>
      </c>
      <c r="G238" s="197" t="s">
        <v>154</v>
      </c>
      <c r="J238" s="197">
        <f t="shared" si="8"/>
        <v>96.9</v>
      </c>
      <c r="K238" s="191">
        <f t="shared" si="9"/>
        <v>2</v>
      </c>
    </row>
    <row r="239" spans="1:11" s="197" customFormat="1" ht="14.25" customHeight="1" x14ac:dyDescent="0.25">
      <c r="A239" s="200">
        <v>202</v>
      </c>
      <c r="B239" s="199" t="s">
        <v>935</v>
      </c>
      <c r="C239" s="194">
        <f>ROUNDUP('ITEM CRAFT'!E240/7,1)</f>
        <v>279.10000000000002</v>
      </c>
      <c r="D239" s="59">
        <f>ROUNDUP('ITEM CRAFT'!E240,1)</f>
        <v>1953.3999999999999</v>
      </c>
      <c r="E239" s="194" t="s">
        <v>152</v>
      </c>
      <c r="F239" s="192" t="s">
        <v>156</v>
      </c>
      <c r="G239" s="197" t="s">
        <v>154</v>
      </c>
      <c r="J239" s="197">
        <f t="shared" si="8"/>
        <v>139.6</v>
      </c>
      <c r="K239" s="191">
        <f t="shared" si="9"/>
        <v>2</v>
      </c>
    </row>
    <row r="240" spans="1:11" s="197" customFormat="1" ht="14.25" customHeight="1" x14ac:dyDescent="0.25">
      <c r="A240" s="200">
        <v>203</v>
      </c>
      <c r="B240" s="199" t="s">
        <v>936</v>
      </c>
      <c r="C240" s="194">
        <f>ROUNDUP('ITEM CRAFT'!E241/7,1)</f>
        <v>348.90000000000003</v>
      </c>
      <c r="D240" s="59">
        <f>ROUNDUP('ITEM CRAFT'!E241,1)</f>
        <v>2441.6999999999998</v>
      </c>
      <c r="E240" s="194" t="s">
        <v>152</v>
      </c>
      <c r="F240" s="192" t="s">
        <v>156</v>
      </c>
      <c r="G240" s="197" t="s">
        <v>154</v>
      </c>
      <c r="J240" s="197">
        <f t="shared" si="8"/>
        <v>174.5</v>
      </c>
      <c r="K240" s="191">
        <f t="shared" si="9"/>
        <v>2</v>
      </c>
    </row>
    <row r="241" spans="1:11" s="197" customFormat="1" ht="14.25" customHeight="1" x14ac:dyDescent="0.25">
      <c r="A241" s="200">
        <v>205</v>
      </c>
      <c r="B241" s="199" t="s">
        <v>937</v>
      </c>
      <c r="C241" s="194">
        <f>ROUNDUP('ITEM CRAFT'!E242/7,1)</f>
        <v>116.3</v>
      </c>
      <c r="D241" s="59">
        <f>ROUNDUP('ITEM CRAFT'!E242,1)</f>
        <v>813.9</v>
      </c>
      <c r="E241" s="194" t="s">
        <v>152</v>
      </c>
      <c r="F241" s="192" t="s">
        <v>156</v>
      </c>
      <c r="G241" s="197" t="s">
        <v>154</v>
      </c>
      <c r="J241" s="197">
        <f t="shared" si="8"/>
        <v>58.2</v>
      </c>
      <c r="K241" s="191">
        <f t="shared" si="9"/>
        <v>2</v>
      </c>
    </row>
    <row r="242" spans="1:11" s="197" customFormat="1" ht="14.25" customHeight="1" x14ac:dyDescent="0.25">
      <c r="A242" s="200">
        <v>206</v>
      </c>
      <c r="B242" s="199" t="s">
        <v>938</v>
      </c>
      <c r="C242" s="194">
        <f>ROUNDUP('ITEM CRAFT'!E243/7,1)</f>
        <v>4</v>
      </c>
      <c r="D242" s="59">
        <f>ROUNDUP('ITEM CRAFT'!E243,1)</f>
        <v>27.6</v>
      </c>
      <c r="E242" s="194" t="s">
        <v>152</v>
      </c>
      <c r="F242" s="192" t="s">
        <v>156</v>
      </c>
      <c r="G242" s="197" t="s">
        <v>154</v>
      </c>
      <c r="J242" s="197">
        <f t="shared" si="8"/>
        <v>2</v>
      </c>
      <c r="K242" s="191">
        <f t="shared" si="9"/>
        <v>2</v>
      </c>
    </row>
    <row r="243" spans="1:11" s="217" customFormat="1" ht="14.25" customHeight="1" x14ac:dyDescent="0.25">
      <c r="A243" s="218">
        <v>213</v>
      </c>
      <c r="B243" s="219" t="s">
        <v>939</v>
      </c>
      <c r="C243" s="213">
        <f>ROUNDUP('ITEM CRAFT'!E244/7,1)</f>
        <v>8</v>
      </c>
      <c r="D243" s="65">
        <f>ROUNDUP('ITEM CRAFT'!E244,1)</f>
        <v>55.9</v>
      </c>
      <c r="E243" s="213" t="s">
        <v>151</v>
      </c>
      <c r="F243" s="216" t="s">
        <v>156</v>
      </c>
      <c r="G243" s="217" t="s">
        <v>154</v>
      </c>
      <c r="J243" s="217">
        <f t="shared" si="8"/>
        <v>4</v>
      </c>
      <c r="K243" s="58">
        <f t="shared" si="9"/>
        <v>2</v>
      </c>
    </row>
    <row r="244" spans="1:11" s="247" customFormat="1" ht="14.25" customHeight="1" x14ac:dyDescent="0.25">
      <c r="A244" s="249">
        <v>214</v>
      </c>
      <c r="B244" s="250" t="s">
        <v>940</v>
      </c>
      <c r="C244" s="244">
        <f>ROUNDUP('ITEM CRAFT'!E245/7,1)</f>
        <v>72.699999999999989</v>
      </c>
      <c r="D244" s="245">
        <f>ROUNDUP('ITEM CRAFT'!E245,1)</f>
        <v>508.70000000000005</v>
      </c>
      <c r="E244" s="244"/>
      <c r="F244" s="246" t="s">
        <v>156</v>
      </c>
      <c r="G244" s="247" t="s">
        <v>154</v>
      </c>
      <c r="J244" s="247">
        <f t="shared" si="8"/>
        <v>36.4</v>
      </c>
      <c r="K244" s="248">
        <f t="shared" si="9"/>
        <v>2</v>
      </c>
    </row>
    <row r="245" spans="1:11" s="247" customFormat="1" ht="14.25" customHeight="1" x14ac:dyDescent="0.25">
      <c r="A245" s="249">
        <v>215</v>
      </c>
      <c r="B245" s="250" t="s">
        <v>941</v>
      </c>
      <c r="C245" s="244">
        <f>ROUNDUP('ITEM CRAFT'!E246/7,1)</f>
        <v>25.700000000000003</v>
      </c>
      <c r="D245" s="245">
        <f>ROUNDUP('ITEM CRAFT'!E246,1)</f>
        <v>179.29999999999998</v>
      </c>
      <c r="E245" s="244"/>
      <c r="F245" s="246" t="s">
        <v>156</v>
      </c>
      <c r="G245" s="247" t="s">
        <v>154</v>
      </c>
      <c r="J245" s="247">
        <f t="shared" si="8"/>
        <v>12.9</v>
      </c>
      <c r="K245" s="248">
        <f t="shared" si="9"/>
        <v>2</v>
      </c>
    </row>
    <row r="246" spans="1:11" s="217" customFormat="1" ht="14.25" customHeight="1" x14ac:dyDescent="0.25">
      <c r="A246" s="218">
        <v>216</v>
      </c>
      <c r="B246" s="219" t="s">
        <v>942</v>
      </c>
      <c r="C246" s="213">
        <f>ROUNDUP('ITEM CRAFT'!E247/7,1)</f>
        <v>13.9</v>
      </c>
      <c r="D246" s="65">
        <f>ROUNDUP('ITEM CRAFT'!E247,1)</f>
        <v>97.2</v>
      </c>
      <c r="E246" s="213" t="s">
        <v>151</v>
      </c>
      <c r="F246" s="216" t="s">
        <v>156</v>
      </c>
      <c r="G246" s="217" t="s">
        <v>154</v>
      </c>
      <c r="J246" s="217">
        <f t="shared" si="8"/>
        <v>7</v>
      </c>
      <c r="K246" s="58">
        <f t="shared" si="9"/>
        <v>2</v>
      </c>
    </row>
    <row r="247" spans="1:11" s="147" customFormat="1" ht="14.25" customHeight="1" x14ac:dyDescent="0.25">
      <c r="A247" s="153">
        <v>218</v>
      </c>
      <c r="B247" s="149" t="s">
        <v>943</v>
      </c>
      <c r="C247" s="158">
        <f>ROUNDUP('ITEM CRAFT'!E248/7,1)</f>
        <v>11.5</v>
      </c>
      <c r="D247" s="159">
        <f>ROUNDUP('ITEM CRAFT'!E248,1)</f>
        <v>80.400000000000006</v>
      </c>
      <c r="E247" s="158"/>
      <c r="F247" s="168" t="s">
        <v>156</v>
      </c>
      <c r="G247" s="147" t="s">
        <v>154</v>
      </c>
      <c r="J247" s="147">
        <f t="shared" si="8"/>
        <v>5.8</v>
      </c>
      <c r="K247" s="150">
        <f t="shared" si="9"/>
        <v>2</v>
      </c>
    </row>
    <row r="248" spans="1:11" s="147" customFormat="1" ht="14.25" customHeight="1" x14ac:dyDescent="0.25">
      <c r="A248" s="153">
        <v>219</v>
      </c>
      <c r="B248" s="149" t="s">
        <v>944</v>
      </c>
      <c r="C248" s="158" t="e">
        <f>ROUNDUP('ITEM CRAFT'!E249/7,1)</f>
        <v>#N/A</v>
      </c>
      <c r="D248" s="159" t="e">
        <f>ROUNDUP('ITEM CRAFT'!E249,1)</f>
        <v>#N/A</v>
      </c>
      <c r="E248" s="158"/>
      <c r="F248" s="168" t="s">
        <v>156</v>
      </c>
      <c r="G248" s="147" t="s">
        <v>154</v>
      </c>
      <c r="J248" s="147" t="e">
        <f t="shared" si="8"/>
        <v>#N/A</v>
      </c>
      <c r="K248" s="150">
        <f t="shared" si="9"/>
        <v>2</v>
      </c>
    </row>
    <row r="249" spans="1:11" s="147" customFormat="1" ht="14.25" customHeight="1" x14ac:dyDescent="0.25">
      <c r="A249" s="153">
        <v>220</v>
      </c>
      <c r="B249" s="149" t="s">
        <v>945</v>
      </c>
      <c r="C249" s="158">
        <f>ROUNDUP('ITEM CRAFT'!E250/7,1)</f>
        <v>0</v>
      </c>
      <c r="D249" s="159">
        <f>ROUNDUP('ITEM CRAFT'!E250,1)</f>
        <v>0</v>
      </c>
      <c r="E249" s="158"/>
      <c r="F249" s="168" t="s">
        <v>156</v>
      </c>
      <c r="G249" s="147" t="s">
        <v>154</v>
      </c>
      <c r="J249" s="147">
        <f t="shared" si="8"/>
        <v>0</v>
      </c>
      <c r="K249" s="150">
        <f t="shared" si="9"/>
        <v>2</v>
      </c>
    </row>
    <row r="250" spans="1:11" s="147" customFormat="1" ht="14.25" customHeight="1" x14ac:dyDescent="0.25">
      <c r="A250" s="153">
        <v>221</v>
      </c>
      <c r="B250" s="149" t="s">
        <v>946</v>
      </c>
      <c r="C250" s="158">
        <f>ROUNDUP('ITEM CRAFT'!E251/7,1)</f>
        <v>0</v>
      </c>
      <c r="D250" s="159">
        <f>ROUNDUP('ITEM CRAFT'!E251,1)</f>
        <v>0</v>
      </c>
      <c r="E250" s="158"/>
      <c r="F250" s="168" t="s">
        <v>156</v>
      </c>
      <c r="G250" s="147" t="s">
        <v>154</v>
      </c>
      <c r="J250" s="147">
        <f t="shared" si="8"/>
        <v>0</v>
      </c>
      <c r="K250" s="150">
        <f t="shared" si="9"/>
        <v>2</v>
      </c>
    </row>
    <row r="251" spans="1:11" s="147" customFormat="1" ht="14.25" customHeight="1" x14ac:dyDescent="0.25">
      <c r="A251" s="153">
        <v>222</v>
      </c>
      <c r="B251" s="149" t="s">
        <v>947</v>
      </c>
      <c r="C251" s="158">
        <f>ROUNDUP('ITEM CRAFT'!E252/7,1)</f>
        <v>0</v>
      </c>
      <c r="D251" s="159">
        <f>ROUNDUP('ITEM CRAFT'!E252,1)</f>
        <v>0</v>
      </c>
      <c r="E251" s="158"/>
      <c r="F251" s="168" t="s">
        <v>156</v>
      </c>
      <c r="G251" s="147" t="s">
        <v>154</v>
      </c>
      <c r="J251" s="147">
        <f t="shared" si="8"/>
        <v>0</v>
      </c>
      <c r="K251" s="150">
        <f t="shared" si="9"/>
        <v>2</v>
      </c>
    </row>
    <row r="252" spans="1:11" s="147" customFormat="1" ht="14.25" customHeight="1" x14ac:dyDescent="0.25">
      <c r="A252" s="153">
        <v>223</v>
      </c>
      <c r="B252" s="149" t="s">
        <v>948</v>
      </c>
      <c r="C252" s="158">
        <f>ROUNDUP('ITEM CRAFT'!E253/7,1)</f>
        <v>0</v>
      </c>
      <c r="D252" s="159">
        <f>ROUNDUP('ITEM CRAFT'!E253,1)</f>
        <v>0</v>
      </c>
      <c r="E252" s="158"/>
      <c r="F252" s="168" t="s">
        <v>156</v>
      </c>
      <c r="G252" s="147" t="s">
        <v>154</v>
      </c>
      <c r="J252" s="147">
        <f t="shared" si="8"/>
        <v>0</v>
      </c>
      <c r="K252" s="150">
        <f t="shared" si="9"/>
        <v>2</v>
      </c>
    </row>
    <row r="253" spans="1:11" s="147" customFormat="1" ht="14.25" customHeight="1" x14ac:dyDescent="0.25">
      <c r="A253" s="153">
        <v>224</v>
      </c>
      <c r="B253" s="149" t="s">
        <v>949</v>
      </c>
      <c r="C253" s="158">
        <f>ROUNDUP('ITEM CRAFT'!E254/7,1)</f>
        <v>0</v>
      </c>
      <c r="D253" s="159">
        <f>ROUNDUP('ITEM CRAFT'!E254,1)</f>
        <v>0</v>
      </c>
      <c r="E253" s="158"/>
      <c r="F253" s="168" t="s">
        <v>156</v>
      </c>
      <c r="G253" s="147" t="s">
        <v>154</v>
      </c>
      <c r="J253" s="147">
        <f t="shared" si="8"/>
        <v>0</v>
      </c>
      <c r="K253" s="150">
        <f t="shared" si="9"/>
        <v>2</v>
      </c>
    </row>
    <row r="254" spans="1:11" s="147" customFormat="1" ht="14.25" customHeight="1" x14ac:dyDescent="0.25">
      <c r="A254" s="153">
        <v>225</v>
      </c>
      <c r="B254" s="149" t="s">
        <v>950</v>
      </c>
      <c r="C254" s="158">
        <f>ROUNDUP('ITEM CRAFT'!E255/7,1)</f>
        <v>0</v>
      </c>
      <c r="D254" s="159">
        <f>ROUNDUP('ITEM CRAFT'!E255,1)</f>
        <v>0</v>
      </c>
      <c r="E254" s="158"/>
      <c r="F254" s="168" t="s">
        <v>156</v>
      </c>
      <c r="G254" s="147" t="s">
        <v>154</v>
      </c>
      <c r="J254" s="147">
        <f t="shared" si="8"/>
        <v>0</v>
      </c>
      <c r="K254" s="150">
        <f t="shared" si="9"/>
        <v>2</v>
      </c>
    </row>
    <row r="255" spans="1:11" s="147" customFormat="1" ht="14.25" customHeight="1" x14ac:dyDescent="0.25">
      <c r="A255" s="153">
        <v>226</v>
      </c>
      <c r="B255" s="149" t="s">
        <v>951</v>
      </c>
      <c r="C255" s="158">
        <f>ROUNDUP('ITEM CRAFT'!E256/7,1)</f>
        <v>0</v>
      </c>
      <c r="D255" s="159">
        <f>ROUNDUP('ITEM CRAFT'!E256,1)</f>
        <v>0</v>
      </c>
      <c r="E255" s="158"/>
      <c r="F255" s="168" t="s">
        <v>156</v>
      </c>
      <c r="G255" s="147" t="s">
        <v>154</v>
      </c>
      <c r="J255" s="147">
        <f t="shared" si="8"/>
        <v>0</v>
      </c>
      <c r="K255" s="150">
        <f t="shared" si="9"/>
        <v>2</v>
      </c>
    </row>
    <row r="256" spans="1:11" s="147" customFormat="1" ht="14.25" customHeight="1" x14ac:dyDescent="0.25">
      <c r="A256" s="153">
        <v>227</v>
      </c>
      <c r="B256" s="149" t="s">
        <v>952</v>
      </c>
      <c r="C256" s="158">
        <f>ROUNDUP('ITEM CRAFT'!E257/7,1)</f>
        <v>0</v>
      </c>
      <c r="D256" s="159">
        <f>ROUNDUP('ITEM CRAFT'!E257,1)</f>
        <v>0</v>
      </c>
      <c r="E256" s="158"/>
      <c r="F256" s="168" t="s">
        <v>156</v>
      </c>
      <c r="G256" s="147" t="s">
        <v>154</v>
      </c>
      <c r="J256" s="147">
        <f t="shared" si="8"/>
        <v>0</v>
      </c>
      <c r="K256" s="150">
        <f t="shared" si="9"/>
        <v>2</v>
      </c>
    </row>
    <row r="257" spans="1:11" s="147" customFormat="1" ht="14.25" customHeight="1" x14ac:dyDescent="0.25">
      <c r="A257" s="153">
        <v>228</v>
      </c>
      <c r="B257" s="149" t="s">
        <v>953</v>
      </c>
      <c r="C257" s="158">
        <f>ROUNDUP('ITEM CRAFT'!E258/7,1)</f>
        <v>0</v>
      </c>
      <c r="D257" s="159">
        <f>ROUNDUP('ITEM CRAFT'!E258,1)</f>
        <v>0</v>
      </c>
      <c r="E257" s="158"/>
      <c r="F257" s="168" t="s">
        <v>156</v>
      </c>
      <c r="G257" s="147" t="s">
        <v>154</v>
      </c>
      <c r="J257" s="147">
        <f t="shared" si="8"/>
        <v>0</v>
      </c>
      <c r="K257" s="150">
        <f t="shared" si="9"/>
        <v>2</v>
      </c>
    </row>
    <row r="258" spans="1:11" s="147" customFormat="1" ht="14.25" customHeight="1" x14ac:dyDescent="0.25">
      <c r="A258" s="153">
        <v>229</v>
      </c>
      <c r="B258" s="149" t="s">
        <v>954</v>
      </c>
      <c r="C258" s="158">
        <f>ROUNDUP('ITEM CRAFT'!E259/7,1)</f>
        <v>0</v>
      </c>
      <c r="D258" s="159">
        <f>ROUNDUP('ITEM CRAFT'!E259,1)</f>
        <v>0</v>
      </c>
      <c r="E258" s="158"/>
      <c r="F258" s="168" t="s">
        <v>156</v>
      </c>
      <c r="G258" s="147" t="s">
        <v>154</v>
      </c>
      <c r="J258" s="147">
        <f t="shared" ref="J258:J332" si="10">ROUNDUP(C258/K258,1)</f>
        <v>0</v>
      </c>
      <c r="K258" s="150">
        <f t="shared" si="9"/>
        <v>2</v>
      </c>
    </row>
    <row r="259" spans="1:11" s="147" customFormat="1" ht="14.25" customHeight="1" x14ac:dyDescent="0.25">
      <c r="A259" s="153">
        <v>230</v>
      </c>
      <c r="B259" s="149" t="s">
        <v>955</v>
      </c>
      <c r="C259" s="158">
        <f>ROUNDUP('ITEM CRAFT'!E260/7,1)</f>
        <v>0</v>
      </c>
      <c r="D259" s="159">
        <f>ROUNDUP('ITEM CRAFT'!E260,1)</f>
        <v>0</v>
      </c>
      <c r="E259" s="158"/>
      <c r="F259" s="168" t="s">
        <v>156</v>
      </c>
      <c r="G259" s="147" t="s">
        <v>154</v>
      </c>
      <c r="J259" s="147">
        <f t="shared" si="10"/>
        <v>0</v>
      </c>
      <c r="K259" s="150">
        <f t="shared" si="9"/>
        <v>2</v>
      </c>
    </row>
    <row r="260" spans="1:11" s="147" customFormat="1" ht="14.25" customHeight="1" x14ac:dyDescent="0.25">
      <c r="A260" s="153">
        <v>231</v>
      </c>
      <c r="B260" s="149" t="s">
        <v>956</v>
      </c>
      <c r="C260" s="158">
        <f>ROUNDUP('ITEM CRAFT'!E261/7,1)</f>
        <v>0</v>
      </c>
      <c r="D260" s="159">
        <f>ROUNDUP('ITEM CRAFT'!E261,1)</f>
        <v>0</v>
      </c>
      <c r="E260" s="158"/>
      <c r="F260" s="168" t="s">
        <v>156</v>
      </c>
      <c r="G260" s="147" t="s">
        <v>154</v>
      </c>
      <c r="J260" s="147">
        <f t="shared" si="10"/>
        <v>0</v>
      </c>
      <c r="K260" s="150">
        <f t="shared" si="9"/>
        <v>2</v>
      </c>
    </row>
    <row r="261" spans="1:11" s="147" customFormat="1" ht="14.25" customHeight="1" x14ac:dyDescent="0.25">
      <c r="A261" s="153">
        <v>232</v>
      </c>
      <c r="B261" s="149" t="s">
        <v>957</v>
      </c>
      <c r="C261" s="158">
        <f>ROUNDUP('ITEM CRAFT'!E262/7,1)</f>
        <v>0</v>
      </c>
      <c r="D261" s="159">
        <f>ROUNDUP('ITEM CRAFT'!E262,1)</f>
        <v>0</v>
      </c>
      <c r="E261" s="158"/>
      <c r="F261" s="168" t="s">
        <v>156</v>
      </c>
      <c r="G261" s="147" t="s">
        <v>154</v>
      </c>
      <c r="J261" s="147">
        <f t="shared" si="10"/>
        <v>0</v>
      </c>
      <c r="K261" s="150">
        <f t="shared" si="9"/>
        <v>2</v>
      </c>
    </row>
    <row r="262" spans="1:11" s="147" customFormat="1" ht="14.25" customHeight="1" x14ac:dyDescent="0.25">
      <c r="A262" s="153">
        <v>233</v>
      </c>
      <c r="B262" s="149" t="s">
        <v>958</v>
      </c>
      <c r="C262" s="158">
        <f>ROUNDUP('ITEM CRAFT'!E263/7,1)</f>
        <v>0</v>
      </c>
      <c r="D262" s="159">
        <f>ROUNDUP('ITEM CRAFT'!E263,1)</f>
        <v>0</v>
      </c>
      <c r="E262" s="158"/>
      <c r="F262" s="168" t="s">
        <v>156</v>
      </c>
      <c r="G262" s="147" t="s">
        <v>154</v>
      </c>
      <c r="J262" s="147">
        <f t="shared" si="10"/>
        <v>0</v>
      </c>
      <c r="K262" s="150">
        <f t="shared" ref="K262:K325" si="11">COUNTIF(F262:I262,"*")</f>
        <v>2</v>
      </c>
    </row>
    <row r="263" spans="1:11" s="147" customFormat="1" ht="14.25" customHeight="1" x14ac:dyDescent="0.25">
      <c r="A263" s="153">
        <v>234</v>
      </c>
      <c r="B263" s="149" t="s">
        <v>959</v>
      </c>
      <c r="C263" s="158">
        <f>ROUNDUP('ITEM CRAFT'!E264/7,1)</f>
        <v>0</v>
      </c>
      <c r="D263" s="159">
        <f>ROUNDUP('ITEM CRAFT'!E264,1)</f>
        <v>0</v>
      </c>
      <c r="E263" s="158"/>
      <c r="F263" s="168" t="s">
        <v>156</v>
      </c>
      <c r="G263" s="147" t="s">
        <v>154</v>
      </c>
      <c r="J263" s="147">
        <f t="shared" si="10"/>
        <v>0</v>
      </c>
      <c r="K263" s="150">
        <f t="shared" si="11"/>
        <v>2</v>
      </c>
    </row>
    <row r="264" spans="1:11" s="197" customFormat="1" ht="14.25" customHeight="1" x14ac:dyDescent="0.25">
      <c r="A264" s="195">
        <v>235</v>
      </c>
      <c r="B264" s="196" t="s">
        <v>1033</v>
      </c>
      <c r="C264" s="194">
        <f>ROUNDUP('ITEM CRAFT'!E265/7,1)</f>
        <v>19.3</v>
      </c>
      <c r="D264" s="59">
        <f>ROUNDUP('ITEM CRAFT'!E265,1)</f>
        <v>134.5</v>
      </c>
      <c r="E264" s="194" t="s">
        <v>152</v>
      </c>
      <c r="F264" s="265" t="s">
        <v>157</v>
      </c>
      <c r="J264" s="197">
        <f>ROUNDUP(C264/K264,1)</f>
        <v>19.3</v>
      </c>
      <c r="K264" s="263">
        <f t="shared" ref="K264:K279" si="12">COUNTIF(F264:I264,"*")</f>
        <v>1</v>
      </c>
    </row>
    <row r="265" spans="1:11" s="197" customFormat="1" ht="14.25" customHeight="1" x14ac:dyDescent="0.25">
      <c r="A265" s="195">
        <v>236</v>
      </c>
      <c r="B265" s="196" t="s">
        <v>1034</v>
      </c>
      <c r="C265" s="194">
        <f>ROUNDUP('ITEM CRAFT'!E266/7,1)</f>
        <v>19.600000000000001</v>
      </c>
      <c r="D265" s="59">
        <f>ROUNDUP('ITEM CRAFT'!E266,1)</f>
        <v>136.79999999999998</v>
      </c>
      <c r="E265" s="194" t="s">
        <v>152</v>
      </c>
      <c r="F265" s="265" t="s">
        <v>157</v>
      </c>
      <c r="J265" s="197">
        <f t="shared" ref="J265:J279" si="13">ROUNDUP(C265/K265,1)</f>
        <v>19.600000000000001</v>
      </c>
      <c r="K265" s="263">
        <f t="shared" si="12"/>
        <v>1</v>
      </c>
    </row>
    <row r="266" spans="1:11" s="197" customFormat="1" ht="14.25" customHeight="1" x14ac:dyDescent="0.25">
      <c r="A266" s="195">
        <v>237</v>
      </c>
      <c r="B266" s="196" t="s">
        <v>1035</v>
      </c>
      <c r="C266" s="194">
        <f>ROUNDUP('ITEM CRAFT'!E267/7,1)</f>
        <v>20.400000000000002</v>
      </c>
      <c r="D266" s="59">
        <f>ROUNDUP('ITEM CRAFT'!E267,1)</f>
        <v>142.19999999999999</v>
      </c>
      <c r="E266" s="194" t="s">
        <v>152</v>
      </c>
      <c r="F266" s="265" t="s">
        <v>157</v>
      </c>
      <c r="J266" s="197">
        <f t="shared" si="13"/>
        <v>20.399999999999999</v>
      </c>
      <c r="K266" s="263">
        <f t="shared" si="12"/>
        <v>1</v>
      </c>
    </row>
    <row r="267" spans="1:11" s="197" customFormat="1" ht="14.25" customHeight="1" x14ac:dyDescent="0.25">
      <c r="A267" s="195">
        <v>238</v>
      </c>
      <c r="B267" s="196" t="s">
        <v>1044</v>
      </c>
      <c r="C267" s="194">
        <f>ROUNDUP('ITEM CRAFT'!E268/7,1)</f>
        <v>19.600000000000001</v>
      </c>
      <c r="D267" s="59">
        <f>ROUNDUP('ITEM CRAFT'!E268,1)</f>
        <v>136.79999999999998</v>
      </c>
      <c r="E267" s="194" t="s">
        <v>152</v>
      </c>
      <c r="F267" s="265" t="s">
        <v>157</v>
      </c>
      <c r="J267" s="197">
        <f t="shared" si="13"/>
        <v>19.600000000000001</v>
      </c>
      <c r="K267" s="263">
        <f t="shared" si="12"/>
        <v>1</v>
      </c>
    </row>
    <row r="268" spans="1:11" s="197" customFormat="1" ht="14.25" customHeight="1" x14ac:dyDescent="0.25">
      <c r="A268" s="195">
        <v>239</v>
      </c>
      <c r="B268" s="196" t="s">
        <v>1037</v>
      </c>
      <c r="C268" s="194">
        <f>ROUNDUP('ITEM CRAFT'!E269/7,1)</f>
        <v>19.3</v>
      </c>
      <c r="D268" s="59">
        <f>ROUNDUP('ITEM CRAFT'!E269,1)</f>
        <v>134.5</v>
      </c>
      <c r="E268" s="194" t="s">
        <v>152</v>
      </c>
      <c r="F268" s="265" t="s">
        <v>157</v>
      </c>
      <c r="J268" s="197">
        <f t="shared" si="13"/>
        <v>19.3</v>
      </c>
      <c r="K268" s="263">
        <f t="shared" si="12"/>
        <v>1</v>
      </c>
    </row>
    <row r="269" spans="1:11" s="197" customFormat="1" ht="14.25" customHeight="1" x14ac:dyDescent="0.25">
      <c r="A269" s="195">
        <v>240</v>
      </c>
      <c r="B269" s="196" t="s">
        <v>1038</v>
      </c>
      <c r="C269" s="194">
        <f>ROUNDUP('ITEM CRAFT'!E270/7,1)</f>
        <v>19.900000000000002</v>
      </c>
      <c r="D269" s="59">
        <f>ROUNDUP('ITEM CRAFT'!E270,1)</f>
        <v>138.69999999999999</v>
      </c>
      <c r="E269" s="194" t="s">
        <v>152</v>
      </c>
      <c r="F269" s="265" t="s">
        <v>157</v>
      </c>
      <c r="J269" s="197">
        <f t="shared" si="13"/>
        <v>19.899999999999999</v>
      </c>
      <c r="K269" s="263">
        <f t="shared" si="12"/>
        <v>1</v>
      </c>
    </row>
    <row r="270" spans="1:11" s="197" customFormat="1" ht="14.25" customHeight="1" x14ac:dyDescent="0.25">
      <c r="A270" s="195">
        <v>241</v>
      </c>
      <c r="B270" s="196" t="s">
        <v>1039</v>
      </c>
      <c r="C270" s="194">
        <f>ROUNDUP('ITEM CRAFT'!E271/7,1)</f>
        <v>19.600000000000001</v>
      </c>
      <c r="D270" s="59">
        <f>ROUNDUP('ITEM CRAFT'!E271,1)</f>
        <v>136.79999999999998</v>
      </c>
      <c r="E270" s="194" t="s">
        <v>152</v>
      </c>
      <c r="F270" s="265" t="s">
        <v>157</v>
      </c>
      <c r="J270" s="197">
        <f t="shared" si="13"/>
        <v>19.600000000000001</v>
      </c>
      <c r="K270" s="263">
        <f t="shared" si="12"/>
        <v>1</v>
      </c>
    </row>
    <row r="271" spans="1:11" s="197" customFormat="1" ht="14.25" customHeight="1" x14ac:dyDescent="0.25">
      <c r="A271" s="195">
        <v>242</v>
      </c>
      <c r="B271" s="196" t="s">
        <v>1040</v>
      </c>
      <c r="C271" s="194">
        <f>ROUNDUP('ITEM CRAFT'!E272/7,1)</f>
        <v>19.600000000000001</v>
      </c>
      <c r="D271" s="59">
        <f>ROUNDUP('ITEM CRAFT'!E272,1)</f>
        <v>136.79999999999998</v>
      </c>
      <c r="E271" s="194" t="s">
        <v>152</v>
      </c>
      <c r="F271" s="265" t="s">
        <v>157</v>
      </c>
      <c r="J271" s="197">
        <f t="shared" si="13"/>
        <v>19.600000000000001</v>
      </c>
      <c r="K271" s="263">
        <f t="shared" si="12"/>
        <v>1</v>
      </c>
    </row>
    <row r="272" spans="1:11" s="197" customFormat="1" ht="14.25" customHeight="1" x14ac:dyDescent="0.25">
      <c r="A272" s="195">
        <v>243</v>
      </c>
      <c r="B272" s="196" t="s">
        <v>1041</v>
      </c>
      <c r="C272" s="194">
        <f>ROUNDUP('ITEM CRAFT'!E273/7,1)</f>
        <v>20</v>
      </c>
      <c r="D272" s="59">
        <f>ROUNDUP('ITEM CRAFT'!E273,1)</f>
        <v>139.5</v>
      </c>
      <c r="E272" s="194" t="s">
        <v>152</v>
      </c>
      <c r="F272" s="265" t="s">
        <v>157</v>
      </c>
      <c r="J272" s="197">
        <f t="shared" si="13"/>
        <v>20</v>
      </c>
      <c r="K272" s="263">
        <f t="shared" si="12"/>
        <v>1</v>
      </c>
    </row>
    <row r="273" spans="1:11" s="197" customFormat="1" ht="14.25" customHeight="1" x14ac:dyDescent="0.25">
      <c r="A273" s="195">
        <v>244</v>
      </c>
      <c r="B273" s="196" t="s">
        <v>1042</v>
      </c>
      <c r="C273" s="194">
        <f>ROUNDUP('ITEM CRAFT'!E274/7,1)</f>
        <v>19.600000000000001</v>
      </c>
      <c r="D273" s="59">
        <f>ROUNDUP('ITEM CRAFT'!E274,1)</f>
        <v>136.79999999999998</v>
      </c>
      <c r="E273" s="194" t="s">
        <v>152</v>
      </c>
      <c r="F273" s="265" t="s">
        <v>157</v>
      </c>
      <c r="J273" s="197">
        <f t="shared" si="13"/>
        <v>19.600000000000001</v>
      </c>
      <c r="K273" s="263">
        <f t="shared" si="12"/>
        <v>1</v>
      </c>
    </row>
    <row r="274" spans="1:11" s="197" customFormat="1" ht="14.25" customHeight="1" x14ac:dyDescent="0.25">
      <c r="A274" s="195">
        <v>245</v>
      </c>
      <c r="B274" s="196" t="s">
        <v>1043</v>
      </c>
      <c r="C274" s="194">
        <f>ROUNDUP('ITEM CRAFT'!E275/7,1)</f>
        <v>19.600000000000001</v>
      </c>
      <c r="D274" s="59">
        <f>ROUNDUP('ITEM CRAFT'!E275,1)</f>
        <v>136.79999999999998</v>
      </c>
      <c r="E274" s="194" t="s">
        <v>152</v>
      </c>
      <c r="F274" s="265" t="s">
        <v>157</v>
      </c>
      <c r="J274" s="197">
        <f t="shared" si="13"/>
        <v>19.600000000000001</v>
      </c>
      <c r="K274" s="263">
        <f t="shared" si="12"/>
        <v>1</v>
      </c>
    </row>
    <row r="275" spans="1:11" s="197" customFormat="1" ht="14.25" customHeight="1" x14ac:dyDescent="0.25">
      <c r="A275" s="195">
        <v>246</v>
      </c>
      <c r="B275" s="196" t="s">
        <v>1036</v>
      </c>
      <c r="C275" s="194">
        <f>ROUNDUP('ITEM CRAFT'!E276/7,1)</f>
        <v>19.3</v>
      </c>
      <c r="D275" s="59">
        <f>ROUNDUP('ITEM CRAFT'!E276,1)</f>
        <v>134.5</v>
      </c>
      <c r="E275" s="194" t="s">
        <v>152</v>
      </c>
      <c r="F275" s="265" t="s">
        <v>157</v>
      </c>
      <c r="J275" s="197">
        <f t="shared" si="13"/>
        <v>19.3</v>
      </c>
      <c r="K275" s="263">
        <f t="shared" si="12"/>
        <v>1</v>
      </c>
    </row>
    <row r="276" spans="1:11" s="197" customFormat="1" ht="14.25" customHeight="1" x14ac:dyDescent="0.25">
      <c r="A276" s="195">
        <v>247</v>
      </c>
      <c r="B276" s="196" t="s">
        <v>1045</v>
      </c>
      <c r="C276" s="194">
        <f>ROUNDUP('ITEM CRAFT'!E277/7,1)</f>
        <v>19.3</v>
      </c>
      <c r="D276" s="59">
        <f>ROUNDUP('ITEM CRAFT'!E277,1)</f>
        <v>134.5</v>
      </c>
      <c r="E276" s="194" t="s">
        <v>152</v>
      </c>
      <c r="F276" s="265" t="s">
        <v>157</v>
      </c>
      <c r="J276" s="197">
        <f t="shared" si="13"/>
        <v>19.3</v>
      </c>
      <c r="K276" s="263">
        <f t="shared" si="12"/>
        <v>1</v>
      </c>
    </row>
    <row r="277" spans="1:11" s="197" customFormat="1" ht="14.25" customHeight="1" x14ac:dyDescent="0.25">
      <c r="A277" s="195">
        <v>248</v>
      </c>
      <c r="B277" s="196" t="s">
        <v>1046</v>
      </c>
      <c r="C277" s="194">
        <f>ROUNDUP('ITEM CRAFT'!E278/7,1)</f>
        <v>19.3</v>
      </c>
      <c r="D277" s="59">
        <f>ROUNDUP('ITEM CRAFT'!E278,1)</f>
        <v>134.5</v>
      </c>
      <c r="E277" s="194" t="s">
        <v>152</v>
      </c>
      <c r="F277" s="265" t="s">
        <v>157</v>
      </c>
      <c r="J277" s="197">
        <f t="shared" si="13"/>
        <v>19.3</v>
      </c>
      <c r="K277" s="263">
        <f t="shared" si="12"/>
        <v>1</v>
      </c>
    </row>
    <row r="278" spans="1:11" s="197" customFormat="1" ht="14.25" customHeight="1" x14ac:dyDescent="0.25">
      <c r="A278" s="195">
        <v>249</v>
      </c>
      <c r="B278" s="196" t="s">
        <v>1047</v>
      </c>
      <c r="C278" s="194">
        <f>ROUNDUP('ITEM CRAFT'!E279/7,1)</f>
        <v>19.3</v>
      </c>
      <c r="D278" s="59">
        <f>ROUNDUP('ITEM CRAFT'!E279,1)</f>
        <v>134.5</v>
      </c>
      <c r="E278" s="194" t="s">
        <v>152</v>
      </c>
      <c r="F278" s="265" t="s">
        <v>157</v>
      </c>
      <c r="J278" s="197">
        <f t="shared" si="13"/>
        <v>19.3</v>
      </c>
      <c r="K278" s="263">
        <f t="shared" si="12"/>
        <v>1</v>
      </c>
    </row>
    <row r="279" spans="1:11" s="197" customFormat="1" ht="14.25" customHeight="1" x14ac:dyDescent="0.25">
      <c r="A279" s="195">
        <v>250</v>
      </c>
      <c r="B279" s="196" t="s">
        <v>1048</v>
      </c>
      <c r="C279" s="194">
        <f>ROUNDUP('ITEM CRAFT'!E280/7,1)</f>
        <v>19.3</v>
      </c>
      <c r="D279" s="59">
        <f>ROUNDUP('ITEM CRAFT'!E280,1)</f>
        <v>134.5</v>
      </c>
      <c r="E279" s="194" t="s">
        <v>152</v>
      </c>
      <c r="F279" s="265" t="s">
        <v>157</v>
      </c>
      <c r="J279" s="197">
        <f t="shared" si="13"/>
        <v>19.3</v>
      </c>
      <c r="K279" s="263">
        <f t="shared" si="12"/>
        <v>1</v>
      </c>
    </row>
    <row r="280" spans="1:11" s="197" customFormat="1" ht="14.25" customHeight="1" x14ac:dyDescent="0.25">
      <c r="A280" s="195">
        <v>252</v>
      </c>
      <c r="B280" s="196" t="s">
        <v>1095</v>
      </c>
      <c r="C280" s="194">
        <f>ROUNDUP('ITEM CRAFT'!E281/7,1)</f>
        <v>11.2</v>
      </c>
      <c r="D280" s="59">
        <f>ROUNDUP('ITEM CRAFT'!E281,1)</f>
        <v>78</v>
      </c>
      <c r="E280" s="194" t="s">
        <v>152</v>
      </c>
      <c r="F280" s="273" t="s">
        <v>156</v>
      </c>
      <c r="G280" s="197" t="s">
        <v>154</v>
      </c>
      <c r="J280" s="197">
        <f t="shared" ref="J280:J295" si="14">ROUNDUP(C280/K280,1)</f>
        <v>5.6</v>
      </c>
      <c r="K280" s="270">
        <f t="shared" ref="K280:K295" si="15">COUNTIF(F280:I280,"*")</f>
        <v>2</v>
      </c>
    </row>
    <row r="281" spans="1:11" s="197" customFormat="1" ht="14.25" customHeight="1" x14ac:dyDescent="0.25">
      <c r="A281" s="195" t="s">
        <v>1080</v>
      </c>
      <c r="B281" s="196" t="s">
        <v>1096</v>
      </c>
      <c r="C281" s="194">
        <f>ROUNDUP('ITEM CRAFT'!E282/7,1)</f>
        <v>13.4</v>
      </c>
      <c r="D281" s="59">
        <f>ROUNDUP('ITEM CRAFT'!E282,1)</f>
        <v>93.199999999999989</v>
      </c>
      <c r="E281" s="194" t="s">
        <v>152</v>
      </c>
      <c r="F281" s="273" t="s">
        <v>156</v>
      </c>
      <c r="G281" s="197" t="s">
        <v>154</v>
      </c>
      <c r="J281" s="197">
        <f t="shared" si="14"/>
        <v>6.7</v>
      </c>
      <c r="K281" s="270">
        <f t="shared" si="15"/>
        <v>2</v>
      </c>
    </row>
    <row r="282" spans="1:11" s="197" customFormat="1" ht="14.25" customHeight="1" x14ac:dyDescent="0.25">
      <c r="A282" s="195" t="s">
        <v>1081</v>
      </c>
      <c r="B282" s="196" t="s">
        <v>1097</v>
      </c>
      <c r="C282" s="194">
        <f>ROUNDUP('ITEM CRAFT'!E283/7,1)</f>
        <v>18.5</v>
      </c>
      <c r="D282" s="59">
        <f>ROUNDUP('ITEM CRAFT'!E283,1)</f>
        <v>129.5</v>
      </c>
      <c r="E282" s="194" t="s">
        <v>152</v>
      </c>
      <c r="F282" s="273" t="s">
        <v>156</v>
      </c>
      <c r="G282" s="197" t="s">
        <v>154</v>
      </c>
      <c r="J282" s="197">
        <f t="shared" si="14"/>
        <v>9.2999999999999989</v>
      </c>
      <c r="K282" s="270">
        <f t="shared" si="15"/>
        <v>2</v>
      </c>
    </row>
    <row r="283" spans="1:11" s="197" customFormat="1" ht="14.25" customHeight="1" x14ac:dyDescent="0.25">
      <c r="A283" s="195" t="s">
        <v>1082</v>
      </c>
      <c r="B283" s="196" t="s">
        <v>1098</v>
      </c>
      <c r="C283" s="194">
        <f>ROUNDUP('ITEM CRAFT'!E284/7,1)</f>
        <v>13.4</v>
      </c>
      <c r="D283" s="59">
        <f>ROUNDUP('ITEM CRAFT'!E284,1)</f>
        <v>93.199999999999989</v>
      </c>
      <c r="E283" s="194" t="s">
        <v>152</v>
      </c>
      <c r="F283" s="273" t="s">
        <v>156</v>
      </c>
      <c r="G283" s="197" t="s">
        <v>154</v>
      </c>
      <c r="J283" s="197">
        <f t="shared" si="14"/>
        <v>6.7</v>
      </c>
      <c r="K283" s="270">
        <f t="shared" si="15"/>
        <v>2</v>
      </c>
    </row>
    <row r="284" spans="1:11" s="197" customFormat="1" ht="14.25" customHeight="1" x14ac:dyDescent="0.25">
      <c r="A284" s="195" t="s">
        <v>1083</v>
      </c>
      <c r="B284" s="196" t="s">
        <v>1099</v>
      </c>
      <c r="C284" s="194">
        <f>ROUNDUP('ITEM CRAFT'!E285/7,1)</f>
        <v>11.2</v>
      </c>
      <c r="D284" s="59">
        <f>ROUNDUP('ITEM CRAFT'!E285,1)</f>
        <v>78</v>
      </c>
      <c r="E284" s="194" t="s">
        <v>152</v>
      </c>
      <c r="F284" s="273" t="s">
        <v>156</v>
      </c>
      <c r="G284" s="197" t="s">
        <v>154</v>
      </c>
      <c r="J284" s="197">
        <f t="shared" si="14"/>
        <v>5.6</v>
      </c>
      <c r="K284" s="270">
        <f t="shared" si="15"/>
        <v>2</v>
      </c>
    </row>
    <row r="285" spans="1:11" s="197" customFormat="1" ht="14.25" customHeight="1" x14ac:dyDescent="0.25">
      <c r="A285" s="195" t="s">
        <v>1084</v>
      </c>
      <c r="B285" s="196" t="s">
        <v>1100</v>
      </c>
      <c r="C285" s="194">
        <f>ROUNDUP('ITEM CRAFT'!E286/7,1)</f>
        <v>15.2</v>
      </c>
      <c r="D285" s="59">
        <f>ROUNDUP('ITEM CRAFT'!E286,1)</f>
        <v>106.1</v>
      </c>
      <c r="E285" s="194" t="s">
        <v>152</v>
      </c>
      <c r="F285" s="273" t="s">
        <v>156</v>
      </c>
      <c r="G285" s="197" t="s">
        <v>154</v>
      </c>
      <c r="J285" s="197">
        <f t="shared" si="14"/>
        <v>7.6</v>
      </c>
      <c r="K285" s="270">
        <f t="shared" si="15"/>
        <v>2</v>
      </c>
    </row>
    <row r="286" spans="1:11" s="197" customFormat="1" ht="14.25" customHeight="1" x14ac:dyDescent="0.25">
      <c r="A286" s="195" t="s">
        <v>1085</v>
      </c>
      <c r="B286" s="196" t="s">
        <v>1101</v>
      </c>
      <c r="C286" s="194">
        <f>ROUNDUP('ITEM CRAFT'!E287/7,1)</f>
        <v>13.4</v>
      </c>
      <c r="D286" s="59">
        <f>ROUNDUP('ITEM CRAFT'!E287,1)</f>
        <v>93.199999999999989</v>
      </c>
      <c r="E286" s="194" t="s">
        <v>152</v>
      </c>
      <c r="F286" s="273" t="s">
        <v>156</v>
      </c>
      <c r="G286" s="197" t="s">
        <v>154</v>
      </c>
      <c r="J286" s="197">
        <f t="shared" si="14"/>
        <v>6.7</v>
      </c>
      <c r="K286" s="270">
        <f t="shared" si="15"/>
        <v>2</v>
      </c>
    </row>
    <row r="287" spans="1:11" s="197" customFormat="1" ht="14.25" customHeight="1" x14ac:dyDescent="0.25">
      <c r="A287" s="195" t="s">
        <v>1086</v>
      </c>
      <c r="B287" s="196" t="s">
        <v>1102</v>
      </c>
      <c r="C287" s="194">
        <f>ROUNDUP('ITEM CRAFT'!E288/7,1)</f>
        <v>13.4</v>
      </c>
      <c r="D287" s="59">
        <f>ROUNDUP('ITEM CRAFT'!E288,1)</f>
        <v>93.199999999999989</v>
      </c>
      <c r="E287" s="194" t="s">
        <v>152</v>
      </c>
      <c r="F287" s="273" t="s">
        <v>156</v>
      </c>
      <c r="G287" s="197" t="s">
        <v>154</v>
      </c>
      <c r="J287" s="197">
        <f t="shared" si="14"/>
        <v>6.7</v>
      </c>
      <c r="K287" s="270">
        <f t="shared" si="15"/>
        <v>2</v>
      </c>
    </row>
    <row r="288" spans="1:11" s="197" customFormat="1" ht="14.25" customHeight="1" x14ac:dyDescent="0.25">
      <c r="A288" s="195" t="s">
        <v>1087</v>
      </c>
      <c r="B288" s="196" t="s">
        <v>1103</v>
      </c>
      <c r="C288" s="194">
        <f>ROUNDUP('ITEM CRAFT'!E289/7,1)</f>
        <v>15.9</v>
      </c>
      <c r="D288" s="59">
        <f>ROUNDUP('ITEM CRAFT'!E289,1)</f>
        <v>111.3</v>
      </c>
      <c r="E288" s="194" t="s">
        <v>152</v>
      </c>
      <c r="F288" s="273" t="s">
        <v>156</v>
      </c>
      <c r="G288" s="197" t="s">
        <v>154</v>
      </c>
      <c r="J288" s="197">
        <f t="shared" si="14"/>
        <v>8</v>
      </c>
      <c r="K288" s="270">
        <f t="shared" si="15"/>
        <v>2</v>
      </c>
    </row>
    <row r="289" spans="1:11" s="197" customFormat="1" ht="14.25" customHeight="1" x14ac:dyDescent="0.25">
      <c r="A289" s="195" t="s">
        <v>1088</v>
      </c>
      <c r="B289" s="196" t="s">
        <v>1104</v>
      </c>
      <c r="C289" s="194">
        <f>ROUNDUP('ITEM CRAFT'!E290/7,1)</f>
        <v>13.4</v>
      </c>
      <c r="D289" s="59">
        <f>ROUNDUP('ITEM CRAFT'!E290,1)</f>
        <v>93.199999999999989</v>
      </c>
      <c r="E289" s="194" t="s">
        <v>152</v>
      </c>
      <c r="F289" s="273" t="s">
        <v>156</v>
      </c>
      <c r="G289" s="197" t="s">
        <v>154</v>
      </c>
      <c r="J289" s="197">
        <f t="shared" si="14"/>
        <v>6.7</v>
      </c>
      <c r="K289" s="270">
        <f t="shared" si="15"/>
        <v>2</v>
      </c>
    </row>
    <row r="290" spans="1:11" s="197" customFormat="1" ht="14.25" customHeight="1" x14ac:dyDescent="0.25">
      <c r="A290" s="195" t="s">
        <v>1089</v>
      </c>
      <c r="B290" s="196" t="s">
        <v>1105</v>
      </c>
      <c r="C290" s="194">
        <f>ROUNDUP('ITEM CRAFT'!E291/7,1)</f>
        <v>13.4</v>
      </c>
      <c r="D290" s="59">
        <f>ROUNDUP('ITEM CRAFT'!E291,1)</f>
        <v>93.199999999999989</v>
      </c>
      <c r="E290" s="194" t="s">
        <v>152</v>
      </c>
      <c r="F290" s="273" t="s">
        <v>156</v>
      </c>
      <c r="G290" s="197" t="s">
        <v>154</v>
      </c>
      <c r="J290" s="197">
        <f t="shared" si="14"/>
        <v>6.7</v>
      </c>
      <c r="K290" s="270">
        <f t="shared" si="15"/>
        <v>2</v>
      </c>
    </row>
    <row r="291" spans="1:11" s="197" customFormat="1" ht="14.25" customHeight="1" x14ac:dyDescent="0.25">
      <c r="A291" s="195" t="s">
        <v>1090</v>
      </c>
      <c r="B291" s="196" t="s">
        <v>1106</v>
      </c>
      <c r="C291" s="194">
        <f>ROUNDUP('ITEM CRAFT'!E292/7,1)</f>
        <v>11.2</v>
      </c>
      <c r="D291" s="59">
        <f>ROUNDUP('ITEM CRAFT'!E292,1)</f>
        <v>78</v>
      </c>
      <c r="E291" s="194" t="s">
        <v>152</v>
      </c>
      <c r="F291" s="273" t="s">
        <v>156</v>
      </c>
      <c r="G291" s="197" t="s">
        <v>154</v>
      </c>
      <c r="J291" s="197">
        <f t="shared" si="14"/>
        <v>5.6</v>
      </c>
      <c r="K291" s="270">
        <f t="shared" si="15"/>
        <v>2</v>
      </c>
    </row>
    <row r="292" spans="1:11" s="197" customFormat="1" ht="14.25" customHeight="1" x14ac:dyDescent="0.25">
      <c r="A292" s="195" t="s">
        <v>1091</v>
      </c>
      <c r="B292" s="196" t="s">
        <v>1107</v>
      </c>
      <c r="C292" s="194">
        <f>ROUNDUP('ITEM CRAFT'!E293/7,1)</f>
        <v>11.2</v>
      </c>
      <c r="D292" s="59">
        <f>ROUNDUP('ITEM CRAFT'!E293,1)</f>
        <v>78</v>
      </c>
      <c r="E292" s="194" t="s">
        <v>152</v>
      </c>
      <c r="F292" s="273" t="s">
        <v>156</v>
      </c>
      <c r="G292" s="197" t="s">
        <v>154</v>
      </c>
      <c r="J292" s="197">
        <f t="shared" si="14"/>
        <v>5.6</v>
      </c>
      <c r="K292" s="270">
        <f t="shared" si="15"/>
        <v>2</v>
      </c>
    </row>
    <row r="293" spans="1:11" s="197" customFormat="1" ht="14.25" customHeight="1" x14ac:dyDescent="0.25">
      <c r="A293" s="195" t="s">
        <v>1092</v>
      </c>
      <c r="B293" s="196" t="s">
        <v>1108</v>
      </c>
      <c r="C293" s="194">
        <f>ROUNDUP('ITEM CRAFT'!E294/7,1)</f>
        <v>11.2</v>
      </c>
      <c r="D293" s="59">
        <f>ROUNDUP('ITEM CRAFT'!E294,1)</f>
        <v>78</v>
      </c>
      <c r="E293" s="194" t="s">
        <v>152</v>
      </c>
      <c r="F293" s="273" t="s">
        <v>156</v>
      </c>
      <c r="G293" s="197" t="s">
        <v>154</v>
      </c>
      <c r="J293" s="197">
        <f t="shared" si="14"/>
        <v>5.6</v>
      </c>
      <c r="K293" s="270">
        <f t="shared" si="15"/>
        <v>2</v>
      </c>
    </row>
    <row r="294" spans="1:11" s="197" customFormat="1" ht="14.25" customHeight="1" x14ac:dyDescent="0.25">
      <c r="A294" s="195" t="s">
        <v>1093</v>
      </c>
      <c r="B294" s="196" t="s">
        <v>1109</v>
      </c>
      <c r="C294" s="194">
        <f>ROUNDUP('ITEM CRAFT'!E295/7,1)</f>
        <v>11.2</v>
      </c>
      <c r="D294" s="59">
        <f>ROUNDUP('ITEM CRAFT'!E295,1)</f>
        <v>78</v>
      </c>
      <c r="E294" s="194" t="s">
        <v>152</v>
      </c>
      <c r="F294" s="273" t="s">
        <v>156</v>
      </c>
      <c r="G294" s="197" t="s">
        <v>154</v>
      </c>
      <c r="J294" s="197">
        <f t="shared" si="14"/>
        <v>5.6</v>
      </c>
      <c r="K294" s="270">
        <f t="shared" si="15"/>
        <v>2</v>
      </c>
    </row>
    <row r="295" spans="1:11" s="197" customFormat="1" ht="14.25" customHeight="1" x14ac:dyDescent="0.25">
      <c r="A295" s="195" t="s">
        <v>1094</v>
      </c>
      <c r="B295" s="196" t="s">
        <v>1110</v>
      </c>
      <c r="C295" s="194">
        <f>ROUNDUP('ITEM CRAFT'!E296/7,1)</f>
        <v>11.2</v>
      </c>
      <c r="D295" s="59">
        <f>ROUNDUP('ITEM CRAFT'!E296,1)</f>
        <v>78</v>
      </c>
      <c r="E295" s="194" t="s">
        <v>152</v>
      </c>
      <c r="F295" s="273" t="s">
        <v>156</v>
      </c>
      <c r="G295" s="197" t="s">
        <v>154</v>
      </c>
      <c r="J295" s="197">
        <f t="shared" si="14"/>
        <v>5.6</v>
      </c>
      <c r="K295" s="270">
        <f t="shared" si="15"/>
        <v>2</v>
      </c>
    </row>
    <row r="296" spans="1:11" s="197" customFormat="1" ht="14.25" customHeight="1" x14ac:dyDescent="0.25">
      <c r="A296" s="195">
        <v>256</v>
      </c>
      <c r="B296" s="196" t="s">
        <v>554</v>
      </c>
      <c r="C296" s="194">
        <f>ROUNDUP('ITEM CRAFT'!E297/7,1)</f>
        <v>137.29999999999998</v>
      </c>
      <c r="D296" s="59">
        <f>ROUNDUP('ITEM CRAFT'!E297,1)</f>
        <v>960.9</v>
      </c>
      <c r="E296" s="194" t="s">
        <v>152</v>
      </c>
      <c r="F296" s="192" t="s">
        <v>156</v>
      </c>
      <c r="J296" s="197">
        <f t="shared" si="10"/>
        <v>137.30000000000001</v>
      </c>
      <c r="K296" s="191">
        <f t="shared" si="11"/>
        <v>1</v>
      </c>
    </row>
    <row r="297" spans="1:11" s="197" customFormat="1" ht="14.25" customHeight="1" x14ac:dyDescent="0.25">
      <c r="A297" s="195">
        <v>257</v>
      </c>
      <c r="B297" s="196" t="s">
        <v>555</v>
      </c>
      <c r="C297" s="194">
        <f>ROUNDUP('ITEM CRAFT'!E298/7,1)</f>
        <v>411.6</v>
      </c>
      <c r="D297" s="59">
        <f>ROUNDUP('ITEM CRAFT'!E298,1)</f>
        <v>2880.9</v>
      </c>
      <c r="E297" s="194" t="s">
        <v>152</v>
      </c>
      <c r="F297" s="192" t="s">
        <v>156</v>
      </c>
      <c r="J297" s="197">
        <f t="shared" si="10"/>
        <v>411.6</v>
      </c>
      <c r="K297" s="191">
        <f t="shared" si="11"/>
        <v>1</v>
      </c>
    </row>
    <row r="298" spans="1:11" s="205" customFormat="1" ht="14.25" customHeight="1" x14ac:dyDescent="0.25">
      <c r="A298" s="202">
        <v>258</v>
      </c>
      <c r="B298" s="203" t="s">
        <v>556</v>
      </c>
      <c r="C298" s="201">
        <f>ROUNDUP('ITEM CRAFT'!E299/7,1)</f>
        <v>411.6</v>
      </c>
      <c r="D298" s="63">
        <f>ROUNDUP('ITEM CRAFT'!E299,1)</f>
        <v>2880.9</v>
      </c>
      <c r="E298" s="201" t="s">
        <v>150</v>
      </c>
      <c r="F298" s="204" t="s">
        <v>156</v>
      </c>
      <c r="J298" s="205">
        <f t="shared" si="10"/>
        <v>411.6</v>
      </c>
      <c r="K298" s="56">
        <f t="shared" si="11"/>
        <v>1</v>
      </c>
    </row>
    <row r="299" spans="1:11" s="235" customFormat="1" ht="14.25" customHeight="1" x14ac:dyDescent="0.25">
      <c r="A299" s="232">
        <v>259</v>
      </c>
      <c r="B299" s="233" t="s">
        <v>557</v>
      </c>
      <c r="C299" s="230">
        <f>ROUNDUP('ITEM CRAFT'!E300/7,1)</f>
        <v>137.79999999999998</v>
      </c>
      <c r="D299" s="231">
        <f>ROUNDUP('ITEM CRAFT'!E300,1)</f>
        <v>964.4</v>
      </c>
      <c r="E299" s="230" t="s">
        <v>160</v>
      </c>
      <c r="F299" s="234" t="s">
        <v>156</v>
      </c>
      <c r="J299" s="235">
        <f t="shared" si="10"/>
        <v>137.80000000000001</v>
      </c>
      <c r="K299" s="236">
        <f t="shared" si="11"/>
        <v>1</v>
      </c>
    </row>
    <row r="300" spans="1:11" s="205" customFormat="1" ht="14.25" customHeight="1" x14ac:dyDescent="0.25">
      <c r="A300" s="202">
        <v>261</v>
      </c>
      <c r="B300" s="203" t="s">
        <v>559</v>
      </c>
      <c r="C300" s="201">
        <f>ROUNDUP('ITEM CRAFT'!E302/7,1)</f>
        <v>2.5</v>
      </c>
      <c r="D300" s="63">
        <f>ROUNDUP('ITEM CRAFT'!E302,1)</f>
        <v>17.5</v>
      </c>
      <c r="E300" s="201" t="s">
        <v>150</v>
      </c>
      <c r="F300" s="204" t="s">
        <v>156</v>
      </c>
      <c r="J300" s="205">
        <f t="shared" si="10"/>
        <v>2.5</v>
      </c>
      <c r="K300" s="56">
        <f t="shared" si="11"/>
        <v>1</v>
      </c>
    </row>
    <row r="301" spans="1:11" s="205" customFormat="1" ht="14.25" customHeight="1" x14ac:dyDescent="0.25">
      <c r="A301" s="202">
        <v>262</v>
      </c>
      <c r="B301" s="203" t="s">
        <v>560</v>
      </c>
      <c r="C301" s="201">
        <f>ROUNDUP('ITEM CRAFT'!E303/7,1)</f>
        <v>1.4000000000000001</v>
      </c>
      <c r="D301" s="63">
        <f>ROUNDUP('ITEM CRAFT'!E303,1)</f>
        <v>9.7999999999999989</v>
      </c>
      <c r="E301" s="201" t="s">
        <v>150</v>
      </c>
      <c r="F301" s="204" t="s">
        <v>156</v>
      </c>
      <c r="J301" s="205">
        <f t="shared" si="10"/>
        <v>1.4</v>
      </c>
      <c r="K301" s="56">
        <f t="shared" si="11"/>
        <v>1</v>
      </c>
    </row>
    <row r="302" spans="1:11" s="197" customFormat="1" ht="14.25" customHeight="1" x14ac:dyDescent="0.25">
      <c r="A302" s="195">
        <v>273</v>
      </c>
      <c r="B302" s="196" t="s">
        <v>572</v>
      </c>
      <c r="C302" s="194">
        <f>ROUNDUP('ITEM CRAFT'!E315/7,1)</f>
        <v>0.7</v>
      </c>
      <c r="D302" s="59">
        <f>ROUNDUP('ITEM CRAFT'!E315,1)</f>
        <v>4.5</v>
      </c>
      <c r="E302" s="194" t="s">
        <v>152</v>
      </c>
      <c r="F302" s="192" t="s">
        <v>156</v>
      </c>
      <c r="J302" s="197">
        <f t="shared" si="10"/>
        <v>0.7</v>
      </c>
      <c r="K302" s="191">
        <f t="shared" si="11"/>
        <v>1</v>
      </c>
    </row>
    <row r="303" spans="1:11" s="197" customFormat="1" ht="14.25" customHeight="1" x14ac:dyDescent="0.25">
      <c r="A303" s="195">
        <v>274</v>
      </c>
      <c r="B303" s="196" t="s">
        <v>573</v>
      </c>
      <c r="C303" s="194">
        <f>ROUNDUP('ITEM CRAFT'!E316/7,1)</f>
        <v>1.7000000000000002</v>
      </c>
      <c r="D303" s="59">
        <f>ROUNDUP('ITEM CRAFT'!E316,1)</f>
        <v>11.7</v>
      </c>
      <c r="E303" s="194" t="s">
        <v>152</v>
      </c>
      <c r="F303" s="192" t="s">
        <v>156</v>
      </c>
      <c r="J303" s="197">
        <f t="shared" si="10"/>
        <v>1.7</v>
      </c>
      <c r="K303" s="191">
        <f t="shared" si="11"/>
        <v>1</v>
      </c>
    </row>
    <row r="304" spans="1:11" s="205" customFormat="1" ht="14.25" customHeight="1" x14ac:dyDescent="0.25">
      <c r="A304" s="202">
        <v>275</v>
      </c>
      <c r="B304" s="203" t="s">
        <v>574</v>
      </c>
      <c r="C304" s="201">
        <f>ROUNDUP('ITEM CRAFT'!E317/7,1)</f>
        <v>1.7000000000000002</v>
      </c>
      <c r="D304" s="63">
        <f>ROUNDUP('ITEM CRAFT'!E317,1)</f>
        <v>11.7</v>
      </c>
      <c r="E304" s="201" t="s">
        <v>150</v>
      </c>
      <c r="F304" s="204" t="s">
        <v>156</v>
      </c>
      <c r="J304" s="205">
        <f t="shared" si="10"/>
        <v>1.7</v>
      </c>
      <c r="K304" s="56">
        <f t="shared" si="11"/>
        <v>1</v>
      </c>
    </row>
    <row r="305" spans="1:11" s="197" customFormat="1" ht="14.25" customHeight="1" x14ac:dyDescent="0.25">
      <c r="A305" s="195">
        <v>277</v>
      </c>
      <c r="B305" s="196" t="s">
        <v>576</v>
      </c>
      <c r="C305" s="194">
        <f>ROUNDUP('ITEM CRAFT'!E319/7,1)</f>
        <v>548.70000000000005</v>
      </c>
      <c r="D305" s="59">
        <f>ROUNDUP('ITEM CRAFT'!E319,1)</f>
        <v>3840.9</v>
      </c>
      <c r="E305" s="194" t="s">
        <v>152</v>
      </c>
      <c r="F305" s="192" t="s">
        <v>156</v>
      </c>
      <c r="J305" s="197">
        <f t="shared" si="10"/>
        <v>548.70000000000005</v>
      </c>
      <c r="K305" s="191">
        <f t="shared" si="11"/>
        <v>1</v>
      </c>
    </row>
    <row r="306" spans="1:11" s="197" customFormat="1" ht="14.25" customHeight="1" x14ac:dyDescent="0.25">
      <c r="A306" s="195">
        <v>278</v>
      </c>
      <c r="B306" s="196" t="s">
        <v>577</v>
      </c>
      <c r="C306" s="194">
        <f>ROUNDUP('ITEM CRAFT'!E320/7,1)</f>
        <v>1645.8999999999999</v>
      </c>
      <c r="D306" s="59">
        <f>ROUNDUP('ITEM CRAFT'!E320,1)</f>
        <v>11520.9</v>
      </c>
      <c r="E306" s="194" t="s">
        <v>152</v>
      </c>
      <c r="F306" s="192" t="s">
        <v>156</v>
      </c>
      <c r="J306" s="197">
        <f t="shared" si="10"/>
        <v>1645.9</v>
      </c>
      <c r="K306" s="191">
        <f t="shared" si="11"/>
        <v>1</v>
      </c>
    </row>
    <row r="307" spans="1:11" s="205" customFormat="1" ht="14.25" customHeight="1" x14ac:dyDescent="0.25">
      <c r="A307" s="202">
        <v>279</v>
      </c>
      <c r="B307" s="203" t="s">
        <v>578</v>
      </c>
      <c r="C307" s="201">
        <f>ROUNDUP('ITEM CRAFT'!E321/7,1)</f>
        <v>1645.8999999999999</v>
      </c>
      <c r="D307" s="63">
        <f>ROUNDUP('ITEM CRAFT'!E321,1)</f>
        <v>11520.9</v>
      </c>
      <c r="E307" s="201" t="s">
        <v>150</v>
      </c>
      <c r="F307" s="204" t="s">
        <v>156</v>
      </c>
      <c r="J307" s="205">
        <f t="shared" si="10"/>
        <v>1645.9</v>
      </c>
      <c r="K307" s="56">
        <f t="shared" si="11"/>
        <v>1</v>
      </c>
    </row>
    <row r="308" spans="1:11" s="205" customFormat="1" ht="14.25" customHeight="1" x14ac:dyDescent="0.25">
      <c r="A308" s="202">
        <v>280</v>
      </c>
      <c r="B308" s="203" t="s">
        <v>204</v>
      </c>
      <c r="C308" s="201">
        <f>ROUNDUP('ITEM CRAFT'!E322/7,1)</f>
        <v>0.1</v>
      </c>
      <c r="D308" s="63">
        <f>ROUNDUP('ITEM CRAFT'!E322,1)</f>
        <v>0.4</v>
      </c>
      <c r="E308" s="201" t="s">
        <v>150</v>
      </c>
      <c r="F308" s="204" t="s">
        <v>156</v>
      </c>
      <c r="J308" s="205">
        <f t="shared" si="10"/>
        <v>0.1</v>
      </c>
      <c r="K308" s="56">
        <f t="shared" si="11"/>
        <v>1</v>
      </c>
    </row>
    <row r="309" spans="1:11" s="205" customFormat="1" ht="14.25" customHeight="1" x14ac:dyDescent="0.25">
      <c r="A309" s="202">
        <v>281</v>
      </c>
      <c r="B309" s="203" t="s">
        <v>579</v>
      </c>
      <c r="C309" s="201">
        <f>ROUNDUP('ITEM CRAFT'!E323/7,1)</f>
        <v>0.2</v>
      </c>
      <c r="D309" s="63">
        <f>ROUNDUP('ITEM CRAFT'!E323,1)</f>
        <v>1.1000000000000001</v>
      </c>
      <c r="E309" s="201" t="s">
        <v>150</v>
      </c>
      <c r="F309" s="204" t="s">
        <v>156</v>
      </c>
      <c r="J309" s="205">
        <f t="shared" si="10"/>
        <v>0.2</v>
      </c>
      <c r="K309" s="56">
        <f t="shared" si="11"/>
        <v>1</v>
      </c>
    </row>
    <row r="310" spans="1:11" s="217" customFormat="1" ht="14.25" customHeight="1" x14ac:dyDescent="0.25">
      <c r="A310" s="214">
        <v>282</v>
      </c>
      <c r="B310" s="215" t="s">
        <v>580</v>
      </c>
      <c r="C310" s="213">
        <f>ROUNDUP('ITEM CRAFT'!E324/7,1)</f>
        <v>323.20000000000005</v>
      </c>
      <c r="D310" s="65">
        <f>ROUNDUP('ITEM CRAFT'!E324,1)</f>
        <v>2262.1</v>
      </c>
      <c r="E310" s="213" t="s">
        <v>151</v>
      </c>
      <c r="F310" s="216" t="s">
        <v>156</v>
      </c>
      <c r="J310" s="217">
        <f t="shared" si="10"/>
        <v>323.2</v>
      </c>
      <c r="K310" s="58">
        <f t="shared" si="11"/>
        <v>1</v>
      </c>
    </row>
    <row r="311" spans="1:11" s="197" customFormat="1" ht="14.25" customHeight="1" x14ac:dyDescent="0.25">
      <c r="A311" s="195">
        <v>284</v>
      </c>
      <c r="B311" s="196" t="s">
        <v>582</v>
      </c>
      <c r="C311" s="194">
        <f>ROUNDUP('ITEM CRAFT'!E326/7,1)</f>
        <v>274.5</v>
      </c>
      <c r="D311" s="59">
        <f>ROUNDUP('ITEM CRAFT'!E326,1)</f>
        <v>1920.8999999999999</v>
      </c>
      <c r="E311" s="194" t="s">
        <v>152</v>
      </c>
      <c r="F311" s="192" t="s">
        <v>156</v>
      </c>
      <c r="J311" s="197">
        <f t="shared" si="10"/>
        <v>274.5</v>
      </c>
      <c r="K311" s="191">
        <f t="shared" si="11"/>
        <v>1</v>
      </c>
    </row>
    <row r="312" spans="1:11" s="197" customFormat="1" ht="14.25" customHeight="1" x14ac:dyDescent="0.25">
      <c r="A312" s="195">
        <v>285</v>
      </c>
      <c r="B312" s="196" t="s">
        <v>583</v>
      </c>
      <c r="C312" s="194">
        <f>ROUNDUP('ITEM CRAFT'!E327/7,1)</f>
        <v>823</v>
      </c>
      <c r="D312" s="59">
        <f>ROUNDUP('ITEM CRAFT'!E327,1)</f>
        <v>5760.9000000000005</v>
      </c>
      <c r="E312" s="194" t="s">
        <v>152</v>
      </c>
      <c r="F312" s="192" t="s">
        <v>156</v>
      </c>
      <c r="J312" s="197">
        <f t="shared" si="10"/>
        <v>823</v>
      </c>
      <c r="K312" s="191">
        <f t="shared" si="11"/>
        <v>1</v>
      </c>
    </row>
    <row r="313" spans="1:11" s="205" customFormat="1" ht="14.25" customHeight="1" x14ac:dyDescent="0.25">
      <c r="A313" s="202">
        <v>286</v>
      </c>
      <c r="B313" s="203" t="s">
        <v>584</v>
      </c>
      <c r="C313" s="201">
        <f>ROUNDUP('ITEM CRAFT'!E328/7,1)</f>
        <v>823</v>
      </c>
      <c r="D313" s="63">
        <f>ROUNDUP('ITEM CRAFT'!E328,1)</f>
        <v>5760.9000000000005</v>
      </c>
      <c r="E313" s="201" t="s">
        <v>150</v>
      </c>
      <c r="F313" s="204" t="s">
        <v>156</v>
      </c>
      <c r="J313" s="205">
        <f t="shared" si="10"/>
        <v>823</v>
      </c>
      <c r="K313" s="56">
        <f t="shared" si="11"/>
        <v>1</v>
      </c>
    </row>
    <row r="314" spans="1:11" s="217" customFormat="1" ht="14.25" customHeight="1" x14ac:dyDescent="0.25">
      <c r="A314" s="214">
        <v>291</v>
      </c>
      <c r="B314" s="215" t="s">
        <v>589</v>
      </c>
      <c r="C314" s="213">
        <f>ROUNDUP('ITEM CRAFT'!E333/7,1)</f>
        <v>1.2000000000000002</v>
      </c>
      <c r="D314" s="65">
        <f>ROUNDUP('ITEM CRAFT'!E333,1)</f>
        <v>8.1</v>
      </c>
      <c r="E314" s="213" t="s">
        <v>151</v>
      </c>
      <c r="F314" s="216" t="s">
        <v>156</v>
      </c>
      <c r="J314" s="217">
        <f t="shared" si="10"/>
        <v>1.2</v>
      </c>
      <c r="K314" s="58">
        <f t="shared" si="11"/>
        <v>1</v>
      </c>
    </row>
    <row r="315" spans="1:11" s="217" customFormat="1" ht="14.25" customHeight="1" x14ac:dyDescent="0.25">
      <c r="A315" s="214">
        <v>292</v>
      </c>
      <c r="B315" s="215" t="s">
        <v>590</v>
      </c>
      <c r="C315" s="213">
        <f>ROUNDUP('ITEM CRAFT'!E334/7,1)</f>
        <v>274.5</v>
      </c>
      <c r="D315" s="65">
        <f>ROUNDUP('ITEM CRAFT'!E334,1)</f>
        <v>1920.8999999999999</v>
      </c>
      <c r="E315" s="213" t="s">
        <v>151</v>
      </c>
      <c r="F315" s="216" t="s">
        <v>156</v>
      </c>
      <c r="J315" s="217">
        <f t="shared" si="10"/>
        <v>274.5</v>
      </c>
      <c r="K315" s="58">
        <f t="shared" si="11"/>
        <v>1</v>
      </c>
    </row>
    <row r="316" spans="1:11" s="217" customFormat="1" ht="14.25" customHeight="1" x14ac:dyDescent="0.25">
      <c r="A316" s="214">
        <v>293</v>
      </c>
      <c r="B316" s="215" t="s">
        <v>591</v>
      </c>
      <c r="C316" s="213">
        <f>ROUNDUP('ITEM CRAFT'!E335/7,1)</f>
        <v>548.70000000000005</v>
      </c>
      <c r="D316" s="65">
        <f>ROUNDUP('ITEM CRAFT'!E335,1)</f>
        <v>3840.9</v>
      </c>
      <c r="E316" s="213" t="s">
        <v>151</v>
      </c>
      <c r="F316" s="216" t="s">
        <v>156</v>
      </c>
      <c r="J316" s="217">
        <f t="shared" si="10"/>
        <v>548.70000000000005</v>
      </c>
      <c r="K316" s="58">
        <f t="shared" si="11"/>
        <v>1</v>
      </c>
    </row>
    <row r="317" spans="1:11" s="217" customFormat="1" ht="14.25" customHeight="1" x14ac:dyDescent="0.25">
      <c r="A317" s="214">
        <v>294</v>
      </c>
      <c r="B317" s="215" t="s">
        <v>592</v>
      </c>
      <c r="C317" s="213">
        <f>ROUNDUP('ITEM CRAFT'!E336/7,1)</f>
        <v>1097.3</v>
      </c>
      <c r="D317" s="65">
        <f>ROUNDUP('ITEM CRAFT'!E336,1)</f>
        <v>7680.9000000000005</v>
      </c>
      <c r="E317" s="213" t="s">
        <v>151</v>
      </c>
      <c r="F317" s="216" t="s">
        <v>156</v>
      </c>
      <c r="J317" s="217">
        <f t="shared" si="10"/>
        <v>1097.3</v>
      </c>
      <c r="K317" s="58">
        <f t="shared" si="11"/>
        <v>1</v>
      </c>
    </row>
    <row r="318" spans="1:11" s="58" customFormat="1" ht="14.25" customHeight="1" x14ac:dyDescent="0.25">
      <c r="A318" s="214">
        <v>296</v>
      </c>
      <c r="B318" s="215" t="s">
        <v>140</v>
      </c>
      <c r="C318" s="213">
        <f>ROUNDUP('ITEM CRAFT'!E337/7,1)</f>
        <v>85.6</v>
      </c>
      <c r="D318" s="65">
        <f>ROUNDUP('ITEM CRAFT'!E337,1)</f>
        <v>599</v>
      </c>
      <c r="E318" s="213"/>
      <c r="F318" s="216" t="s">
        <v>153</v>
      </c>
      <c r="G318" s="217"/>
      <c r="H318" s="217"/>
      <c r="I318" s="217"/>
      <c r="J318" s="217">
        <f t="shared" si="10"/>
        <v>85.6</v>
      </c>
      <c r="K318" s="58">
        <f t="shared" si="11"/>
        <v>1</v>
      </c>
    </row>
    <row r="319" spans="1:11" s="217" customFormat="1" ht="14.25" customHeight="1" x14ac:dyDescent="0.25">
      <c r="A319" s="214">
        <v>297</v>
      </c>
      <c r="B319" s="215" t="s">
        <v>593</v>
      </c>
      <c r="C319" s="213">
        <f>ROUNDUP('ITEM CRAFT'!E338/7,1)</f>
        <v>308.10000000000002</v>
      </c>
      <c r="D319" s="65">
        <f>ROUNDUP('ITEM CRAFT'!E338,1)</f>
        <v>2156.4</v>
      </c>
      <c r="E319" s="213" t="s">
        <v>151</v>
      </c>
      <c r="F319" s="216" t="s">
        <v>156</v>
      </c>
      <c r="J319" s="217">
        <f t="shared" si="10"/>
        <v>308.10000000000002</v>
      </c>
      <c r="K319" s="58">
        <f t="shared" si="11"/>
        <v>1</v>
      </c>
    </row>
    <row r="320" spans="1:11" s="235" customFormat="1" ht="14.25" customHeight="1" x14ac:dyDescent="0.25">
      <c r="A320" s="232">
        <v>298</v>
      </c>
      <c r="B320" s="233" t="s">
        <v>594</v>
      </c>
      <c r="C320" s="230">
        <f>ROUNDUP('ITEM CRAFT'!E339/7,1)</f>
        <v>1586.1</v>
      </c>
      <c r="D320" s="231">
        <f>ROUNDUP('ITEM CRAFT'!E339,1)</f>
        <v>11102.4</v>
      </c>
      <c r="E320" s="230" t="s">
        <v>160</v>
      </c>
      <c r="F320" s="234" t="s">
        <v>156</v>
      </c>
      <c r="J320" s="235">
        <f t="shared" si="10"/>
        <v>1586.1</v>
      </c>
      <c r="K320" s="236">
        <f t="shared" si="11"/>
        <v>1</v>
      </c>
    </row>
    <row r="321" spans="1:11" s="235" customFormat="1" ht="14.25" customHeight="1" x14ac:dyDescent="0.25">
      <c r="A321" s="232">
        <v>299</v>
      </c>
      <c r="B321" s="233" t="s">
        <v>595</v>
      </c>
      <c r="C321" s="230">
        <f>ROUNDUP('ITEM CRAFT'!E340/7,1)</f>
        <v>2537.6999999999998</v>
      </c>
      <c r="D321" s="231">
        <f>ROUNDUP('ITEM CRAFT'!E340,1)</f>
        <v>17763.899999999998</v>
      </c>
      <c r="E321" s="230" t="s">
        <v>160</v>
      </c>
      <c r="F321" s="234" t="s">
        <v>156</v>
      </c>
      <c r="J321" s="235">
        <f t="shared" si="10"/>
        <v>2537.6999999999998</v>
      </c>
      <c r="K321" s="236">
        <f t="shared" si="11"/>
        <v>1</v>
      </c>
    </row>
    <row r="322" spans="1:11" s="235" customFormat="1" ht="14.25" customHeight="1" x14ac:dyDescent="0.25">
      <c r="A322" s="232">
        <v>300</v>
      </c>
      <c r="B322" s="233" t="s">
        <v>596</v>
      </c>
      <c r="C322" s="230">
        <f>ROUNDUP('ITEM CRAFT'!E341/7,1)</f>
        <v>2220.5</v>
      </c>
      <c r="D322" s="231">
        <f>ROUNDUP('ITEM CRAFT'!E341,1)</f>
        <v>15543.4</v>
      </c>
      <c r="E322" s="230" t="s">
        <v>160</v>
      </c>
      <c r="F322" s="234" t="s">
        <v>156</v>
      </c>
      <c r="J322" s="235">
        <f t="shared" si="10"/>
        <v>2220.5</v>
      </c>
      <c r="K322" s="236">
        <f t="shared" si="11"/>
        <v>1</v>
      </c>
    </row>
    <row r="323" spans="1:11" s="235" customFormat="1" ht="14.25" customHeight="1" x14ac:dyDescent="0.25">
      <c r="A323" s="232">
        <v>301</v>
      </c>
      <c r="B323" s="233" t="s">
        <v>597</v>
      </c>
      <c r="C323" s="230">
        <f>ROUNDUP('ITEM CRAFT'!E342/7,1)</f>
        <v>1268.8999999999999</v>
      </c>
      <c r="D323" s="231">
        <f>ROUNDUP('ITEM CRAFT'!E342,1)</f>
        <v>8882</v>
      </c>
      <c r="E323" s="230" t="s">
        <v>160</v>
      </c>
      <c r="F323" s="234" t="s">
        <v>156</v>
      </c>
      <c r="J323" s="235">
        <f t="shared" si="10"/>
        <v>1268.9000000000001</v>
      </c>
      <c r="K323" s="236">
        <f t="shared" si="11"/>
        <v>1</v>
      </c>
    </row>
    <row r="324" spans="1:11" s="236" customFormat="1" ht="14.25" customHeight="1" x14ac:dyDescent="0.25">
      <c r="A324" s="232">
        <v>319</v>
      </c>
      <c r="B324" s="233" t="s">
        <v>611</v>
      </c>
      <c r="C324" s="230">
        <f>ROUNDUP('ITEM CRAFT'!E356/7,1)</f>
        <v>85.6</v>
      </c>
      <c r="D324" s="231">
        <f>ROUNDUP('ITEM CRAFT'!E356,1)</f>
        <v>599</v>
      </c>
      <c r="E324" s="230" t="s">
        <v>160</v>
      </c>
      <c r="F324" s="234" t="s">
        <v>157</v>
      </c>
      <c r="G324" s="235" t="s">
        <v>155</v>
      </c>
      <c r="H324" s="235"/>
      <c r="I324" s="235"/>
      <c r="J324" s="235">
        <f t="shared" si="10"/>
        <v>42.8</v>
      </c>
      <c r="K324" s="236">
        <f t="shared" si="11"/>
        <v>2</v>
      </c>
    </row>
    <row r="325" spans="1:11" s="235" customFormat="1" ht="14.25" customHeight="1" x14ac:dyDescent="0.25">
      <c r="A325" s="232">
        <v>321</v>
      </c>
      <c r="B325" s="233" t="s">
        <v>613</v>
      </c>
      <c r="C325" s="230">
        <f>ROUNDUP('ITEM CRAFT'!E358/7,1)</f>
        <v>4.1999999999999993</v>
      </c>
      <c r="D325" s="231">
        <f>ROUNDUP('ITEM CRAFT'!E358,1)</f>
        <v>29.400000000000002</v>
      </c>
      <c r="E325" s="230" t="s">
        <v>160</v>
      </c>
      <c r="F325" s="234" t="s">
        <v>156</v>
      </c>
      <c r="J325" s="235">
        <f t="shared" si="10"/>
        <v>4.2</v>
      </c>
      <c r="K325" s="236">
        <f t="shared" si="11"/>
        <v>1</v>
      </c>
    </row>
    <row r="326" spans="1:11" s="217" customFormat="1" ht="14.25" customHeight="1" x14ac:dyDescent="0.25">
      <c r="A326" s="214">
        <v>322</v>
      </c>
      <c r="B326" s="215" t="s">
        <v>614</v>
      </c>
      <c r="C326" s="213">
        <f>ROUNDUP('ITEM CRAFT'!E359/7,1)</f>
        <v>15.1</v>
      </c>
      <c r="D326" s="65">
        <f>ROUNDUP('ITEM CRAFT'!E359,1)</f>
        <v>105.6</v>
      </c>
      <c r="E326" s="213" t="s">
        <v>151</v>
      </c>
      <c r="F326" s="216" t="s">
        <v>156</v>
      </c>
      <c r="J326" s="217">
        <f t="shared" si="10"/>
        <v>15.1</v>
      </c>
      <c r="K326" s="58">
        <f t="shared" ref="K326:K390" si="16">COUNTIF(F326:I326,"*")</f>
        <v>1</v>
      </c>
    </row>
    <row r="327" spans="1:11" s="217" customFormat="1" ht="14.25" customHeight="1" x14ac:dyDescent="0.25">
      <c r="A327" s="214" t="s">
        <v>616</v>
      </c>
      <c r="B327" s="215" t="s">
        <v>615</v>
      </c>
      <c r="C327" s="213">
        <f>ROUNDUP('ITEM CRAFT'!E360/7,1)</f>
        <v>23699</v>
      </c>
      <c r="D327" s="65">
        <f>ROUNDUP('ITEM CRAFT'!E360,1)</f>
        <v>165892.79999999999</v>
      </c>
      <c r="E327" s="213" t="s">
        <v>151</v>
      </c>
      <c r="F327" s="216" t="s">
        <v>156</v>
      </c>
      <c r="J327" s="217">
        <f t="shared" si="10"/>
        <v>23699</v>
      </c>
      <c r="K327" s="58">
        <f t="shared" si="16"/>
        <v>1</v>
      </c>
    </row>
    <row r="328" spans="1:11" s="205" customFormat="1" ht="14.25" customHeight="1" x14ac:dyDescent="0.25">
      <c r="A328" s="202">
        <v>323</v>
      </c>
      <c r="B328" s="203" t="s">
        <v>617</v>
      </c>
      <c r="C328" s="201">
        <f>ROUNDUP('ITEM CRAFT'!E361/7,1)</f>
        <v>0.5</v>
      </c>
      <c r="D328" s="63">
        <f>ROUNDUP('ITEM CRAFT'!E361,1)</f>
        <v>3.1</v>
      </c>
      <c r="E328" s="201" t="s">
        <v>150</v>
      </c>
      <c r="F328" s="204" t="s">
        <v>156</v>
      </c>
      <c r="G328" s="205" t="s">
        <v>154</v>
      </c>
      <c r="J328" s="205">
        <f t="shared" si="10"/>
        <v>0.30000000000000004</v>
      </c>
      <c r="K328" s="56">
        <f t="shared" si="16"/>
        <v>2</v>
      </c>
    </row>
    <row r="329" spans="1:11" s="205" customFormat="1" ht="14.25" customHeight="1" x14ac:dyDescent="0.25">
      <c r="A329" s="202">
        <v>324</v>
      </c>
      <c r="B329" s="203" t="s">
        <v>618</v>
      </c>
      <c r="C329" s="201">
        <f>ROUNDUP('ITEM CRAFT'!E362/7,1)</f>
        <v>0.5</v>
      </c>
      <c r="D329" s="63">
        <f>ROUNDUP('ITEM CRAFT'!E362,1)</f>
        <v>2.9</v>
      </c>
      <c r="E329" s="201" t="s">
        <v>150</v>
      </c>
      <c r="F329" s="204" t="s">
        <v>156</v>
      </c>
      <c r="G329" s="205" t="s">
        <v>154</v>
      </c>
      <c r="J329" s="205">
        <f t="shared" si="10"/>
        <v>0.30000000000000004</v>
      </c>
      <c r="K329" s="56">
        <f t="shared" si="16"/>
        <v>2</v>
      </c>
    </row>
    <row r="330" spans="1:11" s="197" customFormat="1" ht="14.25" customHeight="1" x14ac:dyDescent="0.25">
      <c r="A330" s="195">
        <v>325</v>
      </c>
      <c r="B330" s="196" t="s">
        <v>619</v>
      </c>
      <c r="C330" s="194">
        <f>ROUNDUP('ITEM CRAFT'!E363/7,1)</f>
        <v>411.5</v>
      </c>
      <c r="D330" s="59">
        <f>ROUNDUP('ITEM CRAFT'!E363,1)</f>
        <v>2880</v>
      </c>
      <c r="E330" s="194" t="s">
        <v>152</v>
      </c>
      <c r="F330" s="192" t="s">
        <v>156</v>
      </c>
      <c r="J330" s="197">
        <f t="shared" si="10"/>
        <v>411.5</v>
      </c>
      <c r="K330" s="191">
        <f t="shared" si="16"/>
        <v>1</v>
      </c>
    </row>
    <row r="331" spans="1:11" s="197" customFormat="1" ht="14.25" customHeight="1" x14ac:dyDescent="0.25">
      <c r="A331" s="195">
        <v>328</v>
      </c>
      <c r="B331" s="196" t="s">
        <v>620</v>
      </c>
      <c r="C331" s="194">
        <f>ROUNDUP('ITEM CRAFT'!E364/7,1)</f>
        <v>685.80000000000007</v>
      </c>
      <c r="D331" s="59">
        <f>ROUNDUP('ITEM CRAFT'!E364,1)</f>
        <v>4800</v>
      </c>
      <c r="E331" s="194" t="s">
        <v>152</v>
      </c>
      <c r="F331" s="192" t="s">
        <v>156</v>
      </c>
      <c r="J331" s="197">
        <f t="shared" si="10"/>
        <v>685.8</v>
      </c>
      <c r="K331" s="191">
        <f t="shared" si="16"/>
        <v>1</v>
      </c>
    </row>
    <row r="332" spans="1:11" s="197" customFormat="1" ht="14.25" customHeight="1" x14ac:dyDescent="0.25">
      <c r="A332" s="195">
        <v>330</v>
      </c>
      <c r="B332" s="196" t="s">
        <v>963</v>
      </c>
      <c r="C332" s="194">
        <f>ROUNDUP('ITEM CRAFT'!E366/7,1)</f>
        <v>274.3</v>
      </c>
      <c r="D332" s="59">
        <f>ROUNDUP('ITEM CRAFT'!E366,1)</f>
        <v>1920</v>
      </c>
      <c r="E332" s="194" t="s">
        <v>152</v>
      </c>
      <c r="F332" s="192" t="s">
        <v>156</v>
      </c>
      <c r="G332" s="197" t="s">
        <v>154</v>
      </c>
      <c r="J332" s="197">
        <f t="shared" si="10"/>
        <v>137.19999999999999</v>
      </c>
      <c r="K332" s="191">
        <f t="shared" si="16"/>
        <v>2</v>
      </c>
    </row>
    <row r="333" spans="1:11" s="205" customFormat="1" ht="14.25" customHeight="1" x14ac:dyDescent="0.25">
      <c r="A333" s="202">
        <v>333</v>
      </c>
      <c r="B333" s="203" t="s">
        <v>623</v>
      </c>
      <c r="C333" s="201">
        <f>ROUNDUP('ITEM CRAFT'!E368/7,1)</f>
        <v>1.1000000000000001</v>
      </c>
      <c r="D333" s="63">
        <f>ROUNDUP('ITEM CRAFT'!E368,1)</f>
        <v>7.2</v>
      </c>
      <c r="E333" s="201" t="s">
        <v>150</v>
      </c>
      <c r="F333" s="204" t="s">
        <v>156</v>
      </c>
      <c r="J333" s="205">
        <f t="shared" ref="J333:J416" si="17">ROUNDUP(C333/K333,1)</f>
        <v>1.1000000000000001</v>
      </c>
      <c r="K333" s="56">
        <f t="shared" si="16"/>
        <v>1</v>
      </c>
    </row>
    <row r="334" spans="1:11" s="235" customFormat="1" ht="14.25" customHeight="1" x14ac:dyDescent="0.25">
      <c r="A334" s="232">
        <v>334</v>
      </c>
      <c r="B334" s="233" t="s">
        <v>624</v>
      </c>
      <c r="C334" s="230">
        <f>ROUNDUP('ITEM CRAFT'!E369/7,1)</f>
        <v>264.40000000000003</v>
      </c>
      <c r="D334" s="231">
        <f>ROUNDUP('ITEM CRAFT'!E369,1)</f>
        <v>1850.4</v>
      </c>
      <c r="E334" s="230" t="s">
        <v>160</v>
      </c>
      <c r="F334" s="234" t="s">
        <v>156</v>
      </c>
      <c r="J334" s="235">
        <f t="shared" si="17"/>
        <v>264.39999999999998</v>
      </c>
      <c r="K334" s="236">
        <f t="shared" si="16"/>
        <v>1</v>
      </c>
    </row>
    <row r="335" spans="1:11" s="191" customFormat="1" ht="14.25" customHeight="1" x14ac:dyDescent="0.25">
      <c r="A335" s="195">
        <v>337</v>
      </c>
      <c r="B335" s="196" t="s">
        <v>626</v>
      </c>
      <c r="C335" s="194">
        <f>ROUNDUP('ITEM CRAFT'!E372/7,1)</f>
        <v>2.2000000000000002</v>
      </c>
      <c r="D335" s="59">
        <f>ROUNDUP('ITEM CRAFT'!E372,1)</f>
        <v>15</v>
      </c>
      <c r="E335" s="194" t="s">
        <v>152</v>
      </c>
      <c r="F335" s="192" t="s">
        <v>157</v>
      </c>
      <c r="G335" s="197"/>
      <c r="H335" s="197"/>
      <c r="I335" s="197"/>
      <c r="J335" s="197">
        <f t="shared" si="17"/>
        <v>2.2000000000000002</v>
      </c>
      <c r="K335" s="191">
        <f t="shared" si="16"/>
        <v>1</v>
      </c>
    </row>
    <row r="336" spans="1:11" s="58" customFormat="1" ht="14.25" customHeight="1" x14ac:dyDescent="0.25">
      <c r="A336" s="214">
        <v>338</v>
      </c>
      <c r="B336" s="215" t="s">
        <v>924</v>
      </c>
      <c r="C336" s="213">
        <f>ROUNDUP('ITEM CRAFT'!E373/7,1)</f>
        <v>61.2</v>
      </c>
      <c r="D336" s="65">
        <f>ROUNDUP('ITEM CRAFT'!E373,1)</f>
        <v>428</v>
      </c>
      <c r="E336" s="213" t="s">
        <v>151</v>
      </c>
      <c r="F336" s="216" t="s">
        <v>153</v>
      </c>
      <c r="G336" s="217"/>
      <c r="H336" s="217"/>
      <c r="I336" s="217"/>
      <c r="J336" s="217">
        <f t="shared" si="17"/>
        <v>61.2</v>
      </c>
      <c r="K336" s="58">
        <f t="shared" si="16"/>
        <v>1</v>
      </c>
    </row>
    <row r="337" spans="1:11" s="205" customFormat="1" ht="14.25" customHeight="1" x14ac:dyDescent="0.25">
      <c r="A337" s="202">
        <v>339</v>
      </c>
      <c r="B337" s="203" t="s">
        <v>627</v>
      </c>
      <c r="C337" s="201">
        <f>ROUNDUP('ITEM CRAFT'!E374/7,1)</f>
        <v>73.399999999999991</v>
      </c>
      <c r="D337" s="63">
        <f>ROUNDUP('ITEM CRAFT'!E374,1)</f>
        <v>513.6</v>
      </c>
      <c r="E337" s="201" t="s">
        <v>150</v>
      </c>
      <c r="F337" s="204" t="s">
        <v>156</v>
      </c>
      <c r="J337" s="205">
        <f t="shared" si="17"/>
        <v>73.400000000000006</v>
      </c>
      <c r="K337" s="56">
        <f t="shared" si="16"/>
        <v>1</v>
      </c>
    </row>
    <row r="338" spans="1:11" s="205" customFormat="1" ht="14.25" customHeight="1" x14ac:dyDescent="0.25">
      <c r="A338" s="202">
        <v>340</v>
      </c>
      <c r="B338" s="203" t="s">
        <v>628</v>
      </c>
      <c r="C338" s="201">
        <f>ROUNDUP('ITEM CRAFT'!E375/7,1)</f>
        <v>581.4</v>
      </c>
      <c r="D338" s="63">
        <f>ROUNDUP('ITEM CRAFT'!E375,1)</f>
        <v>4069.5</v>
      </c>
      <c r="E338" s="201" t="s">
        <v>150</v>
      </c>
      <c r="F338" s="204" t="s">
        <v>156</v>
      </c>
      <c r="J338" s="205">
        <f t="shared" si="17"/>
        <v>581.4</v>
      </c>
      <c r="K338" s="56">
        <f t="shared" si="16"/>
        <v>1</v>
      </c>
    </row>
    <row r="339" spans="1:11" s="197" customFormat="1" ht="14.25" customHeight="1" x14ac:dyDescent="0.25">
      <c r="A339" s="195">
        <v>342</v>
      </c>
      <c r="B339" s="196" t="s">
        <v>630</v>
      </c>
      <c r="C339" s="194">
        <f>ROUNDUP('ITEM CRAFT'!E377/7,1)</f>
        <v>824.9</v>
      </c>
      <c r="D339" s="59">
        <f>ROUNDUP('ITEM CRAFT'!E377,1)</f>
        <v>5773.9000000000005</v>
      </c>
      <c r="E339" s="194" t="s">
        <v>152</v>
      </c>
      <c r="F339" s="192" t="s">
        <v>156</v>
      </c>
      <c r="J339" s="197">
        <f t="shared" si="17"/>
        <v>824.9</v>
      </c>
      <c r="K339" s="191">
        <f t="shared" si="16"/>
        <v>1</v>
      </c>
    </row>
    <row r="340" spans="1:11" s="197" customFormat="1" ht="14.25" customHeight="1" x14ac:dyDescent="0.25">
      <c r="A340" s="195">
        <v>343</v>
      </c>
      <c r="B340" s="196" t="s">
        <v>631</v>
      </c>
      <c r="C340" s="194">
        <f>ROUNDUP('ITEM CRAFT'!E378/7,1)</f>
        <v>827.80000000000007</v>
      </c>
      <c r="D340" s="59">
        <f>ROUNDUP('ITEM CRAFT'!E378,1)</f>
        <v>5794.6</v>
      </c>
      <c r="E340" s="194" t="s">
        <v>152</v>
      </c>
      <c r="F340" s="192" t="s">
        <v>156</v>
      </c>
      <c r="J340" s="197">
        <f t="shared" si="17"/>
        <v>827.8</v>
      </c>
      <c r="K340" s="191">
        <f t="shared" si="16"/>
        <v>1</v>
      </c>
    </row>
    <row r="341" spans="1:11" s="235" customFormat="1" ht="14.25" customHeight="1" x14ac:dyDescent="0.25">
      <c r="A341" s="232">
        <v>346</v>
      </c>
      <c r="B341" s="233" t="s">
        <v>1029</v>
      </c>
      <c r="C341" s="230">
        <f>ROUNDUP('ITEM CRAFT'!E381/7,1)</f>
        <v>1.8</v>
      </c>
      <c r="D341" s="231">
        <f>ROUNDUP('ITEM CRAFT'!E381,1)</f>
        <v>12.1</v>
      </c>
      <c r="E341" s="230" t="s">
        <v>152</v>
      </c>
      <c r="F341" s="234" t="s">
        <v>156</v>
      </c>
      <c r="J341" s="235">
        <f t="shared" ref="J341" si="18">ROUNDUP(C341/K341,1)</f>
        <v>1.8</v>
      </c>
      <c r="K341" s="236">
        <f t="shared" ref="K341" si="19">COUNTIF(F341:I341,"*")</f>
        <v>1</v>
      </c>
    </row>
    <row r="342" spans="1:11" s="247" customFormat="1" ht="14.25" customHeight="1" x14ac:dyDescent="0.25">
      <c r="A342" s="242">
        <v>345</v>
      </c>
      <c r="B342" s="243" t="s">
        <v>968</v>
      </c>
      <c r="C342" s="244">
        <f>ROUNDUP('ITEM CRAFT'!E380/7,1)</f>
        <v>551.20000000000005</v>
      </c>
      <c r="D342" s="245">
        <f>ROUNDUP('ITEM CRAFT'!E380,1)</f>
        <v>3858</v>
      </c>
      <c r="E342" s="244"/>
      <c r="F342" s="246" t="s">
        <v>156</v>
      </c>
      <c r="J342" s="247">
        <f t="shared" si="17"/>
        <v>551.20000000000005</v>
      </c>
      <c r="K342" s="248">
        <f t="shared" si="16"/>
        <v>1</v>
      </c>
    </row>
    <row r="343" spans="1:11" s="247" customFormat="1" ht="14.25" customHeight="1" x14ac:dyDescent="0.25">
      <c r="A343" s="242">
        <v>347</v>
      </c>
      <c r="B343" s="243" t="s">
        <v>634</v>
      </c>
      <c r="C343" s="244">
        <f>ROUNDUP('ITEM CRAFT'!E382/7,1)</f>
        <v>1099.8</v>
      </c>
      <c r="D343" s="245">
        <f>ROUNDUP('ITEM CRAFT'!E382,1)</f>
        <v>7698</v>
      </c>
      <c r="E343" s="244"/>
      <c r="F343" s="246" t="s">
        <v>156</v>
      </c>
      <c r="J343" s="247">
        <f t="shared" si="17"/>
        <v>1099.8</v>
      </c>
      <c r="K343" s="248">
        <f t="shared" si="16"/>
        <v>1</v>
      </c>
    </row>
    <row r="344" spans="1:11" s="150" customFormat="1" ht="14.25" customHeight="1" x14ac:dyDescent="0.25">
      <c r="A344" s="145">
        <v>349</v>
      </c>
      <c r="B344" s="146" t="s">
        <v>636</v>
      </c>
      <c r="C344" s="158">
        <f>ROUNDUP('ITEM CRAFT'!E384/7,1)</f>
        <v>36.800000000000004</v>
      </c>
      <c r="D344" s="159">
        <f>ROUNDUP('ITEM CRAFT'!E384,1)</f>
        <v>257</v>
      </c>
      <c r="E344" s="158"/>
      <c r="F344" s="168" t="s">
        <v>157</v>
      </c>
      <c r="G344" s="147"/>
      <c r="H344" s="147"/>
      <c r="I344" s="147"/>
      <c r="J344" s="147">
        <f t="shared" si="17"/>
        <v>36.799999999999997</v>
      </c>
      <c r="K344" s="150">
        <f t="shared" si="16"/>
        <v>1</v>
      </c>
    </row>
    <row r="345" spans="1:11" s="150" customFormat="1" ht="14.25" customHeight="1" x14ac:dyDescent="0.25">
      <c r="A345" s="145" t="s">
        <v>638</v>
      </c>
      <c r="B345" s="146" t="s">
        <v>637</v>
      </c>
      <c r="C345" s="158">
        <f>ROUNDUP('ITEM CRAFT'!E385/7,1)</f>
        <v>36.800000000000004</v>
      </c>
      <c r="D345" s="159">
        <f>ROUNDUP('ITEM CRAFT'!E385,1)</f>
        <v>257</v>
      </c>
      <c r="E345" s="158"/>
      <c r="F345" s="168" t="s">
        <v>157</v>
      </c>
      <c r="G345" s="147"/>
      <c r="H345" s="147"/>
      <c r="I345" s="147"/>
      <c r="J345" s="147">
        <f t="shared" si="17"/>
        <v>36.799999999999997</v>
      </c>
      <c r="K345" s="150">
        <f t="shared" si="16"/>
        <v>1</v>
      </c>
    </row>
    <row r="346" spans="1:11" s="147" customFormat="1" ht="14.25" customHeight="1" x14ac:dyDescent="0.25">
      <c r="A346" s="145" t="s">
        <v>640</v>
      </c>
      <c r="B346" s="146" t="s">
        <v>639</v>
      </c>
      <c r="C346" s="158">
        <f>ROUNDUP('ITEM CRAFT'!E386/7,1)</f>
        <v>36.800000000000004</v>
      </c>
      <c r="D346" s="159">
        <f>ROUNDUP('ITEM CRAFT'!E386,1)</f>
        <v>257</v>
      </c>
      <c r="E346" s="158"/>
      <c r="F346" s="168" t="s">
        <v>157</v>
      </c>
      <c r="J346" s="147">
        <f t="shared" si="17"/>
        <v>36.799999999999997</v>
      </c>
      <c r="K346" s="150">
        <f t="shared" si="16"/>
        <v>1</v>
      </c>
    </row>
    <row r="347" spans="1:11" s="147" customFormat="1" ht="14.25" customHeight="1" x14ac:dyDescent="0.25">
      <c r="A347" s="145" t="s">
        <v>642</v>
      </c>
      <c r="B347" s="146" t="s">
        <v>641</v>
      </c>
      <c r="C347" s="158">
        <f>ROUNDUP('ITEM CRAFT'!E387/7,1)</f>
        <v>36.800000000000004</v>
      </c>
      <c r="D347" s="159">
        <f>ROUNDUP('ITEM CRAFT'!E387,1)</f>
        <v>257</v>
      </c>
      <c r="E347" s="158"/>
      <c r="F347" s="168" t="s">
        <v>157</v>
      </c>
      <c r="J347" s="147">
        <f t="shared" si="17"/>
        <v>36.799999999999997</v>
      </c>
      <c r="K347" s="150">
        <f t="shared" si="16"/>
        <v>1</v>
      </c>
    </row>
    <row r="348" spans="1:11" s="147" customFormat="1" ht="14.25" customHeight="1" x14ac:dyDescent="0.25">
      <c r="A348" s="153" t="s">
        <v>646</v>
      </c>
      <c r="B348" s="154" t="s">
        <v>639</v>
      </c>
      <c r="C348" s="158">
        <f>ROUNDUP('ITEM CRAFT'!E390/7,1)</f>
        <v>44.1</v>
      </c>
      <c r="D348" s="159">
        <f>ROUNDUP('ITEM CRAFT'!E390,1)</f>
        <v>308.39999999999998</v>
      </c>
      <c r="E348" s="158"/>
      <c r="F348" s="168" t="s">
        <v>157</v>
      </c>
      <c r="J348" s="147">
        <f t="shared" si="17"/>
        <v>44.1</v>
      </c>
      <c r="K348" s="150">
        <f t="shared" si="16"/>
        <v>1</v>
      </c>
    </row>
    <row r="349" spans="1:11" s="147" customFormat="1" ht="14.25" customHeight="1" x14ac:dyDescent="0.25">
      <c r="A349" s="153" t="s">
        <v>647</v>
      </c>
      <c r="B349" s="154" t="s">
        <v>641</v>
      </c>
      <c r="C349" s="158">
        <f>ROUNDUP('ITEM CRAFT'!E391/7,1)</f>
        <v>44.1</v>
      </c>
      <c r="D349" s="159">
        <f>ROUNDUP('ITEM CRAFT'!E391,1)</f>
        <v>308.39999999999998</v>
      </c>
      <c r="E349" s="158"/>
      <c r="F349" s="168" t="s">
        <v>157</v>
      </c>
      <c r="J349" s="147">
        <f t="shared" si="17"/>
        <v>44.1</v>
      </c>
      <c r="K349" s="150">
        <f t="shared" si="16"/>
        <v>1</v>
      </c>
    </row>
    <row r="350" spans="1:11" s="217" customFormat="1" ht="14.25" customHeight="1" x14ac:dyDescent="0.25">
      <c r="A350" s="214" t="s">
        <v>650</v>
      </c>
      <c r="B350" s="215" t="s">
        <v>649</v>
      </c>
      <c r="C350" s="213">
        <f>ROUNDUP('ITEM CRAFT'!E393/7,1)</f>
        <v>1.3</v>
      </c>
      <c r="D350" s="65">
        <f>ROUNDUP('ITEM CRAFT'!E393,1)</f>
        <v>9</v>
      </c>
      <c r="E350" s="213" t="s">
        <v>151</v>
      </c>
      <c r="F350" s="216" t="s">
        <v>156</v>
      </c>
      <c r="J350" s="217">
        <f t="shared" si="17"/>
        <v>1.3</v>
      </c>
      <c r="K350" s="58">
        <f t="shared" si="16"/>
        <v>1</v>
      </c>
    </row>
    <row r="351" spans="1:11" s="217" customFormat="1" ht="14.25" customHeight="1" x14ac:dyDescent="0.25">
      <c r="A351" s="214" t="s">
        <v>654</v>
      </c>
      <c r="B351" s="215" t="s">
        <v>653</v>
      </c>
      <c r="C351" s="213">
        <f>ROUNDUP('ITEM CRAFT'!E395/7,1)</f>
        <v>1.3</v>
      </c>
      <c r="D351" s="65">
        <f>ROUNDUP('ITEM CRAFT'!E395,1)</f>
        <v>9</v>
      </c>
      <c r="E351" s="213" t="s">
        <v>151</v>
      </c>
      <c r="F351" s="216" t="s">
        <v>153</v>
      </c>
      <c r="J351" s="217">
        <f t="shared" si="17"/>
        <v>1.3</v>
      </c>
      <c r="K351" s="58">
        <f t="shared" si="16"/>
        <v>1</v>
      </c>
    </row>
    <row r="352" spans="1:11" s="217" customFormat="1" ht="14.25" customHeight="1" x14ac:dyDescent="0.25">
      <c r="A352" s="214" t="s">
        <v>658</v>
      </c>
      <c r="B352" s="215" t="s">
        <v>657</v>
      </c>
      <c r="C352" s="213">
        <f>ROUNDUP('ITEM CRAFT'!E397/7,1)</f>
        <v>3.1</v>
      </c>
      <c r="D352" s="65">
        <f>ROUNDUP('ITEM CRAFT'!E397,1)</f>
        <v>21.6</v>
      </c>
      <c r="E352" s="213" t="s">
        <v>151</v>
      </c>
      <c r="F352" s="216" t="s">
        <v>156</v>
      </c>
      <c r="J352" s="217">
        <f t="shared" si="17"/>
        <v>3.1</v>
      </c>
      <c r="K352" s="58">
        <f t="shared" si="16"/>
        <v>1</v>
      </c>
    </row>
    <row r="353" spans="1:11" s="217" customFormat="1" ht="14.25" customHeight="1" x14ac:dyDescent="0.25">
      <c r="A353" s="214" t="s">
        <v>660</v>
      </c>
      <c r="B353" s="215" t="s">
        <v>659</v>
      </c>
      <c r="C353" s="213">
        <f>ROUNDUP('ITEM CRAFT'!E398/7,1)</f>
        <v>3.1</v>
      </c>
      <c r="D353" s="65">
        <f>ROUNDUP('ITEM CRAFT'!E398,1)</f>
        <v>21.6</v>
      </c>
      <c r="E353" s="213" t="s">
        <v>151</v>
      </c>
      <c r="F353" s="216" t="s">
        <v>156</v>
      </c>
      <c r="J353" s="217">
        <f t="shared" si="17"/>
        <v>3.1</v>
      </c>
      <c r="K353" s="58">
        <f t="shared" si="16"/>
        <v>1</v>
      </c>
    </row>
    <row r="354" spans="1:11" s="217" customFormat="1" ht="14.25" customHeight="1" x14ac:dyDescent="0.25">
      <c r="A354" s="214" t="s">
        <v>662</v>
      </c>
      <c r="B354" s="215" t="s">
        <v>661</v>
      </c>
      <c r="C354" s="213">
        <f>ROUNDUP('ITEM CRAFT'!E399/7,1)</f>
        <v>5.3</v>
      </c>
      <c r="D354" s="65">
        <f>ROUNDUP('ITEM CRAFT'!E399,1)</f>
        <v>36.800000000000004</v>
      </c>
      <c r="E354" s="213" t="s">
        <v>151</v>
      </c>
      <c r="F354" s="216" t="s">
        <v>156</v>
      </c>
      <c r="J354" s="217">
        <f t="shared" si="17"/>
        <v>5.3</v>
      </c>
      <c r="K354" s="58">
        <f t="shared" si="16"/>
        <v>1</v>
      </c>
    </row>
    <row r="355" spans="1:11" s="217" customFormat="1" ht="14.25" customHeight="1" x14ac:dyDescent="0.25">
      <c r="A355" s="214" t="s">
        <v>664</v>
      </c>
      <c r="B355" s="215" t="s">
        <v>663</v>
      </c>
      <c r="C355" s="213">
        <f>ROUNDUP('ITEM CRAFT'!E400/7,1)</f>
        <v>3.1</v>
      </c>
      <c r="D355" s="65">
        <f>ROUNDUP('ITEM CRAFT'!E400,1)</f>
        <v>21.6</v>
      </c>
      <c r="E355" s="213" t="s">
        <v>151</v>
      </c>
      <c r="F355" s="216" t="s">
        <v>156</v>
      </c>
      <c r="J355" s="217">
        <f t="shared" si="17"/>
        <v>3.1</v>
      </c>
      <c r="K355" s="58">
        <f t="shared" si="16"/>
        <v>1</v>
      </c>
    </row>
    <row r="356" spans="1:11" s="217" customFormat="1" ht="14.25" customHeight="1" x14ac:dyDescent="0.25">
      <c r="A356" s="214" t="s">
        <v>666</v>
      </c>
      <c r="B356" s="215" t="s">
        <v>665</v>
      </c>
      <c r="C356" s="213">
        <f>ROUNDUP('ITEM CRAFT'!E401/7,1)</f>
        <v>3.1</v>
      </c>
      <c r="D356" s="65">
        <f>ROUNDUP('ITEM CRAFT'!E401,1)</f>
        <v>21.6</v>
      </c>
      <c r="E356" s="213" t="s">
        <v>151</v>
      </c>
      <c r="F356" s="216" t="s">
        <v>156</v>
      </c>
      <c r="J356" s="217">
        <f t="shared" si="17"/>
        <v>3.1</v>
      </c>
      <c r="K356" s="58">
        <f t="shared" si="16"/>
        <v>1</v>
      </c>
    </row>
    <row r="357" spans="1:11" s="217" customFormat="1" ht="14.25" customHeight="1" x14ac:dyDescent="0.25">
      <c r="A357" s="214" t="s">
        <v>668</v>
      </c>
      <c r="B357" s="215" t="s">
        <v>667</v>
      </c>
      <c r="C357" s="213">
        <f>ROUNDUP('ITEM CRAFT'!E402/7,1)</f>
        <v>4.6999999999999993</v>
      </c>
      <c r="D357" s="65">
        <f>ROUNDUP('ITEM CRAFT'!E402,1)</f>
        <v>32.4</v>
      </c>
      <c r="E357" s="213" t="s">
        <v>151</v>
      </c>
      <c r="F357" s="216" t="s">
        <v>156</v>
      </c>
      <c r="J357" s="217">
        <f t="shared" si="17"/>
        <v>4.7</v>
      </c>
      <c r="K357" s="58">
        <f t="shared" si="16"/>
        <v>1</v>
      </c>
    </row>
    <row r="358" spans="1:11" s="217" customFormat="1" ht="14.25" customHeight="1" x14ac:dyDescent="0.25">
      <c r="A358" s="214" t="s">
        <v>670</v>
      </c>
      <c r="B358" s="215" t="s">
        <v>669</v>
      </c>
      <c r="C358" s="213">
        <f>ROUNDUP('ITEM CRAFT'!E403/7,1)</f>
        <v>1.3</v>
      </c>
      <c r="D358" s="65">
        <f>ROUNDUP('ITEM CRAFT'!E403,1)</f>
        <v>9</v>
      </c>
      <c r="E358" s="213" t="s">
        <v>151</v>
      </c>
      <c r="F358" s="216" t="s">
        <v>156</v>
      </c>
      <c r="J358" s="217">
        <f t="shared" si="17"/>
        <v>1.3</v>
      </c>
      <c r="K358" s="58">
        <f t="shared" si="16"/>
        <v>1</v>
      </c>
    </row>
    <row r="359" spans="1:11" s="217" customFormat="1" ht="14.25" customHeight="1" x14ac:dyDescent="0.25">
      <c r="A359" s="214" t="s">
        <v>672</v>
      </c>
      <c r="B359" s="215" t="s">
        <v>671</v>
      </c>
      <c r="C359" s="213">
        <f>ROUNDUP('ITEM CRAFT'!E404/7,1)</f>
        <v>3.1</v>
      </c>
      <c r="D359" s="65">
        <f>ROUNDUP('ITEM CRAFT'!E404,1)</f>
        <v>21.6</v>
      </c>
      <c r="E359" s="213" t="s">
        <v>151</v>
      </c>
      <c r="F359" s="216" t="s">
        <v>156</v>
      </c>
      <c r="J359" s="217">
        <f t="shared" si="17"/>
        <v>3.1</v>
      </c>
      <c r="K359" s="58">
        <f t="shared" si="16"/>
        <v>1</v>
      </c>
    </row>
    <row r="360" spans="1:11" s="217" customFormat="1" ht="14.25" customHeight="1" x14ac:dyDescent="0.25">
      <c r="A360" s="214" t="s">
        <v>674</v>
      </c>
      <c r="B360" s="215" t="s">
        <v>673</v>
      </c>
      <c r="C360" s="213">
        <f>ROUNDUP('ITEM CRAFT'!E405/7,1)</f>
        <v>7.5</v>
      </c>
      <c r="D360" s="65">
        <f>ROUNDUP('ITEM CRAFT'!E405,1)</f>
        <v>51.9</v>
      </c>
      <c r="E360" s="213" t="s">
        <v>151</v>
      </c>
      <c r="F360" s="216" t="s">
        <v>156</v>
      </c>
      <c r="J360" s="217">
        <f t="shared" si="17"/>
        <v>7.5</v>
      </c>
      <c r="K360" s="58">
        <f t="shared" si="16"/>
        <v>1</v>
      </c>
    </row>
    <row r="361" spans="1:11" s="217" customFormat="1" ht="14.25" customHeight="1" x14ac:dyDescent="0.25">
      <c r="A361" s="214" t="s">
        <v>676</v>
      </c>
      <c r="B361" s="215" t="s">
        <v>675</v>
      </c>
      <c r="C361" s="213">
        <f>ROUNDUP('ITEM CRAFT'!E406/7,1)</f>
        <v>3.1</v>
      </c>
      <c r="D361" s="65">
        <f>ROUNDUP('ITEM CRAFT'!E406,1)</f>
        <v>21.6</v>
      </c>
      <c r="E361" s="213" t="s">
        <v>151</v>
      </c>
      <c r="F361" s="216" t="s">
        <v>156</v>
      </c>
      <c r="J361" s="217">
        <f t="shared" si="17"/>
        <v>3.1</v>
      </c>
      <c r="K361" s="58">
        <f t="shared" si="16"/>
        <v>1</v>
      </c>
    </row>
    <row r="362" spans="1:11" s="217" customFormat="1" ht="14.25" customHeight="1" x14ac:dyDescent="0.25">
      <c r="A362" s="214" t="s">
        <v>678</v>
      </c>
      <c r="B362" s="215" t="s">
        <v>677</v>
      </c>
      <c r="C362" s="213">
        <f>ROUNDUP('ITEM CRAFT'!E407/7,1)</f>
        <v>1.3</v>
      </c>
      <c r="D362" s="65">
        <f>ROUNDUP('ITEM CRAFT'!E407,1)</f>
        <v>9</v>
      </c>
      <c r="E362" s="213" t="s">
        <v>151</v>
      </c>
      <c r="F362" s="216" t="s">
        <v>156</v>
      </c>
      <c r="J362" s="217">
        <f t="shared" si="17"/>
        <v>1.3</v>
      </c>
      <c r="K362" s="58">
        <f t="shared" si="16"/>
        <v>1</v>
      </c>
    </row>
    <row r="363" spans="1:11" s="235" customFormat="1" ht="14.25" customHeight="1" x14ac:dyDescent="0.25">
      <c r="A363" s="232">
        <v>350</v>
      </c>
      <c r="B363" s="233" t="s">
        <v>643</v>
      </c>
      <c r="C363" s="230">
        <f>ROUNDUP('ITEM CRAFT'!E388/7,1)</f>
        <v>44.1</v>
      </c>
      <c r="D363" s="231">
        <f>ROUNDUP('ITEM CRAFT'!E388,1)</f>
        <v>308.39999999999998</v>
      </c>
      <c r="E363" s="230" t="s">
        <v>160</v>
      </c>
      <c r="F363" s="234" t="s">
        <v>157</v>
      </c>
      <c r="G363" s="235" t="s">
        <v>158</v>
      </c>
      <c r="J363" s="235">
        <f t="shared" ref="J363" si="20">ROUNDUP(C363/K363,1)</f>
        <v>22.1</v>
      </c>
      <c r="K363" s="236">
        <f t="shared" ref="K363" si="21">COUNTIF(F363:I363,"*")</f>
        <v>2</v>
      </c>
    </row>
    <row r="364" spans="1:11" s="235" customFormat="1" ht="14.25" customHeight="1" x14ac:dyDescent="0.25">
      <c r="A364" s="232" t="s">
        <v>645</v>
      </c>
      <c r="B364" s="233" t="s">
        <v>644</v>
      </c>
      <c r="C364" s="230">
        <f>ROUNDUP('ITEM CRAFT'!E389/7,1)</f>
        <v>44.1</v>
      </c>
      <c r="D364" s="231">
        <f>ROUNDUP('ITEM CRAFT'!E389,1)</f>
        <v>308.39999999999998</v>
      </c>
      <c r="E364" s="230" t="s">
        <v>160</v>
      </c>
      <c r="F364" s="234" t="s">
        <v>157</v>
      </c>
      <c r="G364" s="235" t="s">
        <v>158</v>
      </c>
      <c r="J364" s="235">
        <f t="shared" ref="J364:J366" si="22">ROUNDUP(C364/K364,1)</f>
        <v>22.1</v>
      </c>
      <c r="K364" s="236">
        <f t="shared" ref="K364:K366" si="23">COUNTIF(F364:I364,"*")</f>
        <v>2</v>
      </c>
    </row>
    <row r="365" spans="1:11" s="235" customFormat="1" ht="14.25" customHeight="1" x14ac:dyDescent="0.25">
      <c r="A365" s="237" t="s">
        <v>646</v>
      </c>
      <c r="B365" s="238" t="s">
        <v>639</v>
      </c>
      <c r="C365" s="230">
        <f>ROUNDUP('ITEM CRAFT'!E390/7,1)</f>
        <v>44.1</v>
      </c>
      <c r="D365" s="231">
        <f>ROUNDUP('ITEM CRAFT'!E390,1)</f>
        <v>308.39999999999998</v>
      </c>
      <c r="E365" s="230" t="s">
        <v>160</v>
      </c>
      <c r="F365" s="234" t="s">
        <v>157</v>
      </c>
      <c r="G365" s="235" t="s">
        <v>158</v>
      </c>
      <c r="J365" s="235">
        <f t="shared" si="22"/>
        <v>22.1</v>
      </c>
      <c r="K365" s="236">
        <f t="shared" si="23"/>
        <v>2</v>
      </c>
    </row>
    <row r="366" spans="1:11" s="235" customFormat="1" ht="14.25" customHeight="1" x14ac:dyDescent="0.25">
      <c r="A366" s="237" t="s">
        <v>647</v>
      </c>
      <c r="B366" s="238" t="s">
        <v>641</v>
      </c>
      <c r="C366" s="230">
        <f>ROUNDUP('ITEM CRAFT'!E391/7,1)</f>
        <v>44.1</v>
      </c>
      <c r="D366" s="231">
        <f>ROUNDUP('ITEM CRAFT'!E391,1)</f>
        <v>308.39999999999998</v>
      </c>
      <c r="E366" s="230" t="s">
        <v>160</v>
      </c>
      <c r="F366" s="234" t="s">
        <v>157</v>
      </c>
      <c r="G366" s="235" t="s">
        <v>158</v>
      </c>
      <c r="J366" s="235">
        <f t="shared" si="22"/>
        <v>22.1</v>
      </c>
      <c r="K366" s="236">
        <f t="shared" si="23"/>
        <v>2</v>
      </c>
    </row>
    <row r="367" spans="1:11" s="217" customFormat="1" ht="14.25" customHeight="1" x14ac:dyDescent="0.25">
      <c r="A367" s="214">
        <v>353</v>
      </c>
      <c r="B367" s="215" t="s">
        <v>680</v>
      </c>
      <c r="C367" s="213">
        <f>ROUNDUP('ITEM CRAFT'!E409/7,1)</f>
        <v>73.399999999999991</v>
      </c>
      <c r="D367" s="65">
        <f>ROUNDUP('ITEM CRAFT'!E409,1)</f>
        <v>513.6</v>
      </c>
      <c r="E367" s="213" t="s">
        <v>151</v>
      </c>
      <c r="F367" s="216" t="s">
        <v>156</v>
      </c>
      <c r="J367" s="217">
        <f t="shared" si="17"/>
        <v>73.400000000000006</v>
      </c>
      <c r="K367" s="58">
        <f t="shared" si="16"/>
        <v>1</v>
      </c>
    </row>
    <row r="368" spans="1:11" s="217" customFormat="1" ht="14.25" customHeight="1" x14ac:dyDescent="0.25">
      <c r="A368" s="214">
        <v>354</v>
      </c>
      <c r="B368" s="215" t="s">
        <v>681</v>
      </c>
      <c r="C368" s="213">
        <f>ROUNDUP('ITEM CRAFT'!E410/7,1)</f>
        <v>489.1</v>
      </c>
      <c r="D368" s="65">
        <f>ROUNDUP('ITEM CRAFT'!E410,1)</f>
        <v>3423.5</v>
      </c>
      <c r="E368" s="213" t="s">
        <v>151</v>
      </c>
      <c r="F368" s="216" t="s">
        <v>156</v>
      </c>
      <c r="G368" s="217" t="s">
        <v>154</v>
      </c>
      <c r="J368" s="217">
        <f t="shared" si="17"/>
        <v>244.6</v>
      </c>
      <c r="K368" s="58">
        <f t="shared" si="16"/>
        <v>2</v>
      </c>
    </row>
    <row r="369" spans="1:11" s="235" customFormat="1" ht="14.25" customHeight="1" x14ac:dyDescent="0.25">
      <c r="A369" s="232">
        <v>355</v>
      </c>
      <c r="B369" s="233" t="s">
        <v>682</v>
      </c>
      <c r="C369" s="230">
        <f>ROUNDUP('ITEM CRAFT'!E411/7,1)</f>
        <v>11.799999999999999</v>
      </c>
      <c r="D369" s="231">
        <f>ROUNDUP('ITEM CRAFT'!E411,1)</f>
        <v>82.1</v>
      </c>
      <c r="E369" s="230" t="s">
        <v>160</v>
      </c>
      <c r="F369" s="234" t="s">
        <v>156</v>
      </c>
      <c r="G369" s="235" t="s">
        <v>154</v>
      </c>
      <c r="J369" s="235">
        <f t="shared" si="17"/>
        <v>5.9</v>
      </c>
      <c r="K369" s="236">
        <f t="shared" si="16"/>
        <v>2</v>
      </c>
    </row>
    <row r="370" spans="1:11" s="235" customFormat="1" ht="14.25" customHeight="1" x14ac:dyDescent="0.25">
      <c r="A370" s="232" t="s">
        <v>1049</v>
      </c>
      <c r="B370" s="233" t="s">
        <v>1065</v>
      </c>
      <c r="C370" s="230">
        <f>ROUNDUP('ITEM CRAFT'!E412/7,1)</f>
        <v>27.3</v>
      </c>
      <c r="D370" s="231">
        <f>ROUNDUP('ITEM CRAFT'!E412,1)</f>
        <v>191</v>
      </c>
      <c r="E370" s="230" t="s">
        <v>160</v>
      </c>
      <c r="F370" s="234" t="s">
        <v>156</v>
      </c>
      <c r="G370" s="235" t="s">
        <v>154</v>
      </c>
      <c r="J370" s="235">
        <f t="shared" ref="J370:J384" si="24">ROUNDUP(C370/K370,1)</f>
        <v>13.7</v>
      </c>
      <c r="K370" s="236">
        <f t="shared" ref="K370:K384" si="25">COUNTIF(F370:I370,"*")</f>
        <v>2</v>
      </c>
    </row>
    <row r="371" spans="1:11" s="235" customFormat="1" ht="14.25" customHeight="1" x14ac:dyDescent="0.25">
      <c r="A371" s="232" t="s">
        <v>1050</v>
      </c>
      <c r="B371" s="233" t="s">
        <v>1066</v>
      </c>
      <c r="C371" s="230">
        <f>ROUNDUP('ITEM CRAFT'!E413/7,1)</f>
        <v>46</v>
      </c>
      <c r="D371" s="231">
        <f>ROUNDUP('ITEM CRAFT'!E413,1)</f>
        <v>321.60000000000002</v>
      </c>
      <c r="E371" s="230" t="s">
        <v>160</v>
      </c>
      <c r="F371" s="234" t="s">
        <v>156</v>
      </c>
      <c r="G371" s="235" t="s">
        <v>154</v>
      </c>
      <c r="J371" s="235">
        <f t="shared" si="24"/>
        <v>23</v>
      </c>
      <c r="K371" s="236">
        <f t="shared" si="25"/>
        <v>2</v>
      </c>
    </row>
    <row r="372" spans="1:11" s="235" customFormat="1" ht="14.25" customHeight="1" x14ac:dyDescent="0.25">
      <c r="A372" s="232" t="s">
        <v>1051</v>
      </c>
      <c r="B372" s="233" t="s">
        <v>1067</v>
      </c>
      <c r="C372" s="230">
        <f>ROUNDUP('ITEM CRAFT'!E414/7,1)</f>
        <v>27.3</v>
      </c>
      <c r="D372" s="231">
        <f>ROUNDUP('ITEM CRAFT'!E414,1)</f>
        <v>191</v>
      </c>
      <c r="E372" s="230" t="s">
        <v>160</v>
      </c>
      <c r="F372" s="234" t="s">
        <v>156</v>
      </c>
      <c r="G372" s="235" t="s">
        <v>154</v>
      </c>
      <c r="J372" s="235">
        <f t="shared" si="24"/>
        <v>13.7</v>
      </c>
      <c r="K372" s="236">
        <f t="shared" si="25"/>
        <v>2</v>
      </c>
    </row>
    <row r="373" spans="1:11" s="235" customFormat="1" ht="14.25" customHeight="1" x14ac:dyDescent="0.25">
      <c r="A373" s="232" t="s">
        <v>1052</v>
      </c>
      <c r="B373" s="233" t="s">
        <v>1068</v>
      </c>
      <c r="C373" s="230">
        <f>ROUNDUP('ITEM CRAFT'!E415/7,1)</f>
        <v>19.600000000000001</v>
      </c>
      <c r="D373" s="231">
        <f>ROUNDUP('ITEM CRAFT'!E415,1)</f>
        <v>136.6</v>
      </c>
      <c r="E373" s="230" t="s">
        <v>160</v>
      </c>
      <c r="F373" s="234" t="s">
        <v>156</v>
      </c>
      <c r="G373" s="235" t="s">
        <v>154</v>
      </c>
      <c r="J373" s="235">
        <f t="shared" si="24"/>
        <v>9.8000000000000007</v>
      </c>
      <c r="K373" s="236">
        <f t="shared" si="25"/>
        <v>2</v>
      </c>
    </row>
    <row r="374" spans="1:11" s="235" customFormat="1" ht="14.25" customHeight="1" x14ac:dyDescent="0.25">
      <c r="A374" s="232" t="s">
        <v>1053</v>
      </c>
      <c r="B374" s="233" t="s">
        <v>1069</v>
      </c>
      <c r="C374" s="230">
        <f>ROUNDUP('ITEM CRAFT'!E416/7,1)</f>
        <v>34</v>
      </c>
      <c r="D374" s="231">
        <f>ROUNDUP('ITEM CRAFT'!E416,1)</f>
        <v>237.6</v>
      </c>
      <c r="E374" s="230" t="s">
        <v>160</v>
      </c>
      <c r="F374" s="234" t="s">
        <v>156</v>
      </c>
      <c r="G374" s="235" t="s">
        <v>154</v>
      </c>
      <c r="J374" s="235">
        <f t="shared" si="24"/>
        <v>17</v>
      </c>
      <c r="K374" s="236">
        <f t="shared" si="25"/>
        <v>2</v>
      </c>
    </row>
    <row r="375" spans="1:11" s="235" customFormat="1" ht="14.25" customHeight="1" x14ac:dyDescent="0.25">
      <c r="A375" s="232" t="s">
        <v>1054</v>
      </c>
      <c r="B375" s="233" t="s">
        <v>1070</v>
      </c>
      <c r="C375" s="230">
        <f>ROUNDUP('ITEM CRAFT'!E417/7,1)</f>
        <v>27.3</v>
      </c>
      <c r="D375" s="231">
        <f>ROUNDUP('ITEM CRAFT'!E417,1)</f>
        <v>191</v>
      </c>
      <c r="E375" s="230" t="s">
        <v>160</v>
      </c>
      <c r="F375" s="234" t="s">
        <v>156</v>
      </c>
      <c r="G375" s="235" t="s">
        <v>154</v>
      </c>
      <c r="J375" s="235">
        <f t="shared" si="24"/>
        <v>13.7</v>
      </c>
      <c r="K375" s="236">
        <f t="shared" si="25"/>
        <v>2</v>
      </c>
    </row>
    <row r="376" spans="1:11" s="235" customFormat="1" ht="14.25" customHeight="1" x14ac:dyDescent="0.25">
      <c r="A376" s="232" t="s">
        <v>1055</v>
      </c>
      <c r="B376" s="233" t="s">
        <v>1071</v>
      </c>
      <c r="C376" s="230">
        <f>ROUNDUP('ITEM CRAFT'!E418/7,1)</f>
        <v>27.3</v>
      </c>
      <c r="D376" s="231">
        <f>ROUNDUP('ITEM CRAFT'!E418,1)</f>
        <v>191</v>
      </c>
      <c r="E376" s="230" t="s">
        <v>160</v>
      </c>
      <c r="F376" s="234" t="s">
        <v>156</v>
      </c>
      <c r="G376" s="235" t="s">
        <v>154</v>
      </c>
      <c r="J376" s="235">
        <f t="shared" si="24"/>
        <v>13.7</v>
      </c>
      <c r="K376" s="236">
        <f t="shared" si="25"/>
        <v>2</v>
      </c>
    </row>
    <row r="377" spans="1:11" s="235" customFormat="1" ht="14.25" customHeight="1" x14ac:dyDescent="0.25">
      <c r="A377" s="232" t="s">
        <v>1056</v>
      </c>
      <c r="B377" s="233" t="s">
        <v>1072</v>
      </c>
      <c r="C377" s="230">
        <f>ROUNDUP('ITEM CRAFT'!E419/7,1)</f>
        <v>36.700000000000003</v>
      </c>
      <c r="D377" s="231">
        <f>ROUNDUP('ITEM CRAFT'!E419,1)</f>
        <v>256.3</v>
      </c>
      <c r="E377" s="230" t="s">
        <v>160</v>
      </c>
      <c r="F377" s="234" t="s">
        <v>156</v>
      </c>
      <c r="G377" s="235" t="s">
        <v>154</v>
      </c>
      <c r="J377" s="235">
        <f t="shared" si="24"/>
        <v>18.400000000000002</v>
      </c>
      <c r="K377" s="236">
        <f t="shared" si="25"/>
        <v>2</v>
      </c>
    </row>
    <row r="378" spans="1:11" s="235" customFormat="1" ht="14.25" customHeight="1" x14ac:dyDescent="0.25">
      <c r="A378" s="232" t="s">
        <v>1057</v>
      </c>
      <c r="B378" s="233" t="s">
        <v>1073</v>
      </c>
      <c r="C378" s="230">
        <f>ROUNDUP('ITEM CRAFT'!E420/7,1)</f>
        <v>27.3</v>
      </c>
      <c r="D378" s="231">
        <f>ROUNDUP('ITEM CRAFT'!E420,1)</f>
        <v>191</v>
      </c>
      <c r="E378" s="230" t="s">
        <v>160</v>
      </c>
      <c r="F378" s="234" t="s">
        <v>156</v>
      </c>
      <c r="G378" s="235" t="s">
        <v>154</v>
      </c>
      <c r="J378" s="235">
        <f t="shared" si="24"/>
        <v>13.7</v>
      </c>
      <c r="K378" s="236">
        <f t="shared" si="25"/>
        <v>2</v>
      </c>
    </row>
    <row r="379" spans="1:11" s="235" customFormat="1" ht="14.25" customHeight="1" x14ac:dyDescent="0.25">
      <c r="A379" s="232" t="s">
        <v>1058</v>
      </c>
      <c r="B379" s="233" t="s">
        <v>1074</v>
      </c>
      <c r="C379" s="230">
        <f>ROUNDUP('ITEM CRAFT'!E421/7,1)</f>
        <v>27.3</v>
      </c>
      <c r="D379" s="231">
        <f>ROUNDUP('ITEM CRAFT'!E421,1)</f>
        <v>191</v>
      </c>
      <c r="E379" s="230" t="s">
        <v>160</v>
      </c>
      <c r="F379" s="234" t="s">
        <v>156</v>
      </c>
      <c r="G379" s="235" t="s">
        <v>154</v>
      </c>
      <c r="J379" s="235">
        <f t="shared" si="24"/>
        <v>13.7</v>
      </c>
      <c r="K379" s="236">
        <f t="shared" si="25"/>
        <v>2</v>
      </c>
    </row>
    <row r="380" spans="1:11" s="235" customFormat="1" ht="14.25" customHeight="1" x14ac:dyDescent="0.25">
      <c r="A380" s="232" t="s">
        <v>1059</v>
      </c>
      <c r="B380" s="233" t="s">
        <v>1075</v>
      </c>
      <c r="C380" s="230">
        <f>ROUNDUP('ITEM CRAFT'!E422/7,1)</f>
        <v>19.600000000000001</v>
      </c>
      <c r="D380" s="231">
        <f>ROUNDUP('ITEM CRAFT'!E422,1)</f>
        <v>136.6</v>
      </c>
      <c r="E380" s="230" t="s">
        <v>160</v>
      </c>
      <c r="F380" s="234" t="s">
        <v>156</v>
      </c>
      <c r="G380" s="235" t="s">
        <v>154</v>
      </c>
      <c r="J380" s="235">
        <f t="shared" si="24"/>
        <v>9.8000000000000007</v>
      </c>
      <c r="K380" s="236">
        <f t="shared" si="25"/>
        <v>2</v>
      </c>
    </row>
    <row r="381" spans="1:11" s="235" customFormat="1" ht="14.25" customHeight="1" x14ac:dyDescent="0.25">
      <c r="A381" s="232" t="s">
        <v>1060</v>
      </c>
      <c r="B381" s="233" t="s">
        <v>1076</v>
      </c>
      <c r="C381" s="230">
        <f>ROUNDUP('ITEM CRAFT'!E423/7,1)</f>
        <v>19.600000000000001</v>
      </c>
      <c r="D381" s="231">
        <f>ROUNDUP('ITEM CRAFT'!E423,1)</f>
        <v>136.6</v>
      </c>
      <c r="E381" s="230" t="s">
        <v>160</v>
      </c>
      <c r="F381" s="234" t="s">
        <v>156</v>
      </c>
      <c r="G381" s="235" t="s">
        <v>154</v>
      </c>
      <c r="J381" s="235">
        <f t="shared" si="24"/>
        <v>9.8000000000000007</v>
      </c>
      <c r="K381" s="236">
        <f t="shared" si="25"/>
        <v>2</v>
      </c>
    </row>
    <row r="382" spans="1:11" s="235" customFormat="1" ht="14.25" customHeight="1" x14ac:dyDescent="0.25">
      <c r="A382" s="232" t="s">
        <v>1061</v>
      </c>
      <c r="B382" s="233" t="s">
        <v>1077</v>
      </c>
      <c r="C382" s="230">
        <f>ROUNDUP('ITEM CRAFT'!E424/7,1)</f>
        <v>19.600000000000001</v>
      </c>
      <c r="D382" s="231">
        <f>ROUNDUP('ITEM CRAFT'!E424,1)</f>
        <v>136.6</v>
      </c>
      <c r="E382" s="230" t="s">
        <v>160</v>
      </c>
      <c r="F382" s="234" t="s">
        <v>156</v>
      </c>
      <c r="G382" s="235" t="s">
        <v>154</v>
      </c>
      <c r="J382" s="235">
        <f t="shared" si="24"/>
        <v>9.8000000000000007</v>
      </c>
      <c r="K382" s="236">
        <f t="shared" si="25"/>
        <v>2</v>
      </c>
    </row>
    <row r="383" spans="1:11" s="235" customFormat="1" ht="14.25" customHeight="1" x14ac:dyDescent="0.25">
      <c r="A383" s="232" t="s">
        <v>1062</v>
      </c>
      <c r="B383" s="233" t="s">
        <v>1078</v>
      </c>
      <c r="C383" s="230">
        <f>ROUNDUP('ITEM CRAFT'!E425/7,1)</f>
        <v>19.600000000000001</v>
      </c>
      <c r="D383" s="231">
        <f>ROUNDUP('ITEM CRAFT'!E425,1)</f>
        <v>136.6</v>
      </c>
      <c r="E383" s="230" t="s">
        <v>160</v>
      </c>
      <c r="F383" s="234" t="s">
        <v>156</v>
      </c>
      <c r="G383" s="235" t="s">
        <v>154</v>
      </c>
      <c r="J383" s="235">
        <f t="shared" si="24"/>
        <v>9.8000000000000007</v>
      </c>
      <c r="K383" s="236">
        <f t="shared" si="25"/>
        <v>2</v>
      </c>
    </row>
    <row r="384" spans="1:11" s="235" customFormat="1" ht="14.25" customHeight="1" x14ac:dyDescent="0.25">
      <c r="A384" s="232" t="s">
        <v>1063</v>
      </c>
      <c r="B384" s="233" t="s">
        <v>1079</v>
      </c>
      <c r="C384" s="230">
        <f>ROUNDUP('ITEM CRAFT'!E426/7,1)</f>
        <v>19.600000000000001</v>
      </c>
      <c r="D384" s="231">
        <f>ROUNDUP('ITEM CRAFT'!E426,1)</f>
        <v>136.6</v>
      </c>
      <c r="E384" s="230" t="s">
        <v>160</v>
      </c>
      <c r="F384" s="234" t="s">
        <v>156</v>
      </c>
      <c r="G384" s="235" t="s">
        <v>154</v>
      </c>
      <c r="J384" s="235">
        <f t="shared" si="24"/>
        <v>9.8000000000000007</v>
      </c>
      <c r="K384" s="236">
        <f t="shared" si="25"/>
        <v>2</v>
      </c>
    </row>
    <row r="385" spans="1:11" s="197" customFormat="1" ht="14.25" customHeight="1" x14ac:dyDescent="0.25">
      <c r="A385" s="195">
        <v>356</v>
      </c>
      <c r="B385" s="196" t="s">
        <v>683</v>
      </c>
      <c r="C385" s="194">
        <f>ROUNDUP('ITEM CRAFT'!E427/7,1)</f>
        <v>7.6</v>
      </c>
      <c r="D385" s="59">
        <f>ROUNDUP('ITEM CRAFT'!E427,1)</f>
        <v>53.1</v>
      </c>
      <c r="E385" s="194" t="s">
        <v>152</v>
      </c>
      <c r="F385" s="192" t="s">
        <v>156</v>
      </c>
      <c r="J385" s="197">
        <f t="shared" si="17"/>
        <v>7.6</v>
      </c>
      <c r="K385" s="191">
        <f t="shared" si="16"/>
        <v>1</v>
      </c>
    </row>
    <row r="386" spans="1:11" s="217" customFormat="1" ht="14.25" customHeight="1" x14ac:dyDescent="0.25">
      <c r="A386" s="214">
        <v>357</v>
      </c>
      <c r="B386" s="215" t="s">
        <v>684</v>
      </c>
      <c r="C386" s="213">
        <f>ROUNDUP('ITEM CRAFT'!E428/7,1)</f>
        <v>25.900000000000002</v>
      </c>
      <c r="D386" s="65">
        <f>ROUNDUP('ITEM CRAFT'!E428,1)</f>
        <v>181.1</v>
      </c>
      <c r="E386" s="213" t="s">
        <v>151</v>
      </c>
      <c r="F386" s="216" t="s">
        <v>156</v>
      </c>
      <c r="J386" s="217">
        <f t="shared" si="17"/>
        <v>25.9</v>
      </c>
      <c r="K386" s="58">
        <f t="shared" si="16"/>
        <v>1</v>
      </c>
    </row>
    <row r="387" spans="1:11" s="205" customFormat="1" ht="14.25" customHeight="1" x14ac:dyDescent="0.25">
      <c r="A387" s="251">
        <v>358</v>
      </c>
      <c r="B387" s="252" t="s">
        <v>685</v>
      </c>
      <c r="C387" s="201">
        <f>ROUNDUP('ITEM CRAFT'!E429/7,1)</f>
        <v>0</v>
      </c>
      <c r="D387" s="63">
        <f>ROUNDUP('ITEM CRAFT'!E429,1)</f>
        <v>0</v>
      </c>
      <c r="E387" s="201" t="s">
        <v>150</v>
      </c>
      <c r="F387" s="204" t="s">
        <v>156</v>
      </c>
      <c r="J387" s="205">
        <f t="shared" si="17"/>
        <v>0</v>
      </c>
      <c r="K387" s="56">
        <f t="shared" si="16"/>
        <v>1</v>
      </c>
    </row>
    <row r="388" spans="1:11" s="235" customFormat="1" ht="14.25" customHeight="1" x14ac:dyDescent="0.25">
      <c r="A388" s="232">
        <v>359</v>
      </c>
      <c r="B388" s="233" t="s">
        <v>686</v>
      </c>
      <c r="C388" s="230">
        <f>ROUNDUP('ITEM CRAFT'!E430/7,1)</f>
        <v>274.3</v>
      </c>
      <c r="D388" s="231">
        <f>ROUNDUP('ITEM CRAFT'!E430,1)</f>
        <v>1920</v>
      </c>
      <c r="E388" s="230" t="s">
        <v>160</v>
      </c>
      <c r="F388" s="234" t="s">
        <v>156</v>
      </c>
      <c r="J388" s="235">
        <f t="shared" si="17"/>
        <v>274.3</v>
      </c>
      <c r="K388" s="236">
        <f t="shared" si="16"/>
        <v>1</v>
      </c>
    </row>
    <row r="389" spans="1:11" s="236" customFormat="1" ht="14.25" customHeight="1" x14ac:dyDescent="0.25">
      <c r="A389" s="232">
        <v>363</v>
      </c>
      <c r="B389" s="233" t="s">
        <v>688</v>
      </c>
      <c r="C389" s="230">
        <f>ROUNDUP('ITEM CRAFT'!E432/7,1)</f>
        <v>61.2</v>
      </c>
      <c r="D389" s="231">
        <f>ROUNDUP('ITEM CRAFT'!E432,1)</f>
        <v>428</v>
      </c>
      <c r="E389" s="230" t="s">
        <v>160</v>
      </c>
      <c r="F389" s="234" t="s">
        <v>157</v>
      </c>
      <c r="G389" s="235" t="s">
        <v>155</v>
      </c>
      <c r="H389" s="235"/>
      <c r="I389" s="235"/>
      <c r="J389" s="235">
        <f t="shared" si="17"/>
        <v>30.6</v>
      </c>
      <c r="K389" s="236">
        <f t="shared" si="16"/>
        <v>2</v>
      </c>
    </row>
    <row r="390" spans="1:11" s="236" customFormat="1" ht="14.25" customHeight="1" x14ac:dyDescent="0.25">
      <c r="A390" s="232">
        <v>365</v>
      </c>
      <c r="B390" s="233" t="s">
        <v>689</v>
      </c>
      <c r="C390" s="230">
        <f>ROUNDUP('ITEM CRAFT'!E434/7,1)</f>
        <v>12.299999999999999</v>
      </c>
      <c r="D390" s="231">
        <f>ROUNDUP('ITEM CRAFT'!E434,1)</f>
        <v>86</v>
      </c>
      <c r="E390" s="230" t="s">
        <v>160</v>
      </c>
      <c r="F390" s="234" t="s">
        <v>157</v>
      </c>
      <c r="G390" s="235" t="s">
        <v>155</v>
      </c>
      <c r="H390" s="235"/>
      <c r="I390" s="235"/>
      <c r="J390" s="235">
        <f t="shared" si="17"/>
        <v>6.1999999999999993</v>
      </c>
      <c r="K390" s="236">
        <f t="shared" si="16"/>
        <v>2</v>
      </c>
    </row>
    <row r="391" spans="1:11" s="217" customFormat="1" ht="14.25" customHeight="1" x14ac:dyDescent="0.25">
      <c r="A391" s="214" t="s">
        <v>698</v>
      </c>
      <c r="B391" s="215" t="s">
        <v>697</v>
      </c>
      <c r="C391" s="213">
        <f>ROUNDUP('ITEM CRAFT'!E442/7,1)</f>
        <v>8.1</v>
      </c>
      <c r="D391" s="65">
        <f>ROUNDUP('ITEM CRAFT'!E442,1)</f>
        <v>56.6</v>
      </c>
      <c r="E391" s="213" t="s">
        <v>151</v>
      </c>
      <c r="F391" s="216" t="s">
        <v>156</v>
      </c>
      <c r="J391" s="217">
        <f t="shared" si="17"/>
        <v>8.1</v>
      </c>
      <c r="K391" s="58">
        <f t="shared" ref="K391:K450" si="26">COUNTIF(F391:I391,"*")</f>
        <v>1</v>
      </c>
    </row>
    <row r="392" spans="1:11" s="217" customFormat="1" ht="14.25" customHeight="1" x14ac:dyDescent="0.25">
      <c r="A392" s="214" t="s">
        <v>700</v>
      </c>
      <c r="B392" s="215" t="s">
        <v>699</v>
      </c>
      <c r="C392" s="213">
        <f>ROUNDUP('ITEM CRAFT'!E443/7,1)</f>
        <v>3.3000000000000003</v>
      </c>
      <c r="D392" s="65">
        <f>ROUNDUP('ITEM CRAFT'!E443,1)</f>
        <v>22.8</v>
      </c>
      <c r="E392" s="213" t="s">
        <v>151</v>
      </c>
      <c r="F392" s="216" t="s">
        <v>156</v>
      </c>
      <c r="J392" s="217">
        <f t="shared" si="17"/>
        <v>3.3</v>
      </c>
      <c r="K392" s="58">
        <f t="shared" si="26"/>
        <v>1</v>
      </c>
    </row>
    <row r="393" spans="1:11" s="217" customFormat="1" ht="14.25" customHeight="1" x14ac:dyDescent="0.25">
      <c r="A393" s="214" t="s">
        <v>702</v>
      </c>
      <c r="B393" s="215" t="s">
        <v>701</v>
      </c>
      <c r="C393" s="213">
        <f>ROUNDUP('ITEM CRAFT'!E444/7,1)</f>
        <v>2.6</v>
      </c>
      <c r="D393" s="65">
        <f>ROUNDUP('ITEM CRAFT'!E444,1)</f>
        <v>18</v>
      </c>
      <c r="E393" s="213" t="s">
        <v>151</v>
      </c>
      <c r="F393" s="216" t="s">
        <v>156</v>
      </c>
      <c r="J393" s="217">
        <f t="shared" si="17"/>
        <v>2.6</v>
      </c>
      <c r="K393" s="58">
        <f t="shared" si="26"/>
        <v>1</v>
      </c>
    </row>
    <row r="394" spans="1:11" s="217" customFormat="1" ht="14.25" customHeight="1" x14ac:dyDescent="0.25">
      <c r="A394" s="214" t="s">
        <v>704</v>
      </c>
      <c r="B394" s="215" t="s">
        <v>703</v>
      </c>
      <c r="C394" s="213">
        <f>ROUNDUP('ITEM CRAFT'!E445/7,1)</f>
        <v>12.1</v>
      </c>
      <c r="D394" s="65">
        <f>ROUNDUP('ITEM CRAFT'!E445,1)</f>
        <v>84.1</v>
      </c>
      <c r="E394" s="213" t="s">
        <v>151</v>
      </c>
      <c r="F394" s="216" t="s">
        <v>156</v>
      </c>
      <c r="J394" s="217">
        <f t="shared" si="17"/>
        <v>12.1</v>
      </c>
      <c r="K394" s="58">
        <f t="shared" si="26"/>
        <v>1</v>
      </c>
    </row>
    <row r="395" spans="1:11" s="217" customFormat="1" ht="14.25" customHeight="1" x14ac:dyDescent="0.25">
      <c r="A395" s="214" t="s">
        <v>706</v>
      </c>
      <c r="B395" s="215" t="s">
        <v>705</v>
      </c>
      <c r="C395" s="213">
        <f>ROUNDUP('ITEM CRAFT'!E446/7,1)</f>
        <v>97.8</v>
      </c>
      <c r="D395" s="65">
        <f>ROUNDUP('ITEM CRAFT'!E446,1)</f>
        <v>684.2</v>
      </c>
      <c r="E395" s="213" t="s">
        <v>151</v>
      </c>
      <c r="F395" s="216" t="s">
        <v>156</v>
      </c>
      <c r="J395" s="217">
        <f t="shared" si="17"/>
        <v>97.8</v>
      </c>
      <c r="K395" s="58">
        <f t="shared" si="26"/>
        <v>1</v>
      </c>
    </row>
    <row r="396" spans="1:11" s="217" customFormat="1" ht="14.25" customHeight="1" x14ac:dyDescent="0.25">
      <c r="A396" s="214" t="s">
        <v>708</v>
      </c>
      <c r="B396" s="215" t="s">
        <v>707</v>
      </c>
      <c r="C396" s="213">
        <f>ROUNDUP('ITEM CRAFT'!E447/7,1)</f>
        <v>11.7</v>
      </c>
      <c r="D396" s="65">
        <f>ROUNDUP('ITEM CRAFT'!E447,1)</f>
        <v>81.8</v>
      </c>
      <c r="E396" s="213" t="s">
        <v>151</v>
      </c>
      <c r="F396" s="216" t="s">
        <v>156</v>
      </c>
      <c r="J396" s="217">
        <f t="shared" si="17"/>
        <v>11.7</v>
      </c>
      <c r="K396" s="58">
        <f t="shared" si="26"/>
        <v>1</v>
      </c>
    </row>
    <row r="397" spans="1:11" s="217" customFormat="1" ht="14.25" customHeight="1" x14ac:dyDescent="0.25">
      <c r="A397" s="214" t="s">
        <v>710</v>
      </c>
      <c r="B397" s="215" t="s">
        <v>709</v>
      </c>
      <c r="C397" s="213">
        <f>ROUNDUP('ITEM CRAFT'!E448/7,1)</f>
        <v>10.5</v>
      </c>
      <c r="D397" s="65">
        <f>ROUNDUP('ITEM CRAFT'!E448,1)</f>
        <v>73.3</v>
      </c>
      <c r="E397" s="213" t="s">
        <v>151</v>
      </c>
      <c r="F397" s="216" t="s">
        <v>156</v>
      </c>
      <c r="J397" s="217">
        <f t="shared" si="17"/>
        <v>10.5</v>
      </c>
      <c r="K397" s="58">
        <f t="shared" si="26"/>
        <v>1</v>
      </c>
    </row>
    <row r="398" spans="1:11" s="217" customFormat="1" ht="14.25" customHeight="1" x14ac:dyDescent="0.25">
      <c r="A398" s="214" t="s">
        <v>712</v>
      </c>
      <c r="B398" s="215" t="s">
        <v>711</v>
      </c>
      <c r="C398" s="213">
        <f>ROUNDUP('ITEM CRAFT'!E449/7,1)</f>
        <v>40.200000000000003</v>
      </c>
      <c r="D398" s="65">
        <f>ROUNDUP('ITEM CRAFT'!E449,1)</f>
        <v>281.40000000000003</v>
      </c>
      <c r="E398" s="213" t="s">
        <v>151</v>
      </c>
      <c r="F398" s="216" t="s">
        <v>156</v>
      </c>
      <c r="J398" s="217">
        <f t="shared" si="17"/>
        <v>40.200000000000003</v>
      </c>
      <c r="K398" s="58">
        <f t="shared" si="26"/>
        <v>1</v>
      </c>
    </row>
    <row r="399" spans="1:11" s="217" customFormat="1" ht="14.25" customHeight="1" x14ac:dyDescent="0.25">
      <c r="A399" s="214" t="s">
        <v>714</v>
      </c>
      <c r="B399" s="215" t="s">
        <v>713</v>
      </c>
      <c r="C399" s="213">
        <f>ROUNDUP('ITEM CRAFT'!E450/7,1)</f>
        <v>115.1</v>
      </c>
      <c r="D399" s="65">
        <f>ROUNDUP('ITEM CRAFT'!E450,1)</f>
        <v>805.2</v>
      </c>
      <c r="E399" s="213" t="s">
        <v>151</v>
      </c>
      <c r="F399" s="216" t="s">
        <v>156</v>
      </c>
      <c r="J399" s="217">
        <f t="shared" si="17"/>
        <v>115.1</v>
      </c>
      <c r="K399" s="58">
        <f t="shared" si="26"/>
        <v>1</v>
      </c>
    </row>
    <row r="400" spans="1:11" s="217" customFormat="1" ht="14.25" customHeight="1" x14ac:dyDescent="0.25">
      <c r="A400" s="214" t="s">
        <v>716</v>
      </c>
      <c r="B400" s="215" t="s">
        <v>715</v>
      </c>
      <c r="C400" s="213">
        <f>ROUNDUP('ITEM CRAFT'!E451/7,1)</f>
        <v>109.89999999999999</v>
      </c>
      <c r="D400" s="65">
        <f>ROUNDUP('ITEM CRAFT'!E451,1)</f>
        <v>768.7</v>
      </c>
      <c r="E400" s="213" t="s">
        <v>151</v>
      </c>
      <c r="F400" s="216" t="s">
        <v>156</v>
      </c>
      <c r="J400" s="217">
        <f t="shared" si="17"/>
        <v>109.9</v>
      </c>
      <c r="K400" s="58">
        <f t="shared" si="26"/>
        <v>1</v>
      </c>
    </row>
    <row r="401" spans="1:11" s="217" customFormat="1" ht="14.25" customHeight="1" x14ac:dyDescent="0.25">
      <c r="A401" s="214" t="s">
        <v>718</v>
      </c>
      <c r="B401" s="215" t="s">
        <v>717</v>
      </c>
      <c r="C401" s="213">
        <f>ROUNDUP('ITEM CRAFT'!E452/7,1)</f>
        <v>11.1</v>
      </c>
      <c r="D401" s="65">
        <f>ROUNDUP('ITEM CRAFT'!E452,1)</f>
        <v>77.599999999999994</v>
      </c>
      <c r="E401" s="213" t="s">
        <v>151</v>
      </c>
      <c r="F401" s="216" t="s">
        <v>156</v>
      </c>
      <c r="J401" s="217">
        <f t="shared" si="17"/>
        <v>11.1</v>
      </c>
      <c r="K401" s="58">
        <f t="shared" si="26"/>
        <v>1</v>
      </c>
    </row>
    <row r="402" spans="1:11" s="217" customFormat="1" ht="14.25" customHeight="1" x14ac:dyDescent="0.25">
      <c r="A402" s="214" t="s">
        <v>720</v>
      </c>
      <c r="B402" s="215" t="s">
        <v>719</v>
      </c>
      <c r="C402" s="213">
        <f>ROUNDUP('ITEM CRAFT'!E453/7,1)</f>
        <v>114.19999999999999</v>
      </c>
      <c r="D402" s="65">
        <f>ROUNDUP('ITEM CRAFT'!E453,1)</f>
        <v>799</v>
      </c>
      <c r="E402" s="213" t="s">
        <v>151</v>
      </c>
      <c r="F402" s="216" t="s">
        <v>156</v>
      </c>
      <c r="J402" s="217">
        <f t="shared" si="17"/>
        <v>114.2</v>
      </c>
      <c r="K402" s="58">
        <f t="shared" si="26"/>
        <v>1</v>
      </c>
    </row>
    <row r="403" spans="1:11" s="217" customFormat="1" ht="14.25" customHeight="1" x14ac:dyDescent="0.25">
      <c r="A403" s="214" t="s">
        <v>722</v>
      </c>
      <c r="B403" s="215" t="s">
        <v>721</v>
      </c>
      <c r="C403" s="213">
        <f>ROUNDUP('ITEM CRAFT'!E454/7,1)</f>
        <v>112.69999999999999</v>
      </c>
      <c r="D403" s="65">
        <f>ROUNDUP('ITEM CRAFT'!E454,1)</f>
        <v>788.80000000000007</v>
      </c>
      <c r="E403" s="213" t="s">
        <v>151</v>
      </c>
      <c r="F403" s="216" t="s">
        <v>156</v>
      </c>
      <c r="J403" s="217">
        <f t="shared" si="17"/>
        <v>112.7</v>
      </c>
      <c r="K403" s="58">
        <f t="shared" si="26"/>
        <v>1</v>
      </c>
    </row>
    <row r="404" spans="1:11" s="217" customFormat="1" ht="14.25" customHeight="1" x14ac:dyDescent="0.25">
      <c r="A404" s="214" t="s">
        <v>724</v>
      </c>
      <c r="B404" s="215" t="s">
        <v>723</v>
      </c>
      <c r="C404" s="213">
        <f>ROUNDUP('ITEM CRAFT'!E455/7,1)</f>
        <v>53.800000000000004</v>
      </c>
      <c r="D404" s="65">
        <f>ROUNDUP('ITEM CRAFT'!E455,1)</f>
        <v>376.3</v>
      </c>
      <c r="E404" s="213" t="s">
        <v>151</v>
      </c>
      <c r="F404" s="216" t="s">
        <v>156</v>
      </c>
      <c r="J404" s="217">
        <f t="shared" si="17"/>
        <v>53.8</v>
      </c>
      <c r="K404" s="58">
        <f t="shared" si="26"/>
        <v>1</v>
      </c>
    </row>
    <row r="405" spans="1:11" s="217" customFormat="1" ht="14.25" customHeight="1" x14ac:dyDescent="0.25">
      <c r="A405" s="214" t="s">
        <v>726</v>
      </c>
      <c r="B405" s="215" t="s">
        <v>725</v>
      </c>
      <c r="C405" s="213">
        <f>ROUNDUP('ITEM CRAFT'!E456/7,1)</f>
        <v>112.69999999999999</v>
      </c>
      <c r="D405" s="65">
        <f>ROUNDUP('ITEM CRAFT'!E456,1)</f>
        <v>788.80000000000007</v>
      </c>
      <c r="E405" s="213" t="s">
        <v>151</v>
      </c>
      <c r="F405" s="216" t="s">
        <v>156</v>
      </c>
      <c r="J405" s="217">
        <f t="shared" si="17"/>
        <v>112.7</v>
      </c>
      <c r="K405" s="58">
        <f t="shared" si="26"/>
        <v>1</v>
      </c>
    </row>
    <row r="406" spans="1:11" s="217" customFormat="1" ht="14.25" customHeight="1" x14ac:dyDescent="0.25">
      <c r="A406" s="214" t="s">
        <v>728</v>
      </c>
      <c r="B406" s="215" t="s">
        <v>727</v>
      </c>
      <c r="C406" s="213">
        <f>ROUNDUP('ITEM CRAFT'!E457/7,1)</f>
        <v>17.700000000000003</v>
      </c>
      <c r="D406" s="65">
        <f>ROUNDUP('ITEM CRAFT'!E457,1)</f>
        <v>123.69999999999999</v>
      </c>
      <c r="E406" s="213" t="s">
        <v>151</v>
      </c>
      <c r="F406" s="216" t="s">
        <v>156</v>
      </c>
      <c r="J406" s="217">
        <f t="shared" si="17"/>
        <v>17.7</v>
      </c>
      <c r="K406" s="58">
        <f t="shared" si="26"/>
        <v>1</v>
      </c>
    </row>
    <row r="407" spans="1:11" s="217" customFormat="1" ht="14.25" customHeight="1" x14ac:dyDescent="0.25">
      <c r="A407" s="214" t="s">
        <v>730</v>
      </c>
      <c r="B407" s="215" t="s">
        <v>729</v>
      </c>
      <c r="C407" s="213">
        <f>ROUNDUP('ITEM CRAFT'!E458/7,1)</f>
        <v>120.6</v>
      </c>
      <c r="D407" s="65">
        <f>ROUNDUP('ITEM CRAFT'!E458,1)</f>
        <v>843.80000000000007</v>
      </c>
      <c r="E407" s="213" t="s">
        <v>151</v>
      </c>
      <c r="F407" s="216" t="s">
        <v>156</v>
      </c>
      <c r="J407" s="217">
        <f t="shared" si="17"/>
        <v>120.6</v>
      </c>
      <c r="K407" s="58">
        <f t="shared" si="26"/>
        <v>1</v>
      </c>
    </row>
    <row r="408" spans="1:11" s="217" customFormat="1" ht="14.25" customHeight="1" x14ac:dyDescent="0.25">
      <c r="A408" s="214" t="s">
        <v>732</v>
      </c>
      <c r="B408" s="215" t="s">
        <v>731</v>
      </c>
      <c r="C408" s="213">
        <f>ROUNDUP('ITEM CRAFT'!E459/7,1)</f>
        <v>17.3</v>
      </c>
      <c r="D408" s="65">
        <f>ROUNDUP('ITEM CRAFT'!E459,1)</f>
        <v>121</v>
      </c>
      <c r="E408" s="213" t="s">
        <v>151</v>
      </c>
      <c r="F408" s="216" t="s">
        <v>156</v>
      </c>
      <c r="J408" s="217">
        <f t="shared" si="17"/>
        <v>17.3</v>
      </c>
      <c r="K408" s="58">
        <f t="shared" si="26"/>
        <v>1</v>
      </c>
    </row>
    <row r="409" spans="1:11" s="217" customFormat="1" ht="14.25" customHeight="1" x14ac:dyDescent="0.25">
      <c r="A409" s="214" t="s">
        <v>734</v>
      </c>
      <c r="B409" s="215" t="s">
        <v>733</v>
      </c>
      <c r="C409" s="213">
        <f>ROUNDUP('ITEM CRAFT'!E460/7,1)</f>
        <v>51.5</v>
      </c>
      <c r="D409" s="65">
        <f>ROUNDUP('ITEM CRAFT'!E460,1)</f>
        <v>360.40000000000003</v>
      </c>
      <c r="E409" s="213" t="s">
        <v>151</v>
      </c>
      <c r="F409" s="216" t="s">
        <v>156</v>
      </c>
      <c r="J409" s="217">
        <f t="shared" si="17"/>
        <v>51.5</v>
      </c>
      <c r="K409" s="58">
        <f t="shared" si="26"/>
        <v>1</v>
      </c>
    </row>
    <row r="410" spans="1:11" s="217" customFormat="1" ht="14.25" customHeight="1" x14ac:dyDescent="0.25">
      <c r="A410" s="214" t="s">
        <v>736</v>
      </c>
      <c r="B410" s="215" t="s">
        <v>735</v>
      </c>
      <c r="C410" s="213">
        <f>ROUNDUP('ITEM CRAFT'!E461/7,1)</f>
        <v>16.600000000000001</v>
      </c>
      <c r="D410" s="65">
        <f>ROUNDUP('ITEM CRAFT'!E461,1)</f>
        <v>115.89999999999999</v>
      </c>
      <c r="E410" s="213" t="s">
        <v>151</v>
      </c>
      <c r="F410" s="216" t="s">
        <v>156</v>
      </c>
      <c r="J410" s="217">
        <f t="shared" si="17"/>
        <v>16.600000000000001</v>
      </c>
      <c r="K410" s="58">
        <f t="shared" si="26"/>
        <v>1</v>
      </c>
    </row>
    <row r="411" spans="1:11" s="217" customFormat="1" ht="14.25" customHeight="1" x14ac:dyDescent="0.25">
      <c r="A411" s="226" t="s">
        <v>738</v>
      </c>
      <c r="B411" s="219" t="s">
        <v>737</v>
      </c>
      <c r="C411" s="213">
        <f>ROUNDUP('ITEM CRAFT'!E462/7,1)</f>
        <v>157.1</v>
      </c>
      <c r="D411" s="65">
        <f>ROUNDUP('ITEM CRAFT'!E462,1)</f>
        <v>1099.1999999999998</v>
      </c>
      <c r="E411" s="213" t="s">
        <v>151</v>
      </c>
      <c r="F411" s="216" t="s">
        <v>156</v>
      </c>
      <c r="J411" s="217">
        <f t="shared" si="17"/>
        <v>157.1</v>
      </c>
      <c r="K411" s="58">
        <f t="shared" si="26"/>
        <v>1</v>
      </c>
    </row>
    <row r="412" spans="1:11" s="217" customFormat="1" ht="14.25" customHeight="1" x14ac:dyDescent="0.25">
      <c r="A412" s="214" t="s">
        <v>740</v>
      </c>
      <c r="B412" s="215" t="s">
        <v>739</v>
      </c>
      <c r="C412" s="213">
        <f>ROUNDUP('ITEM CRAFT'!E463/7,1)</f>
        <v>138.5</v>
      </c>
      <c r="D412" s="65">
        <f>ROUNDUP('ITEM CRAFT'!E463,1)</f>
        <v>969.30000000000007</v>
      </c>
      <c r="E412" s="213" t="s">
        <v>151</v>
      </c>
      <c r="F412" s="216" t="s">
        <v>156</v>
      </c>
      <c r="J412" s="217">
        <f t="shared" si="17"/>
        <v>138.5</v>
      </c>
      <c r="K412" s="58">
        <f t="shared" si="26"/>
        <v>1</v>
      </c>
    </row>
    <row r="413" spans="1:11" s="217" customFormat="1" ht="14.25" customHeight="1" x14ac:dyDescent="0.25">
      <c r="A413" s="214" t="s">
        <v>742</v>
      </c>
      <c r="B413" s="215" t="s">
        <v>741</v>
      </c>
      <c r="C413" s="213">
        <f>ROUNDUP('ITEM CRAFT'!E464/7,1)</f>
        <v>17</v>
      </c>
      <c r="D413" s="65">
        <f>ROUNDUP('ITEM CRAFT'!E464,1)</f>
        <v>118.89999999999999</v>
      </c>
      <c r="E413" s="213" t="s">
        <v>151</v>
      </c>
      <c r="F413" s="216" t="s">
        <v>156</v>
      </c>
      <c r="J413" s="217">
        <f t="shared" si="17"/>
        <v>17</v>
      </c>
      <c r="K413" s="58">
        <f t="shared" si="26"/>
        <v>1</v>
      </c>
    </row>
    <row r="414" spans="1:11" s="217" customFormat="1" ht="14.25" customHeight="1" x14ac:dyDescent="0.25">
      <c r="A414" s="214" t="s">
        <v>744</v>
      </c>
      <c r="B414" s="215" t="s">
        <v>743</v>
      </c>
      <c r="C414" s="213">
        <f>ROUNDUP('ITEM CRAFT'!E465/7,1)</f>
        <v>119.89999999999999</v>
      </c>
      <c r="D414" s="65">
        <f>ROUNDUP('ITEM CRAFT'!E465,1)</f>
        <v>839</v>
      </c>
      <c r="E414" s="213" t="s">
        <v>151</v>
      </c>
      <c r="F414" s="216" t="s">
        <v>156</v>
      </c>
      <c r="J414" s="217">
        <f t="shared" si="17"/>
        <v>119.9</v>
      </c>
      <c r="K414" s="58">
        <f t="shared" si="26"/>
        <v>1</v>
      </c>
    </row>
    <row r="415" spans="1:11" s="217" customFormat="1" ht="14.25" customHeight="1" x14ac:dyDescent="0.25">
      <c r="A415" s="214" t="s">
        <v>746</v>
      </c>
      <c r="B415" s="215" t="s">
        <v>745</v>
      </c>
      <c r="C415" s="213">
        <f>ROUNDUP('ITEM CRAFT'!E466/7,1)</f>
        <v>16.600000000000001</v>
      </c>
      <c r="D415" s="65">
        <f>ROUNDUP('ITEM CRAFT'!E466,1)</f>
        <v>116.19999999999999</v>
      </c>
      <c r="E415" s="213" t="s">
        <v>151</v>
      </c>
      <c r="F415" s="216" t="s">
        <v>156</v>
      </c>
      <c r="J415" s="217">
        <f t="shared" si="17"/>
        <v>16.600000000000001</v>
      </c>
      <c r="K415" s="58">
        <f t="shared" si="26"/>
        <v>1</v>
      </c>
    </row>
    <row r="416" spans="1:11" s="217" customFormat="1" ht="14.25" customHeight="1" x14ac:dyDescent="0.25">
      <c r="A416" s="214" t="s">
        <v>748</v>
      </c>
      <c r="B416" s="215" t="s">
        <v>747</v>
      </c>
      <c r="C416" s="213">
        <f>ROUNDUP('ITEM CRAFT'!E467/7,1)</f>
        <v>15.2</v>
      </c>
      <c r="D416" s="65">
        <f>ROUNDUP('ITEM CRAFT'!E467,1)</f>
        <v>105.89999999999999</v>
      </c>
      <c r="E416" s="213" t="s">
        <v>151</v>
      </c>
      <c r="F416" s="216" t="s">
        <v>156</v>
      </c>
      <c r="J416" s="217">
        <f t="shared" si="17"/>
        <v>15.2</v>
      </c>
      <c r="K416" s="58">
        <f t="shared" si="26"/>
        <v>1</v>
      </c>
    </row>
    <row r="417" spans="1:11" s="217" customFormat="1" ht="14.25" customHeight="1" x14ac:dyDescent="0.25">
      <c r="A417" s="214" t="s">
        <v>750</v>
      </c>
      <c r="B417" s="215" t="s">
        <v>749</v>
      </c>
      <c r="C417" s="213">
        <f>ROUNDUP('ITEM CRAFT'!E468/7,1)</f>
        <v>140.6</v>
      </c>
      <c r="D417" s="65">
        <f>ROUNDUP('ITEM CRAFT'!E468,1)</f>
        <v>984.2</v>
      </c>
      <c r="E417" s="213" t="s">
        <v>151</v>
      </c>
      <c r="F417" s="216" t="s">
        <v>156</v>
      </c>
      <c r="J417" s="217">
        <f t="shared" ref="J417:J480" si="27">ROUNDUP(C417/K417,1)</f>
        <v>140.6</v>
      </c>
      <c r="K417" s="58">
        <f t="shared" si="26"/>
        <v>1</v>
      </c>
    </row>
    <row r="418" spans="1:11" s="217" customFormat="1" ht="14.25" customHeight="1" x14ac:dyDescent="0.25">
      <c r="A418" s="214" t="s">
        <v>752</v>
      </c>
      <c r="B418" s="215" t="s">
        <v>751</v>
      </c>
      <c r="C418" s="213">
        <f>ROUNDUP('ITEM CRAFT'!E469/7,1)</f>
        <v>103.3</v>
      </c>
      <c r="D418" s="65">
        <f>ROUNDUP('ITEM CRAFT'!E469,1)</f>
        <v>722.5</v>
      </c>
      <c r="E418" s="213" t="s">
        <v>151</v>
      </c>
      <c r="F418" s="216" t="s">
        <v>156</v>
      </c>
      <c r="J418" s="217">
        <f t="shared" si="27"/>
        <v>103.3</v>
      </c>
      <c r="K418" s="58">
        <f t="shared" si="26"/>
        <v>1</v>
      </c>
    </row>
    <row r="419" spans="1:11" s="217" customFormat="1" ht="14.25" customHeight="1" x14ac:dyDescent="0.25">
      <c r="A419" s="214" t="s">
        <v>754</v>
      </c>
      <c r="B419" s="215" t="s">
        <v>753</v>
      </c>
      <c r="C419" s="213">
        <f>ROUNDUP('ITEM CRAFT'!E470/7,1)</f>
        <v>15.9</v>
      </c>
      <c r="D419" s="65">
        <f>ROUNDUP('ITEM CRAFT'!E470,1)</f>
        <v>111.1</v>
      </c>
      <c r="E419" s="213" t="s">
        <v>151</v>
      </c>
      <c r="F419" s="216" t="s">
        <v>156</v>
      </c>
      <c r="J419" s="217">
        <f t="shared" si="27"/>
        <v>15.9</v>
      </c>
      <c r="K419" s="58">
        <f t="shared" si="26"/>
        <v>1</v>
      </c>
    </row>
    <row r="420" spans="1:11" s="217" customFormat="1" ht="14.25" customHeight="1" x14ac:dyDescent="0.25">
      <c r="A420" s="214" t="s">
        <v>756</v>
      </c>
      <c r="B420" s="215" t="s">
        <v>755</v>
      </c>
      <c r="C420" s="213">
        <f>ROUNDUP('ITEM CRAFT'!E471/7,1)</f>
        <v>120.1</v>
      </c>
      <c r="D420" s="65">
        <f>ROUNDUP('ITEM CRAFT'!E471,1)</f>
        <v>840.30000000000007</v>
      </c>
      <c r="E420" s="213" t="s">
        <v>151</v>
      </c>
      <c r="F420" s="216" t="s">
        <v>156</v>
      </c>
      <c r="J420" s="217">
        <f t="shared" si="27"/>
        <v>120.1</v>
      </c>
      <c r="K420" s="58">
        <f t="shared" si="26"/>
        <v>1</v>
      </c>
    </row>
    <row r="421" spans="1:11" s="217" customFormat="1" ht="14.25" customHeight="1" x14ac:dyDescent="0.25">
      <c r="A421" s="226" t="s">
        <v>758</v>
      </c>
      <c r="B421" s="219" t="s">
        <v>757</v>
      </c>
      <c r="C421" s="213">
        <f>ROUNDUP('ITEM CRAFT'!E472/7,1)</f>
        <v>75.8</v>
      </c>
      <c r="D421" s="65">
        <f>ROUNDUP('ITEM CRAFT'!E472,1)</f>
        <v>530.5</v>
      </c>
      <c r="E421" s="213" t="s">
        <v>151</v>
      </c>
      <c r="F421" s="216" t="s">
        <v>156</v>
      </c>
      <c r="J421" s="217">
        <f t="shared" si="27"/>
        <v>75.8</v>
      </c>
      <c r="K421" s="58">
        <f t="shared" si="26"/>
        <v>1</v>
      </c>
    </row>
    <row r="422" spans="1:11" s="217" customFormat="1" ht="14.25" customHeight="1" x14ac:dyDescent="0.25">
      <c r="A422" s="214" t="s">
        <v>760</v>
      </c>
      <c r="B422" s="215" t="s">
        <v>759</v>
      </c>
      <c r="C422" s="213">
        <f>ROUNDUP('ITEM CRAFT'!E473/7,1)</f>
        <v>67.099999999999994</v>
      </c>
      <c r="D422" s="65">
        <f>ROUNDUP('ITEM CRAFT'!E473,1)</f>
        <v>469.5</v>
      </c>
      <c r="E422" s="213" t="s">
        <v>151</v>
      </c>
      <c r="F422" s="216" t="s">
        <v>156</v>
      </c>
      <c r="J422" s="217">
        <f t="shared" si="27"/>
        <v>67.099999999999994</v>
      </c>
      <c r="K422" s="58">
        <f t="shared" si="26"/>
        <v>1</v>
      </c>
    </row>
    <row r="423" spans="1:11" s="217" customFormat="1" ht="14.25" customHeight="1" x14ac:dyDescent="0.25">
      <c r="A423" s="214" t="s">
        <v>762</v>
      </c>
      <c r="B423" s="215" t="s">
        <v>761</v>
      </c>
      <c r="C423" s="213">
        <f>ROUNDUP('ITEM CRAFT'!E474/7,1)</f>
        <v>137.79999999999998</v>
      </c>
      <c r="D423" s="65">
        <f>ROUNDUP('ITEM CRAFT'!E474,1)</f>
        <v>964.5</v>
      </c>
      <c r="E423" s="213" t="s">
        <v>151</v>
      </c>
      <c r="F423" s="216" t="s">
        <v>156</v>
      </c>
      <c r="J423" s="217">
        <f t="shared" si="27"/>
        <v>137.80000000000001</v>
      </c>
      <c r="K423" s="58">
        <f t="shared" si="26"/>
        <v>1</v>
      </c>
    </row>
    <row r="424" spans="1:11" s="217" customFormat="1" ht="14.25" customHeight="1" x14ac:dyDescent="0.25">
      <c r="A424" s="218" t="s">
        <v>764</v>
      </c>
      <c r="B424" s="225" t="s">
        <v>763</v>
      </c>
      <c r="C424" s="213">
        <f>ROUNDUP('ITEM CRAFT'!E475/7,1)</f>
        <v>23.8</v>
      </c>
      <c r="D424" s="65">
        <f>ROUNDUP('ITEM CRAFT'!E475,1)</f>
        <v>166.4</v>
      </c>
      <c r="E424" s="213" t="s">
        <v>151</v>
      </c>
      <c r="F424" s="216" t="s">
        <v>156</v>
      </c>
      <c r="J424" s="217">
        <f t="shared" si="27"/>
        <v>23.8</v>
      </c>
      <c r="K424" s="58">
        <f t="shared" si="26"/>
        <v>1</v>
      </c>
    </row>
    <row r="425" spans="1:11" s="217" customFormat="1" ht="14.25" customHeight="1" x14ac:dyDescent="0.25">
      <c r="A425" s="218" t="s">
        <v>766</v>
      </c>
      <c r="B425" s="225" t="s">
        <v>765</v>
      </c>
      <c r="C425" s="213">
        <f>ROUNDUP('ITEM CRAFT'!E476/7,1)</f>
        <v>147.29999999999998</v>
      </c>
      <c r="D425" s="65">
        <f>ROUNDUP('ITEM CRAFT'!E476,1)</f>
        <v>1030.5999999999999</v>
      </c>
      <c r="E425" s="213" t="s">
        <v>151</v>
      </c>
      <c r="F425" s="216" t="s">
        <v>156</v>
      </c>
      <c r="J425" s="217">
        <f t="shared" si="27"/>
        <v>147.30000000000001</v>
      </c>
      <c r="K425" s="58">
        <f t="shared" si="26"/>
        <v>1</v>
      </c>
    </row>
    <row r="426" spans="1:11" s="217" customFormat="1" ht="14.25" customHeight="1" x14ac:dyDescent="0.25">
      <c r="A426" s="218" t="s">
        <v>768</v>
      </c>
      <c r="B426" s="225" t="s">
        <v>767</v>
      </c>
      <c r="C426" s="213">
        <f>ROUNDUP('ITEM CRAFT'!E477/7,1)</f>
        <v>23.400000000000002</v>
      </c>
      <c r="D426" s="65">
        <f>ROUNDUP('ITEM CRAFT'!E477,1)</f>
        <v>163.19999999999999</v>
      </c>
      <c r="E426" s="213" t="s">
        <v>151</v>
      </c>
      <c r="F426" s="216" t="s">
        <v>156</v>
      </c>
      <c r="J426" s="217">
        <f t="shared" si="27"/>
        <v>23.4</v>
      </c>
      <c r="K426" s="58">
        <f t="shared" si="26"/>
        <v>1</v>
      </c>
    </row>
    <row r="427" spans="1:11" s="217" customFormat="1" ht="14.25" customHeight="1" x14ac:dyDescent="0.25">
      <c r="A427" s="218" t="s">
        <v>770</v>
      </c>
      <c r="B427" s="225" t="s">
        <v>769</v>
      </c>
      <c r="C427" s="213">
        <f>ROUNDUP('ITEM CRAFT'!E478/7,1)</f>
        <v>22.5</v>
      </c>
      <c r="D427" s="65">
        <f>ROUNDUP('ITEM CRAFT'!E478,1)</f>
        <v>157.1</v>
      </c>
      <c r="E427" s="213" t="s">
        <v>151</v>
      </c>
      <c r="F427" s="216" t="s">
        <v>156</v>
      </c>
      <c r="J427" s="217">
        <f t="shared" si="27"/>
        <v>22.5</v>
      </c>
      <c r="K427" s="58">
        <f t="shared" si="26"/>
        <v>1</v>
      </c>
    </row>
    <row r="428" spans="1:11" s="217" customFormat="1" ht="14.25" customHeight="1" x14ac:dyDescent="0.25">
      <c r="A428" s="214" t="s">
        <v>772</v>
      </c>
      <c r="B428" s="215" t="s">
        <v>771</v>
      </c>
      <c r="C428" s="213">
        <f>ROUNDUP('ITEM CRAFT'!E479/7,1)</f>
        <v>17</v>
      </c>
      <c r="D428" s="65">
        <f>ROUNDUP('ITEM CRAFT'!E479,1)</f>
        <v>118.89999999999999</v>
      </c>
      <c r="E428" s="213" t="s">
        <v>151</v>
      </c>
      <c r="F428" s="216" t="s">
        <v>156</v>
      </c>
      <c r="J428" s="217">
        <f t="shared" si="27"/>
        <v>17</v>
      </c>
      <c r="K428" s="58">
        <f t="shared" si="26"/>
        <v>1</v>
      </c>
    </row>
    <row r="429" spans="1:11" s="217" customFormat="1" ht="14.25" customHeight="1" x14ac:dyDescent="0.25">
      <c r="A429" s="214" t="s">
        <v>774</v>
      </c>
      <c r="B429" s="215" t="s">
        <v>773</v>
      </c>
      <c r="C429" s="213">
        <f>ROUNDUP('ITEM CRAFT'!E480/7,1)</f>
        <v>119.89999999999999</v>
      </c>
      <c r="D429" s="65">
        <f>ROUNDUP('ITEM CRAFT'!E480,1)</f>
        <v>839</v>
      </c>
      <c r="E429" s="213" t="s">
        <v>151</v>
      </c>
      <c r="F429" s="216" t="s">
        <v>156</v>
      </c>
      <c r="J429" s="217">
        <f t="shared" si="27"/>
        <v>119.9</v>
      </c>
      <c r="K429" s="58">
        <f t="shared" si="26"/>
        <v>1</v>
      </c>
    </row>
    <row r="430" spans="1:11" s="217" customFormat="1" ht="14.25" customHeight="1" x14ac:dyDescent="0.25">
      <c r="A430" s="214" t="s">
        <v>776</v>
      </c>
      <c r="B430" s="215" t="s">
        <v>775</v>
      </c>
      <c r="C430" s="213">
        <f>ROUNDUP('ITEM CRAFT'!E481/7,1)</f>
        <v>16.600000000000001</v>
      </c>
      <c r="D430" s="65">
        <f>ROUNDUP('ITEM CRAFT'!E481,1)</f>
        <v>116.19999999999999</v>
      </c>
      <c r="E430" s="213" t="s">
        <v>151</v>
      </c>
      <c r="F430" s="216" t="s">
        <v>156</v>
      </c>
      <c r="J430" s="217">
        <f t="shared" si="27"/>
        <v>16.600000000000001</v>
      </c>
      <c r="K430" s="58">
        <f t="shared" si="26"/>
        <v>1</v>
      </c>
    </row>
    <row r="431" spans="1:11" s="217" customFormat="1" ht="14.25" customHeight="1" x14ac:dyDescent="0.25">
      <c r="A431" s="214" t="s">
        <v>778</v>
      </c>
      <c r="B431" s="215" t="s">
        <v>777</v>
      </c>
      <c r="C431" s="213">
        <f>ROUNDUP('ITEM CRAFT'!E482/7,1)</f>
        <v>15.2</v>
      </c>
      <c r="D431" s="65">
        <f>ROUNDUP('ITEM CRAFT'!E482,1)</f>
        <v>105.89999999999999</v>
      </c>
      <c r="E431" s="213" t="s">
        <v>151</v>
      </c>
      <c r="F431" s="216" t="s">
        <v>156</v>
      </c>
      <c r="J431" s="217">
        <f t="shared" si="27"/>
        <v>15.2</v>
      </c>
      <c r="K431" s="58">
        <f t="shared" si="26"/>
        <v>1</v>
      </c>
    </row>
    <row r="432" spans="1:11" s="217" customFormat="1" ht="14.25" customHeight="1" x14ac:dyDescent="0.25">
      <c r="A432" s="214" t="s">
        <v>780</v>
      </c>
      <c r="B432" s="215" t="s">
        <v>779</v>
      </c>
      <c r="C432" s="213">
        <f>ROUNDUP('ITEM CRAFT'!E483/7,1)</f>
        <v>50.800000000000004</v>
      </c>
      <c r="D432" s="65">
        <f>ROUNDUP('ITEM CRAFT'!E483,1)</f>
        <v>355.6</v>
      </c>
      <c r="E432" s="213" t="s">
        <v>151</v>
      </c>
      <c r="F432" s="216" t="s">
        <v>156</v>
      </c>
      <c r="J432" s="217">
        <f t="shared" si="27"/>
        <v>50.8</v>
      </c>
      <c r="K432" s="58">
        <f t="shared" si="26"/>
        <v>1</v>
      </c>
    </row>
    <row r="433" spans="1:11" s="217" customFormat="1" ht="14.25" customHeight="1" x14ac:dyDescent="0.25">
      <c r="A433" s="214" t="s">
        <v>782</v>
      </c>
      <c r="B433" s="215" t="s">
        <v>781</v>
      </c>
      <c r="C433" s="213">
        <f>ROUNDUP('ITEM CRAFT'!E484/7,1)</f>
        <v>140.6</v>
      </c>
      <c r="D433" s="65">
        <f>ROUNDUP('ITEM CRAFT'!E484,1)</f>
        <v>984.2</v>
      </c>
      <c r="E433" s="213" t="s">
        <v>151</v>
      </c>
      <c r="F433" s="216" t="s">
        <v>156</v>
      </c>
      <c r="J433" s="217">
        <f t="shared" si="27"/>
        <v>140.6</v>
      </c>
      <c r="K433" s="58">
        <f t="shared" si="26"/>
        <v>1</v>
      </c>
    </row>
    <row r="434" spans="1:11" s="217" customFormat="1" ht="14.25" customHeight="1" x14ac:dyDescent="0.25">
      <c r="A434" s="214" t="s">
        <v>784</v>
      </c>
      <c r="B434" s="215" t="s">
        <v>783</v>
      </c>
      <c r="C434" s="213">
        <f>ROUNDUP('ITEM CRAFT'!E485/7,1)</f>
        <v>134.4</v>
      </c>
      <c r="D434" s="65">
        <f>ROUNDUP('ITEM CRAFT'!E485,1)</f>
        <v>940.5</v>
      </c>
      <c r="E434" s="213" t="s">
        <v>151</v>
      </c>
      <c r="F434" s="216" t="s">
        <v>156</v>
      </c>
      <c r="J434" s="217">
        <f t="shared" si="27"/>
        <v>134.4</v>
      </c>
      <c r="K434" s="58">
        <f t="shared" si="26"/>
        <v>1</v>
      </c>
    </row>
    <row r="435" spans="1:11" s="217" customFormat="1" ht="14.25" customHeight="1" x14ac:dyDescent="0.25">
      <c r="A435" s="214" t="s">
        <v>786</v>
      </c>
      <c r="B435" s="215" t="s">
        <v>785</v>
      </c>
      <c r="C435" s="213">
        <f>ROUNDUP('ITEM CRAFT'!E486/7,1)</f>
        <v>15.9</v>
      </c>
      <c r="D435" s="65">
        <f>ROUNDUP('ITEM CRAFT'!E486,1)</f>
        <v>111.1</v>
      </c>
      <c r="E435" s="213" t="s">
        <v>151</v>
      </c>
      <c r="F435" s="216" t="s">
        <v>156</v>
      </c>
      <c r="J435" s="217">
        <f t="shared" si="27"/>
        <v>15.9</v>
      </c>
      <c r="K435" s="58">
        <f t="shared" si="26"/>
        <v>1</v>
      </c>
    </row>
    <row r="436" spans="1:11" s="217" customFormat="1" ht="14.25" customHeight="1" x14ac:dyDescent="0.25">
      <c r="A436" s="214" t="s">
        <v>788</v>
      </c>
      <c r="B436" s="215" t="s">
        <v>787</v>
      </c>
      <c r="C436" s="213">
        <f>ROUNDUP('ITEM CRAFT'!E487/7,1)</f>
        <v>139.6</v>
      </c>
      <c r="D436" s="65">
        <f>ROUNDUP('ITEM CRAFT'!E487,1)</f>
        <v>976.80000000000007</v>
      </c>
      <c r="E436" s="213" t="s">
        <v>151</v>
      </c>
      <c r="F436" s="216" t="s">
        <v>156</v>
      </c>
      <c r="J436" s="217">
        <f t="shared" si="27"/>
        <v>139.6</v>
      </c>
      <c r="K436" s="58">
        <f t="shared" si="26"/>
        <v>1</v>
      </c>
    </row>
    <row r="437" spans="1:11" s="217" customFormat="1" ht="14.25" customHeight="1" x14ac:dyDescent="0.25">
      <c r="A437" s="214" t="s">
        <v>790</v>
      </c>
      <c r="B437" s="215" t="s">
        <v>789</v>
      </c>
      <c r="C437" s="213">
        <f>ROUNDUP('ITEM CRAFT'!E488/7,1)</f>
        <v>137.79999999999998</v>
      </c>
      <c r="D437" s="65">
        <f>ROUNDUP('ITEM CRAFT'!E488,1)</f>
        <v>964.5</v>
      </c>
      <c r="E437" s="213" t="s">
        <v>151</v>
      </c>
      <c r="F437" s="216" t="s">
        <v>156</v>
      </c>
      <c r="J437" s="217">
        <f t="shared" si="27"/>
        <v>137.80000000000001</v>
      </c>
      <c r="K437" s="58">
        <f t="shared" si="26"/>
        <v>1</v>
      </c>
    </row>
    <row r="438" spans="1:11" s="217" customFormat="1" ht="14.25" customHeight="1" x14ac:dyDescent="0.25">
      <c r="A438" s="214" t="s">
        <v>792</v>
      </c>
      <c r="B438" s="215" t="s">
        <v>791</v>
      </c>
      <c r="C438" s="213">
        <f>ROUNDUP('ITEM CRAFT'!E489/7,1)</f>
        <v>67.099999999999994</v>
      </c>
      <c r="D438" s="65">
        <f>ROUNDUP('ITEM CRAFT'!E489,1)</f>
        <v>469.5</v>
      </c>
      <c r="E438" s="213" t="s">
        <v>151</v>
      </c>
      <c r="F438" s="216" t="s">
        <v>156</v>
      </c>
      <c r="J438" s="217">
        <f t="shared" si="27"/>
        <v>67.099999999999994</v>
      </c>
      <c r="K438" s="58">
        <f t="shared" si="26"/>
        <v>1</v>
      </c>
    </row>
    <row r="439" spans="1:11" s="217" customFormat="1" ht="14.25" customHeight="1" x14ac:dyDescent="0.25">
      <c r="A439" s="214" t="s">
        <v>794</v>
      </c>
      <c r="B439" s="215" t="s">
        <v>793</v>
      </c>
      <c r="C439" s="213">
        <f>ROUNDUP('ITEM CRAFT'!E490/7,1)</f>
        <v>137.79999999999998</v>
      </c>
      <c r="D439" s="65">
        <f>ROUNDUP('ITEM CRAFT'!E490,1)</f>
        <v>964.5</v>
      </c>
      <c r="E439" s="213" t="s">
        <v>151</v>
      </c>
      <c r="F439" s="216" t="s">
        <v>156</v>
      </c>
      <c r="J439" s="217">
        <f t="shared" si="27"/>
        <v>137.80000000000001</v>
      </c>
      <c r="K439" s="58">
        <f t="shared" si="26"/>
        <v>1</v>
      </c>
    </row>
    <row r="440" spans="1:11" s="217" customFormat="1" ht="14.25" customHeight="1" x14ac:dyDescent="0.25">
      <c r="A440" s="214" t="s">
        <v>796</v>
      </c>
      <c r="B440" s="215" t="s">
        <v>795</v>
      </c>
      <c r="C440" s="213">
        <f>ROUNDUP('ITEM CRAFT'!E491/7,1)</f>
        <v>23.8</v>
      </c>
      <c r="D440" s="65">
        <f>ROUNDUP('ITEM CRAFT'!E491,1)</f>
        <v>166.4</v>
      </c>
      <c r="E440" s="213" t="s">
        <v>151</v>
      </c>
      <c r="F440" s="216" t="s">
        <v>156</v>
      </c>
      <c r="J440" s="217">
        <f t="shared" si="27"/>
        <v>23.8</v>
      </c>
      <c r="K440" s="58">
        <f t="shared" si="26"/>
        <v>1</v>
      </c>
    </row>
    <row r="441" spans="1:11" s="217" customFormat="1" ht="14.25" customHeight="1" x14ac:dyDescent="0.25">
      <c r="A441" s="214" t="s">
        <v>798</v>
      </c>
      <c r="B441" s="215" t="s">
        <v>797</v>
      </c>
      <c r="C441" s="213">
        <f>ROUNDUP('ITEM CRAFT'!E492/7,1)</f>
        <v>147.29999999999998</v>
      </c>
      <c r="D441" s="65">
        <f>ROUNDUP('ITEM CRAFT'!E492,1)</f>
        <v>1030.5999999999999</v>
      </c>
      <c r="E441" s="213" t="s">
        <v>151</v>
      </c>
      <c r="F441" s="216" t="s">
        <v>156</v>
      </c>
      <c r="J441" s="217">
        <f t="shared" si="27"/>
        <v>147.30000000000001</v>
      </c>
      <c r="K441" s="58">
        <f t="shared" si="26"/>
        <v>1</v>
      </c>
    </row>
    <row r="442" spans="1:11" s="217" customFormat="1" ht="14.25" customHeight="1" x14ac:dyDescent="0.25">
      <c r="A442" s="214" t="s">
        <v>800</v>
      </c>
      <c r="B442" s="215" t="s">
        <v>799</v>
      </c>
      <c r="C442" s="213">
        <f>ROUNDUP('ITEM CRAFT'!E493/7,1)</f>
        <v>23.400000000000002</v>
      </c>
      <c r="D442" s="65">
        <f>ROUNDUP('ITEM CRAFT'!E493,1)</f>
        <v>163.19999999999999</v>
      </c>
      <c r="E442" s="213" t="s">
        <v>151</v>
      </c>
      <c r="F442" s="216" t="s">
        <v>156</v>
      </c>
      <c r="J442" s="217">
        <f t="shared" si="27"/>
        <v>23.4</v>
      </c>
      <c r="K442" s="58">
        <f t="shared" si="26"/>
        <v>1</v>
      </c>
    </row>
    <row r="443" spans="1:11" s="217" customFormat="1" ht="14.25" customHeight="1" x14ac:dyDescent="0.25">
      <c r="A443" s="214" t="s">
        <v>802</v>
      </c>
      <c r="B443" s="215" t="s">
        <v>801</v>
      </c>
      <c r="C443" s="213">
        <f>ROUNDUP('ITEM CRAFT'!E494/7,1)</f>
        <v>64.399999999999991</v>
      </c>
      <c r="D443" s="65">
        <f>ROUNDUP('ITEM CRAFT'!E494,1)</f>
        <v>450.5</v>
      </c>
      <c r="E443" s="213" t="s">
        <v>151</v>
      </c>
      <c r="F443" s="216" t="s">
        <v>156</v>
      </c>
      <c r="J443" s="217">
        <f t="shared" si="27"/>
        <v>64.400000000000006</v>
      </c>
      <c r="K443" s="58">
        <f t="shared" si="26"/>
        <v>1</v>
      </c>
    </row>
    <row r="444" spans="1:11" s="217" customFormat="1" ht="14.25" customHeight="1" x14ac:dyDescent="0.25">
      <c r="A444" s="214" t="s">
        <v>804</v>
      </c>
      <c r="B444" s="215" t="s">
        <v>803</v>
      </c>
      <c r="C444" s="213">
        <f>ROUNDUP('ITEM CRAFT'!E495/7,1)</f>
        <v>22.5</v>
      </c>
      <c r="D444" s="65">
        <f>ROUNDUP('ITEM CRAFT'!E495,1)</f>
        <v>157.1</v>
      </c>
      <c r="E444" s="213" t="s">
        <v>151</v>
      </c>
      <c r="F444" s="216" t="s">
        <v>156</v>
      </c>
      <c r="J444" s="217">
        <f t="shared" si="27"/>
        <v>22.5</v>
      </c>
      <c r="K444" s="58">
        <f t="shared" si="26"/>
        <v>1</v>
      </c>
    </row>
    <row r="445" spans="1:11" s="217" customFormat="1" ht="14.25" customHeight="1" x14ac:dyDescent="0.25">
      <c r="A445" s="226" t="s">
        <v>806</v>
      </c>
      <c r="B445" s="219" t="s">
        <v>805</v>
      </c>
      <c r="C445" s="213">
        <f>ROUNDUP('ITEM CRAFT'!E496/7,1)</f>
        <v>191</v>
      </c>
      <c r="D445" s="65">
        <f>ROUNDUP('ITEM CRAFT'!E496,1)</f>
        <v>1337</v>
      </c>
      <c r="E445" s="213" t="s">
        <v>151</v>
      </c>
      <c r="F445" s="216" t="s">
        <v>156</v>
      </c>
      <c r="J445" s="217">
        <f t="shared" si="27"/>
        <v>191</v>
      </c>
      <c r="K445" s="58">
        <f t="shared" si="26"/>
        <v>1</v>
      </c>
    </row>
    <row r="446" spans="1:11" s="217" customFormat="1" ht="14.25" customHeight="1" x14ac:dyDescent="0.25">
      <c r="A446" s="214" t="s">
        <v>808</v>
      </c>
      <c r="B446" s="215" t="s">
        <v>807</v>
      </c>
      <c r="C446" s="213">
        <f>ROUNDUP('ITEM CRAFT'!E497/7,1)</f>
        <v>168.79999999999998</v>
      </c>
      <c r="D446" s="65">
        <f>ROUNDUP('ITEM CRAFT'!E497,1)</f>
        <v>1181.1999999999998</v>
      </c>
      <c r="E446" s="213" t="s">
        <v>151</v>
      </c>
      <c r="F446" s="216" t="s">
        <v>156</v>
      </c>
      <c r="J446" s="217">
        <f t="shared" si="27"/>
        <v>168.8</v>
      </c>
      <c r="K446" s="58">
        <f t="shared" si="26"/>
        <v>1</v>
      </c>
    </row>
    <row r="447" spans="1:11" s="217" customFormat="1" ht="14.25" customHeight="1" x14ac:dyDescent="0.25">
      <c r="A447" s="214" t="s">
        <v>810</v>
      </c>
      <c r="B447" s="215" t="s">
        <v>809</v>
      </c>
      <c r="C447" s="213">
        <f>ROUNDUP('ITEM CRAFT'!E498/7,1)</f>
        <v>23</v>
      </c>
      <c r="D447" s="65">
        <f>ROUNDUP('ITEM CRAFT'!E498,1)</f>
        <v>160.6</v>
      </c>
      <c r="E447" s="213" t="s">
        <v>151</v>
      </c>
      <c r="F447" s="216" t="s">
        <v>156</v>
      </c>
      <c r="J447" s="217">
        <f t="shared" si="27"/>
        <v>23</v>
      </c>
      <c r="K447" s="58">
        <f t="shared" si="26"/>
        <v>1</v>
      </c>
    </row>
    <row r="448" spans="1:11" s="217" customFormat="1" ht="14.25" customHeight="1" x14ac:dyDescent="0.25">
      <c r="A448" s="214" t="s">
        <v>812</v>
      </c>
      <c r="B448" s="215" t="s">
        <v>811</v>
      </c>
      <c r="C448" s="213">
        <f>ROUNDUP('ITEM CRAFT'!E499/7,1)</f>
        <v>146.4</v>
      </c>
      <c r="D448" s="65">
        <f>ROUNDUP('ITEM CRAFT'!E499,1)</f>
        <v>1024.8</v>
      </c>
      <c r="E448" s="213" t="s">
        <v>151</v>
      </c>
      <c r="F448" s="216" t="s">
        <v>156</v>
      </c>
      <c r="J448" s="217">
        <f t="shared" si="27"/>
        <v>146.4</v>
      </c>
      <c r="K448" s="58">
        <f t="shared" si="26"/>
        <v>1</v>
      </c>
    </row>
    <row r="449" spans="1:11" s="217" customFormat="1" ht="14.25" customHeight="1" x14ac:dyDescent="0.25">
      <c r="A449" s="214" t="s">
        <v>814</v>
      </c>
      <c r="B449" s="215" t="s">
        <v>813</v>
      </c>
      <c r="C449" s="213">
        <f>ROUNDUP('ITEM CRAFT'!E500/7,1)</f>
        <v>22.5</v>
      </c>
      <c r="D449" s="65">
        <f>ROUNDUP('ITEM CRAFT'!E500,1)</f>
        <v>157.4</v>
      </c>
      <c r="E449" s="213" t="s">
        <v>151</v>
      </c>
      <c r="F449" s="216" t="s">
        <v>156</v>
      </c>
      <c r="J449" s="217">
        <f t="shared" si="27"/>
        <v>22.5</v>
      </c>
      <c r="K449" s="58">
        <f t="shared" si="26"/>
        <v>1</v>
      </c>
    </row>
    <row r="450" spans="1:11" s="217" customFormat="1" ht="14.25" customHeight="1" x14ac:dyDescent="0.25">
      <c r="A450" s="214" t="s">
        <v>816</v>
      </c>
      <c r="B450" s="215" t="s">
        <v>815</v>
      </c>
      <c r="C450" s="213">
        <f>ROUNDUP('ITEM CRAFT'!E501/7,1)</f>
        <v>20.8</v>
      </c>
      <c r="D450" s="65">
        <f>ROUNDUP('ITEM CRAFT'!E501,1)</f>
        <v>145.1</v>
      </c>
      <c r="E450" s="213" t="s">
        <v>151</v>
      </c>
      <c r="F450" s="216" t="s">
        <v>156</v>
      </c>
      <c r="J450" s="217">
        <f t="shared" si="27"/>
        <v>20.8</v>
      </c>
      <c r="K450" s="58">
        <f t="shared" si="26"/>
        <v>1</v>
      </c>
    </row>
    <row r="451" spans="1:11" s="217" customFormat="1" ht="14.25" customHeight="1" x14ac:dyDescent="0.25">
      <c r="A451" s="214" t="s">
        <v>818</v>
      </c>
      <c r="B451" s="215" t="s">
        <v>817</v>
      </c>
      <c r="C451" s="213">
        <f>ROUNDUP('ITEM CRAFT'!E502/7,1)</f>
        <v>171.29999999999998</v>
      </c>
      <c r="D451" s="65">
        <f>ROUNDUP('ITEM CRAFT'!E502,1)</f>
        <v>1199</v>
      </c>
      <c r="E451" s="213" t="s">
        <v>151</v>
      </c>
      <c r="F451" s="216" t="s">
        <v>156</v>
      </c>
      <c r="J451" s="217">
        <f t="shared" si="27"/>
        <v>171.3</v>
      </c>
      <c r="K451" s="58">
        <f t="shared" ref="K451:K501" si="28">COUNTIF(F451:I451,"*")</f>
        <v>1</v>
      </c>
    </row>
    <row r="452" spans="1:11" s="217" customFormat="1" ht="14.25" customHeight="1" x14ac:dyDescent="0.25">
      <c r="A452" s="214" t="s">
        <v>820</v>
      </c>
      <c r="B452" s="215" t="s">
        <v>819</v>
      </c>
      <c r="C452" s="213">
        <f>ROUNDUP('ITEM CRAFT'!E503/7,1)</f>
        <v>126.5</v>
      </c>
      <c r="D452" s="65">
        <f>ROUNDUP('ITEM CRAFT'!E503,1)</f>
        <v>885</v>
      </c>
      <c r="E452" s="213" t="s">
        <v>151</v>
      </c>
      <c r="F452" s="216" t="s">
        <v>156</v>
      </c>
      <c r="J452" s="217">
        <f t="shared" si="27"/>
        <v>126.5</v>
      </c>
      <c r="K452" s="58">
        <f t="shared" si="28"/>
        <v>1</v>
      </c>
    </row>
    <row r="453" spans="1:11" s="217" customFormat="1" ht="14.25" customHeight="1" x14ac:dyDescent="0.25">
      <c r="A453" s="214" t="s">
        <v>822</v>
      </c>
      <c r="B453" s="215" t="s">
        <v>821</v>
      </c>
      <c r="C453" s="213">
        <f>ROUNDUP('ITEM CRAFT'!E504/7,1)</f>
        <v>21.700000000000003</v>
      </c>
      <c r="D453" s="65">
        <f>ROUNDUP('ITEM CRAFT'!E504,1)</f>
        <v>151.29999999999998</v>
      </c>
      <c r="E453" s="213" t="s">
        <v>151</v>
      </c>
      <c r="F453" s="216" t="s">
        <v>156</v>
      </c>
      <c r="J453" s="217">
        <f t="shared" si="27"/>
        <v>21.7</v>
      </c>
      <c r="K453" s="58">
        <f t="shared" si="28"/>
        <v>1</v>
      </c>
    </row>
    <row r="454" spans="1:11" s="217" customFormat="1" ht="14.25" customHeight="1" x14ac:dyDescent="0.25">
      <c r="A454" s="214" t="s">
        <v>824</v>
      </c>
      <c r="B454" s="215" t="s">
        <v>823</v>
      </c>
      <c r="C454" s="213">
        <f>ROUNDUP('ITEM CRAFT'!E505/7,1)</f>
        <v>146.69999999999999</v>
      </c>
      <c r="D454" s="65">
        <f>ROUNDUP('ITEM CRAFT'!E505,1)</f>
        <v>1026.3</v>
      </c>
      <c r="E454" s="213" t="s">
        <v>151</v>
      </c>
      <c r="F454" s="216" t="s">
        <v>156</v>
      </c>
      <c r="J454" s="217">
        <f t="shared" si="27"/>
        <v>146.69999999999999</v>
      </c>
      <c r="K454" s="58">
        <f t="shared" si="28"/>
        <v>1</v>
      </c>
    </row>
    <row r="455" spans="1:11" s="217" customFormat="1" ht="14.25" customHeight="1" x14ac:dyDescent="0.25">
      <c r="A455" s="226" t="s">
        <v>826</v>
      </c>
      <c r="B455" s="219" t="s">
        <v>825</v>
      </c>
      <c r="C455" s="213">
        <f>ROUNDUP('ITEM CRAFT'!E506/7,1)</f>
        <v>93.6</v>
      </c>
      <c r="D455" s="65">
        <f>ROUNDUP('ITEM CRAFT'!E506,1)</f>
        <v>654.6</v>
      </c>
      <c r="E455" s="213" t="s">
        <v>151</v>
      </c>
      <c r="F455" s="216" t="s">
        <v>156</v>
      </c>
      <c r="J455" s="217">
        <f t="shared" si="27"/>
        <v>93.6</v>
      </c>
      <c r="K455" s="58">
        <f t="shared" si="28"/>
        <v>1</v>
      </c>
    </row>
    <row r="456" spans="1:11" s="217" customFormat="1" ht="14.25" customHeight="1" x14ac:dyDescent="0.25">
      <c r="A456" s="214" t="s">
        <v>828</v>
      </c>
      <c r="B456" s="215" t="s">
        <v>827</v>
      </c>
      <c r="C456" s="213">
        <f>ROUNDUP('ITEM CRAFT'!E507/7,1)</f>
        <v>83.1</v>
      </c>
      <c r="D456" s="65">
        <f>ROUNDUP('ITEM CRAFT'!E507,1)</f>
        <v>581.4</v>
      </c>
      <c r="E456" s="213" t="s">
        <v>151</v>
      </c>
      <c r="F456" s="216" t="s">
        <v>156</v>
      </c>
      <c r="J456" s="217">
        <f t="shared" si="27"/>
        <v>83.1</v>
      </c>
      <c r="K456" s="58">
        <f t="shared" si="28"/>
        <v>1</v>
      </c>
    </row>
    <row r="457" spans="1:11" s="217" customFormat="1" ht="14.25" customHeight="1" x14ac:dyDescent="0.25">
      <c r="A457" s="214" t="s">
        <v>830</v>
      </c>
      <c r="B457" s="215" t="s">
        <v>829</v>
      </c>
      <c r="C457" s="213">
        <f>ROUNDUP('ITEM CRAFT'!E508/7,1)</f>
        <v>168</v>
      </c>
      <c r="D457" s="65">
        <f>ROUNDUP('ITEM CRAFT'!E508,1)</f>
        <v>1175.3999999999999</v>
      </c>
      <c r="E457" s="213" t="s">
        <v>151</v>
      </c>
      <c r="F457" s="216" t="s">
        <v>156</v>
      </c>
      <c r="J457" s="217">
        <f t="shared" si="27"/>
        <v>168</v>
      </c>
      <c r="K457" s="58">
        <f t="shared" si="28"/>
        <v>1</v>
      </c>
    </row>
    <row r="458" spans="1:11" s="217" customFormat="1" ht="14.25" customHeight="1" x14ac:dyDescent="0.25">
      <c r="A458" s="218" t="s">
        <v>832</v>
      </c>
      <c r="B458" s="225" t="s">
        <v>831</v>
      </c>
      <c r="C458" s="213">
        <f>ROUNDUP('ITEM CRAFT'!E509/7,1)</f>
        <v>31.1</v>
      </c>
      <c r="D458" s="65">
        <f>ROUNDUP('ITEM CRAFT'!E509,1)</f>
        <v>217.7</v>
      </c>
      <c r="E458" s="213" t="s">
        <v>151</v>
      </c>
      <c r="F458" s="216" t="s">
        <v>156</v>
      </c>
      <c r="J458" s="217">
        <f t="shared" si="27"/>
        <v>31.1</v>
      </c>
      <c r="K458" s="58">
        <f t="shared" si="28"/>
        <v>1</v>
      </c>
    </row>
    <row r="459" spans="1:11" s="217" customFormat="1" ht="14.25" customHeight="1" x14ac:dyDescent="0.25">
      <c r="A459" s="218" t="s">
        <v>834</v>
      </c>
      <c r="B459" s="225" t="s">
        <v>833</v>
      </c>
      <c r="C459" s="213">
        <f>ROUNDUP('ITEM CRAFT'!E510/7,1)</f>
        <v>179.29999999999998</v>
      </c>
      <c r="D459" s="65">
        <f>ROUNDUP('ITEM CRAFT'!E510,1)</f>
        <v>1254.6999999999998</v>
      </c>
      <c r="E459" s="213" t="s">
        <v>151</v>
      </c>
      <c r="F459" s="216" t="s">
        <v>156</v>
      </c>
      <c r="J459" s="217">
        <f t="shared" si="27"/>
        <v>179.3</v>
      </c>
      <c r="K459" s="58">
        <f t="shared" si="28"/>
        <v>1</v>
      </c>
    </row>
    <row r="460" spans="1:11" s="217" customFormat="1" ht="14.25" customHeight="1" x14ac:dyDescent="0.25">
      <c r="A460" s="218" t="s">
        <v>836</v>
      </c>
      <c r="B460" s="225" t="s">
        <v>835</v>
      </c>
      <c r="C460" s="213">
        <f>ROUNDUP('ITEM CRAFT'!E511/7,1)</f>
        <v>30.6</v>
      </c>
      <c r="D460" s="65">
        <f>ROUNDUP('ITEM CRAFT'!E511,1)</f>
        <v>213.79999999999998</v>
      </c>
      <c r="E460" s="213" t="s">
        <v>151</v>
      </c>
      <c r="F460" s="216" t="s">
        <v>156</v>
      </c>
      <c r="J460" s="217">
        <f t="shared" si="27"/>
        <v>30.6</v>
      </c>
      <c r="K460" s="58">
        <f t="shared" si="28"/>
        <v>1</v>
      </c>
    </row>
    <row r="461" spans="1:11" s="217" customFormat="1" ht="14.25" customHeight="1" x14ac:dyDescent="0.25">
      <c r="A461" s="218" t="s">
        <v>838</v>
      </c>
      <c r="B461" s="225" t="s">
        <v>837</v>
      </c>
      <c r="C461" s="213">
        <f>ROUNDUP('ITEM CRAFT'!E512/7,1)</f>
        <v>29.5</v>
      </c>
      <c r="D461" s="65">
        <f>ROUNDUP('ITEM CRAFT'!E512,1)</f>
        <v>206.5</v>
      </c>
      <c r="E461" s="213" t="s">
        <v>151</v>
      </c>
      <c r="F461" s="216" t="s">
        <v>156</v>
      </c>
      <c r="J461" s="217">
        <f t="shared" si="27"/>
        <v>29.5</v>
      </c>
      <c r="K461" s="58">
        <f t="shared" si="28"/>
        <v>1</v>
      </c>
    </row>
    <row r="462" spans="1:11" s="217" customFormat="1" ht="14.25" customHeight="1" x14ac:dyDescent="0.25">
      <c r="A462" s="214">
        <v>374</v>
      </c>
      <c r="B462" s="215" t="s">
        <v>839</v>
      </c>
      <c r="C462" s="213">
        <f>ROUNDUP('ITEM CRAFT'!E513/7,1)</f>
        <v>6.8</v>
      </c>
      <c r="D462" s="65">
        <f>ROUNDUP('ITEM CRAFT'!E513,1)</f>
        <v>47.6</v>
      </c>
      <c r="E462" s="213" t="s">
        <v>151</v>
      </c>
      <c r="F462" s="216" t="s">
        <v>156</v>
      </c>
      <c r="J462" s="217">
        <f t="shared" si="27"/>
        <v>6.8</v>
      </c>
      <c r="K462" s="58">
        <f t="shared" si="28"/>
        <v>1</v>
      </c>
    </row>
    <row r="463" spans="1:11" s="217" customFormat="1" ht="14.25" customHeight="1" x14ac:dyDescent="0.25">
      <c r="A463" s="214">
        <v>376</v>
      </c>
      <c r="B463" s="215" t="s">
        <v>841</v>
      </c>
      <c r="C463" s="213">
        <f>ROUNDUP('ITEM CRAFT'!E515/7,1)</f>
        <v>83.5</v>
      </c>
      <c r="D463" s="65">
        <f>ROUNDUP('ITEM CRAFT'!E515,1)</f>
        <v>584.1</v>
      </c>
      <c r="E463" s="213" t="s">
        <v>151</v>
      </c>
      <c r="F463" s="216" t="s">
        <v>156</v>
      </c>
      <c r="J463" s="217">
        <f t="shared" si="27"/>
        <v>83.5</v>
      </c>
      <c r="K463" s="58">
        <f t="shared" si="28"/>
        <v>1</v>
      </c>
    </row>
    <row r="464" spans="1:11" s="217" customFormat="1" ht="14.25" customHeight="1" x14ac:dyDescent="0.25">
      <c r="A464" s="214">
        <v>377</v>
      </c>
      <c r="B464" s="215" t="s">
        <v>842</v>
      </c>
      <c r="C464" s="213">
        <f>ROUNDUP('ITEM CRAFT'!E516/7,1)</f>
        <v>1.2000000000000002</v>
      </c>
      <c r="D464" s="65">
        <f>ROUNDUP('ITEM CRAFT'!E516,1)</f>
        <v>8.1</v>
      </c>
      <c r="E464" s="213" t="s">
        <v>151</v>
      </c>
      <c r="F464" s="216" t="s">
        <v>156</v>
      </c>
      <c r="J464" s="217">
        <f t="shared" si="27"/>
        <v>1.2</v>
      </c>
      <c r="K464" s="58">
        <f t="shared" si="28"/>
        <v>1</v>
      </c>
    </row>
    <row r="465" spans="1:11" s="217" customFormat="1" ht="14.25" customHeight="1" x14ac:dyDescent="0.25">
      <c r="A465" s="214">
        <v>378</v>
      </c>
      <c r="B465" s="215" t="s">
        <v>843</v>
      </c>
      <c r="C465" s="213">
        <f>ROUNDUP('ITEM CRAFT'!E517/7,1)</f>
        <v>1.7000000000000002</v>
      </c>
      <c r="D465" s="65">
        <f>ROUNDUP('ITEM CRAFT'!E517,1)</f>
        <v>11.7</v>
      </c>
      <c r="E465" s="213" t="s">
        <v>151</v>
      </c>
      <c r="F465" s="216" t="s">
        <v>156</v>
      </c>
      <c r="J465" s="217">
        <f t="shared" si="27"/>
        <v>1.7</v>
      </c>
      <c r="K465" s="58">
        <f t="shared" si="28"/>
        <v>1</v>
      </c>
    </row>
    <row r="466" spans="1:11" s="217" customFormat="1" ht="14.25" customHeight="1" x14ac:dyDescent="0.25">
      <c r="A466" s="214">
        <v>379</v>
      </c>
      <c r="B466" s="215" t="s">
        <v>844</v>
      </c>
      <c r="C466" s="213">
        <f>ROUNDUP('ITEM CRAFT'!E518/7,1)</f>
        <v>3.9</v>
      </c>
      <c r="D466" s="65">
        <f>ROUNDUP('ITEM CRAFT'!E518,1)</f>
        <v>27</v>
      </c>
      <c r="E466" s="213" t="s">
        <v>151</v>
      </c>
      <c r="F466" s="216" t="s">
        <v>156</v>
      </c>
      <c r="G466" s="217" t="s">
        <v>154</v>
      </c>
      <c r="J466" s="217">
        <f t="shared" si="27"/>
        <v>2</v>
      </c>
      <c r="K466" s="58">
        <f t="shared" si="28"/>
        <v>2</v>
      </c>
    </row>
    <row r="467" spans="1:11" s="197" customFormat="1" ht="14.25" customHeight="1" x14ac:dyDescent="0.25">
      <c r="A467" s="195">
        <v>380</v>
      </c>
      <c r="B467" s="196" t="s">
        <v>845</v>
      </c>
      <c r="C467" s="194">
        <f>ROUNDUP('ITEM CRAFT'!E519/7,1)</f>
        <v>960</v>
      </c>
      <c r="D467" s="59">
        <f>ROUNDUP('ITEM CRAFT'!E519,1)</f>
        <v>6720</v>
      </c>
      <c r="E467" s="194" t="s">
        <v>152</v>
      </c>
      <c r="F467" s="192" t="s">
        <v>156</v>
      </c>
      <c r="G467" s="197" t="s">
        <v>154</v>
      </c>
      <c r="J467" s="197">
        <f t="shared" si="27"/>
        <v>480</v>
      </c>
      <c r="K467" s="191">
        <f t="shared" si="28"/>
        <v>2</v>
      </c>
    </row>
    <row r="468" spans="1:11" s="217" customFormat="1" ht="14.25" customHeight="1" x14ac:dyDescent="0.25">
      <c r="A468" s="214">
        <v>381</v>
      </c>
      <c r="B468" s="215" t="s">
        <v>846</v>
      </c>
      <c r="C468" s="213">
        <f>ROUNDUP('ITEM CRAFT'!E520/7,1)</f>
        <v>6.1</v>
      </c>
      <c r="D468" s="65">
        <f>ROUNDUP('ITEM CRAFT'!E520,1)</f>
        <v>42.2</v>
      </c>
      <c r="E468" s="213" t="s">
        <v>151</v>
      </c>
      <c r="F468" s="216" t="s">
        <v>156</v>
      </c>
      <c r="J468" s="217">
        <f t="shared" si="27"/>
        <v>6.1</v>
      </c>
      <c r="K468" s="58">
        <f t="shared" si="28"/>
        <v>1</v>
      </c>
    </row>
    <row r="469" spans="1:11" s="217" customFormat="1" ht="14.25" customHeight="1" x14ac:dyDescent="0.25">
      <c r="A469" s="214">
        <v>382</v>
      </c>
      <c r="B469" s="215" t="s">
        <v>847</v>
      </c>
      <c r="C469" s="213">
        <f>ROUNDUP('ITEM CRAFT'!E521/7,1)</f>
        <v>25.5</v>
      </c>
      <c r="D469" s="65">
        <f>ROUNDUP('ITEM CRAFT'!E521,1)</f>
        <v>177.9</v>
      </c>
      <c r="E469" s="213" t="s">
        <v>151</v>
      </c>
      <c r="F469" s="216" t="s">
        <v>156</v>
      </c>
      <c r="J469" s="217">
        <f t="shared" si="27"/>
        <v>25.5</v>
      </c>
      <c r="K469" s="58">
        <f t="shared" si="28"/>
        <v>1</v>
      </c>
    </row>
    <row r="470" spans="1:11" s="147" customFormat="1" ht="14.25" customHeight="1" x14ac:dyDescent="0.25">
      <c r="A470" s="151">
        <v>384</v>
      </c>
      <c r="B470" s="152" t="s">
        <v>848</v>
      </c>
      <c r="C470" s="158">
        <f>ROUNDUP('ITEM CRAFT'!E522/7,1)</f>
        <v>0</v>
      </c>
      <c r="D470" s="159">
        <f>ROUNDUP('ITEM CRAFT'!E522,1)</f>
        <v>0</v>
      </c>
      <c r="E470" s="158"/>
      <c r="F470" s="168" t="s">
        <v>156</v>
      </c>
      <c r="J470" s="147">
        <f t="shared" si="27"/>
        <v>0</v>
      </c>
      <c r="K470" s="150">
        <f t="shared" si="28"/>
        <v>1</v>
      </c>
    </row>
    <row r="471" spans="1:11" s="147" customFormat="1" ht="14.25" customHeight="1" x14ac:dyDescent="0.25">
      <c r="A471" s="145">
        <v>385</v>
      </c>
      <c r="B471" s="146" t="s">
        <v>849</v>
      </c>
      <c r="C471" s="158">
        <f>ROUNDUP('ITEM CRAFT'!E523/7,1)</f>
        <v>5.1999999999999993</v>
      </c>
      <c r="D471" s="159">
        <f>ROUNDUP('ITEM CRAFT'!E523,1)</f>
        <v>36.200000000000003</v>
      </c>
      <c r="E471" s="158"/>
      <c r="F471" s="168" t="s">
        <v>156</v>
      </c>
      <c r="J471" s="147">
        <f t="shared" si="27"/>
        <v>5.2</v>
      </c>
      <c r="K471" s="150">
        <f t="shared" si="28"/>
        <v>1</v>
      </c>
    </row>
    <row r="472" spans="1:11" s="205" customFormat="1" ht="14.25" customHeight="1" x14ac:dyDescent="0.25">
      <c r="A472" s="202">
        <v>386</v>
      </c>
      <c r="B472" s="203" t="s">
        <v>850</v>
      </c>
      <c r="C472" s="201">
        <f>ROUNDUP('ITEM CRAFT'!E524/7,1)</f>
        <v>704.1</v>
      </c>
      <c r="D472" s="63">
        <f>ROUNDUP('ITEM CRAFT'!E524,1)</f>
        <v>4928.6000000000004</v>
      </c>
      <c r="E472" s="201" t="s">
        <v>150</v>
      </c>
      <c r="F472" s="204" t="s">
        <v>156</v>
      </c>
      <c r="J472" s="205">
        <f t="shared" si="27"/>
        <v>704.1</v>
      </c>
      <c r="K472" s="56">
        <f t="shared" si="28"/>
        <v>1</v>
      </c>
    </row>
    <row r="473" spans="1:11" s="235" customFormat="1" ht="14.25" customHeight="1" x14ac:dyDescent="0.25">
      <c r="A473" s="232">
        <v>389</v>
      </c>
      <c r="B473" s="233" t="s">
        <v>852</v>
      </c>
      <c r="C473" s="230">
        <f>ROUNDUP('ITEM CRAFT'!E526/7,1)</f>
        <v>317.8</v>
      </c>
      <c r="D473" s="231">
        <f>ROUNDUP('ITEM CRAFT'!E526,1)</f>
        <v>2224</v>
      </c>
      <c r="E473" s="230" t="s">
        <v>160</v>
      </c>
      <c r="F473" s="234" t="s">
        <v>156</v>
      </c>
      <c r="J473" s="235">
        <f t="shared" si="27"/>
        <v>317.8</v>
      </c>
      <c r="K473" s="236">
        <f t="shared" si="28"/>
        <v>1</v>
      </c>
    </row>
    <row r="474" spans="1:11" s="217" customFormat="1" ht="14.25" customHeight="1" x14ac:dyDescent="0.25">
      <c r="A474" s="214">
        <v>390</v>
      </c>
      <c r="B474" s="215" t="s">
        <v>853</v>
      </c>
      <c r="C474" s="213">
        <f>ROUNDUP('ITEM CRAFT'!E527/7,1)</f>
        <v>9.2999999999999989</v>
      </c>
      <c r="D474" s="65">
        <f>ROUNDUP('ITEM CRAFT'!E527,1)</f>
        <v>64.8</v>
      </c>
      <c r="E474" s="213" t="s">
        <v>151</v>
      </c>
      <c r="F474" s="216" t="s">
        <v>156</v>
      </c>
      <c r="G474" s="217" t="s">
        <v>154</v>
      </c>
      <c r="J474" s="217">
        <f t="shared" si="27"/>
        <v>4.6999999999999993</v>
      </c>
      <c r="K474" s="58">
        <f t="shared" si="28"/>
        <v>2</v>
      </c>
    </row>
    <row r="475" spans="1:11" s="58" customFormat="1" ht="14.25" customHeight="1" x14ac:dyDescent="0.25">
      <c r="A475" s="214">
        <v>392</v>
      </c>
      <c r="B475" s="215" t="s">
        <v>134</v>
      </c>
      <c r="C475" s="213">
        <f>ROUNDUP('ITEM CRAFT'!E529/7,1)</f>
        <v>12.299999999999999</v>
      </c>
      <c r="D475" s="65">
        <f>ROUNDUP('ITEM CRAFT'!E529,1)</f>
        <v>86</v>
      </c>
      <c r="E475" s="213" t="s">
        <v>151</v>
      </c>
      <c r="F475" s="216" t="s">
        <v>153</v>
      </c>
      <c r="G475" s="217" t="s">
        <v>157</v>
      </c>
      <c r="H475" s="217"/>
      <c r="I475" s="217"/>
      <c r="J475" s="217">
        <f t="shared" si="27"/>
        <v>6.1999999999999993</v>
      </c>
      <c r="K475" s="58">
        <f t="shared" si="28"/>
        <v>2</v>
      </c>
    </row>
    <row r="476" spans="1:11" s="205" customFormat="1" ht="14.25" customHeight="1" x14ac:dyDescent="0.25">
      <c r="A476" s="202">
        <v>395</v>
      </c>
      <c r="B476" s="203" t="s">
        <v>857</v>
      </c>
      <c r="C476" s="201">
        <f>ROUNDUP('ITEM CRAFT'!E532/7,1)</f>
        <v>1365.8</v>
      </c>
      <c r="D476" s="63">
        <f>ROUNDUP('ITEM CRAFT'!E532,1)</f>
        <v>9560.2000000000007</v>
      </c>
      <c r="E476" s="201" t="s">
        <v>150</v>
      </c>
      <c r="F476" s="204" t="s">
        <v>156</v>
      </c>
      <c r="J476" s="205">
        <f t="shared" si="27"/>
        <v>1365.8</v>
      </c>
      <c r="K476" s="56">
        <f t="shared" si="28"/>
        <v>1</v>
      </c>
    </row>
    <row r="477" spans="1:11" s="217" customFormat="1" ht="14.25" customHeight="1" x14ac:dyDescent="0.25">
      <c r="A477" s="214">
        <v>396</v>
      </c>
      <c r="B477" s="215" t="s">
        <v>858</v>
      </c>
      <c r="C477" s="213">
        <f>ROUNDUP('ITEM CRAFT'!E533/7,1)</f>
        <v>87.8</v>
      </c>
      <c r="D477" s="65">
        <f>ROUNDUP('ITEM CRAFT'!E533,1)</f>
        <v>614.4</v>
      </c>
      <c r="E477" s="213" t="s">
        <v>151</v>
      </c>
      <c r="F477" s="216" t="s">
        <v>156</v>
      </c>
      <c r="J477" s="217">
        <f t="shared" si="27"/>
        <v>87.8</v>
      </c>
      <c r="K477" s="58">
        <f t="shared" si="28"/>
        <v>1</v>
      </c>
    </row>
    <row r="478" spans="1:11" s="217" customFormat="1" ht="14.25" customHeight="1" x14ac:dyDescent="0.25">
      <c r="A478" s="214">
        <v>398</v>
      </c>
      <c r="B478" s="215" t="s">
        <v>964</v>
      </c>
      <c r="C478" s="213">
        <f>ROUNDUP('ITEM CRAFT'!E534/7,1)</f>
        <v>75.5</v>
      </c>
      <c r="D478" s="65">
        <f>ROUNDUP('ITEM CRAFT'!E534,1)</f>
        <v>528.20000000000005</v>
      </c>
      <c r="E478" s="213" t="s">
        <v>151</v>
      </c>
      <c r="F478" s="216" t="s">
        <v>156</v>
      </c>
      <c r="J478" s="217">
        <f t="shared" si="27"/>
        <v>75.5</v>
      </c>
      <c r="K478" s="58">
        <f t="shared" si="28"/>
        <v>1</v>
      </c>
    </row>
    <row r="479" spans="1:11" s="217" customFormat="1" ht="14.25" customHeight="1" x14ac:dyDescent="0.25">
      <c r="A479" s="214">
        <v>400</v>
      </c>
      <c r="B479" s="215" t="s">
        <v>860</v>
      </c>
      <c r="C479" s="213">
        <f>ROUNDUP('ITEM CRAFT'!E536/7,1)</f>
        <v>254.5</v>
      </c>
      <c r="D479" s="65">
        <f>ROUNDUP('ITEM CRAFT'!E536,1)</f>
        <v>1781.1999999999998</v>
      </c>
      <c r="E479" s="213" t="s">
        <v>151</v>
      </c>
      <c r="F479" s="216" t="s">
        <v>156</v>
      </c>
      <c r="J479" s="217">
        <f t="shared" si="27"/>
        <v>254.5</v>
      </c>
      <c r="K479" s="58">
        <f t="shared" si="28"/>
        <v>1</v>
      </c>
    </row>
    <row r="480" spans="1:11" s="205" customFormat="1" ht="14.25" customHeight="1" x14ac:dyDescent="0.25">
      <c r="A480" s="202">
        <v>401</v>
      </c>
      <c r="B480" s="203" t="s">
        <v>861</v>
      </c>
      <c r="C480" s="201">
        <f>ROUNDUP('ITEM CRAFT'!E537/7,1)</f>
        <v>90.699999999999989</v>
      </c>
      <c r="D480" s="63">
        <f>ROUNDUP('ITEM CRAFT'!E537,1)</f>
        <v>634.4</v>
      </c>
      <c r="E480" s="201" t="s">
        <v>150</v>
      </c>
      <c r="F480" s="204" t="s">
        <v>156</v>
      </c>
      <c r="J480" s="205">
        <f t="shared" si="27"/>
        <v>90.7</v>
      </c>
      <c r="K480" s="56">
        <f t="shared" si="28"/>
        <v>1</v>
      </c>
    </row>
    <row r="481" spans="1:11" s="205" customFormat="1" ht="14.25" customHeight="1" x14ac:dyDescent="0.25">
      <c r="A481" s="202">
        <v>402</v>
      </c>
      <c r="B481" s="203" t="s">
        <v>862</v>
      </c>
      <c r="C481" s="201">
        <f>ROUNDUP('ITEM CRAFT'!E538/7,1)</f>
        <v>0</v>
      </c>
      <c r="D481" s="63">
        <f>ROUNDUP('ITEM CRAFT'!E538,1)</f>
        <v>0</v>
      </c>
      <c r="E481" s="201" t="s">
        <v>150</v>
      </c>
      <c r="F481" s="204" t="s">
        <v>156</v>
      </c>
      <c r="J481" s="205">
        <f t="shared" ref="J481:J521" si="29">ROUNDUP(C481/K481,1)</f>
        <v>0</v>
      </c>
      <c r="K481" s="56">
        <f t="shared" si="28"/>
        <v>1</v>
      </c>
    </row>
    <row r="482" spans="1:11" s="147" customFormat="1" ht="14.25" customHeight="1" x14ac:dyDescent="0.25">
      <c r="A482" s="151">
        <v>403</v>
      </c>
      <c r="B482" s="152" t="s">
        <v>863</v>
      </c>
      <c r="C482" s="158">
        <f>ROUNDUP('ITEM CRAFT'!E539/7,1)</f>
        <v>0</v>
      </c>
      <c r="D482" s="159">
        <f>ROUNDUP('ITEM CRAFT'!E539,1)</f>
        <v>0</v>
      </c>
      <c r="E482" s="158"/>
      <c r="F482" s="168" t="s">
        <v>156</v>
      </c>
      <c r="J482" s="147">
        <f t="shared" si="29"/>
        <v>0</v>
      </c>
      <c r="K482" s="150">
        <f t="shared" si="28"/>
        <v>1</v>
      </c>
    </row>
    <row r="483" spans="1:11" s="197" customFormat="1" ht="14.25" customHeight="1" x14ac:dyDescent="0.25">
      <c r="A483" s="195">
        <v>404</v>
      </c>
      <c r="B483" s="196" t="s">
        <v>864</v>
      </c>
      <c r="C483" s="194">
        <f>ROUNDUP('ITEM CRAFT'!E540/7,1)</f>
        <v>14.6</v>
      </c>
      <c r="D483" s="59">
        <f>ROUNDUP('ITEM CRAFT'!E540,1)</f>
        <v>102.19999999999999</v>
      </c>
      <c r="E483" s="194" t="s">
        <v>152</v>
      </c>
      <c r="F483" s="192" t="s">
        <v>156</v>
      </c>
      <c r="J483" s="197">
        <f t="shared" si="29"/>
        <v>14.6</v>
      </c>
      <c r="K483" s="191">
        <f t="shared" si="28"/>
        <v>1</v>
      </c>
    </row>
    <row r="484" spans="1:11" s="191" customFormat="1" ht="14.25" customHeight="1" x14ac:dyDescent="0.25">
      <c r="A484" s="195">
        <v>406</v>
      </c>
      <c r="B484" s="196" t="s">
        <v>866</v>
      </c>
      <c r="C484" s="194">
        <f>ROUNDUP('ITEM CRAFT'!E542/7,1)</f>
        <v>2.8000000000000003</v>
      </c>
      <c r="D484" s="59">
        <f>ROUNDUP('ITEM CRAFT'!E542,1)</f>
        <v>19</v>
      </c>
      <c r="E484" s="194" t="s">
        <v>152</v>
      </c>
      <c r="F484" s="192" t="s">
        <v>157</v>
      </c>
      <c r="G484" s="197"/>
      <c r="H484" s="197"/>
      <c r="I484" s="197"/>
      <c r="J484" s="197">
        <f t="shared" si="29"/>
        <v>2.8</v>
      </c>
      <c r="K484" s="191">
        <f t="shared" si="28"/>
        <v>1</v>
      </c>
    </row>
    <row r="485" spans="1:11" s="147" customFormat="1" ht="14.25" customHeight="1" x14ac:dyDescent="0.25">
      <c r="A485" s="145">
        <v>407</v>
      </c>
      <c r="B485" s="146" t="s">
        <v>867</v>
      </c>
      <c r="C485" s="158">
        <f>ROUNDUP('ITEM CRAFT'!E543/7,1)</f>
        <v>847.4</v>
      </c>
      <c r="D485" s="159">
        <f>ROUNDUP('ITEM CRAFT'!E543,1)</f>
        <v>5931.4000000000005</v>
      </c>
      <c r="E485" s="158"/>
      <c r="F485" s="168" t="s">
        <v>156</v>
      </c>
      <c r="G485" s="147" t="s">
        <v>154</v>
      </c>
      <c r="J485" s="147">
        <f t="shared" si="29"/>
        <v>423.7</v>
      </c>
      <c r="K485" s="150">
        <f t="shared" si="28"/>
        <v>2</v>
      </c>
    </row>
    <row r="486" spans="1:11" s="197" customFormat="1" ht="14.25" customHeight="1" x14ac:dyDescent="0.25">
      <c r="A486" s="195">
        <v>408</v>
      </c>
      <c r="B486" s="196" t="s">
        <v>868</v>
      </c>
      <c r="C486" s="194">
        <f>ROUNDUP('ITEM CRAFT'!E544/7,1)</f>
        <v>1648.1</v>
      </c>
      <c r="D486" s="59">
        <f>ROUNDUP('ITEM CRAFT'!E544,1)</f>
        <v>11536.6</v>
      </c>
      <c r="E486" s="194" t="s">
        <v>152</v>
      </c>
      <c r="F486" s="192" t="s">
        <v>156</v>
      </c>
      <c r="J486" s="197">
        <f t="shared" si="29"/>
        <v>1648.1</v>
      </c>
      <c r="K486" s="191">
        <f t="shared" si="28"/>
        <v>1</v>
      </c>
    </row>
    <row r="487" spans="1:11" s="147" customFormat="1" ht="14.25" customHeight="1" x14ac:dyDescent="0.25">
      <c r="A487" s="148">
        <v>409</v>
      </c>
      <c r="B487" s="149" t="s">
        <v>869</v>
      </c>
      <c r="C487" s="158">
        <f>ROUNDUP('ITEM CRAFT'!E545/7,1)</f>
        <v>2.8000000000000003</v>
      </c>
      <c r="D487" s="159">
        <f>ROUNDUP('ITEM CRAFT'!E545,1)</f>
        <v>19</v>
      </c>
      <c r="E487" s="158"/>
      <c r="F487" s="168" t="s">
        <v>156</v>
      </c>
      <c r="J487" s="147">
        <f t="shared" si="29"/>
        <v>2.8</v>
      </c>
      <c r="K487" s="150">
        <f t="shared" si="28"/>
        <v>1</v>
      </c>
    </row>
    <row r="488" spans="1:11" s="147" customFormat="1" ht="14.25" customHeight="1" x14ac:dyDescent="0.25">
      <c r="A488" s="148">
        <v>410</v>
      </c>
      <c r="B488" s="149" t="s">
        <v>870</v>
      </c>
      <c r="C488" s="158">
        <f>ROUNDUP('ITEM CRAFT'!E546/7,1)</f>
        <v>2.8000000000000003</v>
      </c>
      <c r="D488" s="159">
        <f>ROUNDUP('ITEM CRAFT'!E546,1)</f>
        <v>19</v>
      </c>
      <c r="E488" s="158"/>
      <c r="F488" s="168" t="s">
        <v>156</v>
      </c>
      <c r="J488" s="147">
        <f t="shared" si="29"/>
        <v>2.8</v>
      </c>
      <c r="K488" s="150">
        <f t="shared" si="28"/>
        <v>1</v>
      </c>
    </row>
    <row r="489" spans="1:11" s="236" customFormat="1" ht="14.25" customHeight="1" x14ac:dyDescent="0.25">
      <c r="A489" s="239">
        <v>411</v>
      </c>
      <c r="B489" s="240" t="s">
        <v>871</v>
      </c>
      <c r="C489" s="230">
        <f>ROUNDUP('ITEM CRAFT'!E547/7,1)</f>
        <v>55.1</v>
      </c>
      <c r="D489" s="231">
        <f>ROUNDUP('ITEM CRAFT'!E547,1)</f>
        <v>385.5</v>
      </c>
      <c r="E489" s="230" t="s">
        <v>160</v>
      </c>
      <c r="F489" s="234" t="s">
        <v>157</v>
      </c>
      <c r="G489" s="235"/>
      <c r="H489" s="235"/>
      <c r="I489" s="235"/>
      <c r="J489" s="235">
        <f t="shared" si="29"/>
        <v>55.1</v>
      </c>
      <c r="K489" s="236">
        <f t="shared" si="28"/>
        <v>1</v>
      </c>
    </row>
    <row r="490" spans="1:11" s="235" customFormat="1" ht="14.25" customHeight="1" x14ac:dyDescent="0.25">
      <c r="A490" s="239">
        <v>412</v>
      </c>
      <c r="B490" s="240" t="s">
        <v>872</v>
      </c>
      <c r="C490" s="230">
        <f>ROUNDUP('ITEM CRAFT'!E548/7,1)</f>
        <v>66.099999999999994</v>
      </c>
      <c r="D490" s="231">
        <f>ROUNDUP('ITEM CRAFT'!E548,1)</f>
        <v>462.6</v>
      </c>
      <c r="E490" s="230" t="s">
        <v>160</v>
      </c>
      <c r="F490" s="234" t="s">
        <v>156</v>
      </c>
      <c r="G490" s="235" t="s">
        <v>155</v>
      </c>
      <c r="J490" s="235">
        <f t="shared" si="29"/>
        <v>33.1</v>
      </c>
      <c r="K490" s="236">
        <f t="shared" si="28"/>
        <v>2</v>
      </c>
    </row>
    <row r="491" spans="1:11" s="217" customFormat="1" ht="14.25" customHeight="1" x14ac:dyDescent="0.25">
      <c r="A491" s="226">
        <v>413</v>
      </c>
      <c r="B491" s="219" t="s">
        <v>873</v>
      </c>
      <c r="C491" s="213">
        <f>ROUNDUP('ITEM CRAFT'!E549/7,1)</f>
        <v>331.90000000000003</v>
      </c>
      <c r="D491" s="65">
        <f>ROUNDUP('ITEM CRAFT'!E549,1)</f>
        <v>2323</v>
      </c>
      <c r="E491" s="213" t="s">
        <v>151</v>
      </c>
      <c r="F491" s="216" t="s">
        <v>156</v>
      </c>
      <c r="J491" s="217">
        <f t="shared" ref="J491" si="30">ROUNDUP(C491/K491,1)</f>
        <v>331.9</v>
      </c>
      <c r="K491" s="58">
        <f t="shared" ref="K491" si="31">COUNTIF(F491:I491,"*")</f>
        <v>1</v>
      </c>
    </row>
    <row r="492" spans="1:11" s="205" customFormat="1" ht="14.25" customHeight="1" x14ac:dyDescent="0.25">
      <c r="A492" s="208">
        <v>416</v>
      </c>
      <c r="B492" s="209" t="s">
        <v>876</v>
      </c>
      <c r="C492" s="201">
        <f>ROUNDUP('ITEM CRAFT'!E552/7,1)</f>
        <v>0.79999999999999993</v>
      </c>
      <c r="D492" s="63">
        <f>ROUNDUP('ITEM CRAFT'!E552,1)</f>
        <v>5.1999999999999993</v>
      </c>
      <c r="E492" s="201" t="s">
        <v>150</v>
      </c>
      <c r="F492" s="204" t="s">
        <v>156</v>
      </c>
      <c r="J492" s="205">
        <f t="shared" si="29"/>
        <v>0.8</v>
      </c>
      <c r="K492" s="56">
        <f t="shared" si="28"/>
        <v>1</v>
      </c>
    </row>
    <row r="493" spans="1:11" s="147" customFormat="1" ht="14.25" customHeight="1" x14ac:dyDescent="0.25">
      <c r="A493" s="145">
        <v>420</v>
      </c>
      <c r="B493" s="146" t="s">
        <v>880</v>
      </c>
      <c r="C493" s="158">
        <f>ROUNDUP('ITEM CRAFT'!E556/7,1)</f>
        <v>3</v>
      </c>
      <c r="D493" s="159">
        <f>ROUNDUP('ITEM CRAFT'!E556,1)</f>
        <v>20.7</v>
      </c>
      <c r="E493" s="158"/>
      <c r="F493" s="168" t="s">
        <v>156</v>
      </c>
      <c r="J493" s="147">
        <f t="shared" si="29"/>
        <v>3</v>
      </c>
      <c r="K493" s="150">
        <f t="shared" si="28"/>
        <v>1</v>
      </c>
    </row>
    <row r="494" spans="1:11" s="147" customFormat="1" ht="14.25" customHeight="1" x14ac:dyDescent="0.25">
      <c r="A494" s="151">
        <v>421</v>
      </c>
      <c r="B494" s="152" t="s">
        <v>881</v>
      </c>
      <c r="C494" s="158">
        <f>ROUNDUP('ITEM CRAFT'!E557/7,1)</f>
        <v>0</v>
      </c>
      <c r="D494" s="159">
        <f>ROUNDUP('ITEM CRAFT'!E557,1)</f>
        <v>0</v>
      </c>
      <c r="E494" s="158"/>
      <c r="F494" s="168" t="s">
        <v>156</v>
      </c>
      <c r="J494" s="147">
        <f t="shared" si="29"/>
        <v>0</v>
      </c>
      <c r="K494" s="150">
        <f t="shared" si="28"/>
        <v>1</v>
      </c>
    </row>
    <row r="495" spans="1:11" s="147" customFormat="1" ht="14.25" customHeight="1" x14ac:dyDescent="0.25">
      <c r="A495" s="151">
        <v>422</v>
      </c>
      <c r="B495" s="152" t="s">
        <v>882</v>
      </c>
      <c r="C495" s="158">
        <f>ROUNDUP('ITEM CRAFT'!E558/7,1)</f>
        <v>0</v>
      </c>
      <c r="D495" s="159">
        <f>ROUNDUP('ITEM CRAFT'!E558,1)</f>
        <v>0</v>
      </c>
      <c r="E495" s="158"/>
      <c r="F495" s="168" t="s">
        <v>156</v>
      </c>
      <c r="G495" s="147" t="s">
        <v>154</v>
      </c>
      <c r="J495" s="147">
        <f t="shared" si="29"/>
        <v>0</v>
      </c>
      <c r="K495" s="150">
        <f t="shared" si="28"/>
        <v>2</v>
      </c>
    </row>
    <row r="496" spans="1:11" s="236" customFormat="1" ht="14.25" customHeight="1" x14ac:dyDescent="0.25">
      <c r="A496" s="239">
        <v>423</v>
      </c>
      <c r="B496" s="240" t="s">
        <v>883</v>
      </c>
      <c r="C496" s="230">
        <f>ROUNDUP('ITEM CRAFT'!E559/7,1)</f>
        <v>67.3</v>
      </c>
      <c r="D496" s="231">
        <f>ROUNDUP('ITEM CRAFT'!E559,1)</f>
        <v>471</v>
      </c>
      <c r="E496" s="230" t="s">
        <v>160</v>
      </c>
      <c r="F496" s="234" t="s">
        <v>157</v>
      </c>
      <c r="G496" s="235" t="s">
        <v>155</v>
      </c>
      <c r="H496" s="235"/>
      <c r="I496" s="235"/>
      <c r="J496" s="235">
        <f t="shared" si="29"/>
        <v>33.700000000000003</v>
      </c>
      <c r="K496" s="236">
        <f t="shared" si="28"/>
        <v>2</v>
      </c>
    </row>
    <row r="497" spans="1:11" s="205" customFormat="1" ht="14.25" customHeight="1" x14ac:dyDescent="0.25">
      <c r="A497" s="208">
        <v>425</v>
      </c>
      <c r="B497" s="209" t="s">
        <v>885</v>
      </c>
      <c r="C497" s="201">
        <f>ROUNDUP('ITEM CRAFT'!E561/7,1)</f>
        <v>9.4</v>
      </c>
      <c r="D497" s="63">
        <f>ROUNDUP('ITEM CRAFT'!E561,1)</f>
        <v>65.3</v>
      </c>
      <c r="E497" s="201" t="s">
        <v>150</v>
      </c>
      <c r="F497" s="204" t="s">
        <v>156</v>
      </c>
      <c r="G497" s="205" t="s">
        <v>154</v>
      </c>
      <c r="J497" s="205">
        <f t="shared" si="29"/>
        <v>4.7</v>
      </c>
      <c r="K497" s="56">
        <f t="shared" si="28"/>
        <v>2</v>
      </c>
    </row>
    <row r="498" spans="1:11" s="205" customFormat="1" ht="14.25" customHeight="1" x14ac:dyDescent="0.25">
      <c r="A498" s="208" t="s">
        <v>887</v>
      </c>
      <c r="B498" s="209" t="s">
        <v>886</v>
      </c>
      <c r="C498" s="201">
        <f>ROUNDUP('ITEM CRAFT'!E562/7,1)</f>
        <v>9.4</v>
      </c>
      <c r="D498" s="63">
        <f>ROUNDUP('ITEM CRAFT'!E562,1)</f>
        <v>65.3</v>
      </c>
      <c r="E498" s="201" t="s">
        <v>150</v>
      </c>
      <c r="F498" s="204" t="s">
        <v>156</v>
      </c>
      <c r="G498" s="205" t="s">
        <v>154</v>
      </c>
      <c r="J498" s="205">
        <f t="shared" si="29"/>
        <v>4.7</v>
      </c>
      <c r="K498" s="56">
        <f t="shared" si="28"/>
        <v>2</v>
      </c>
    </row>
    <row r="499" spans="1:11" s="205" customFormat="1" ht="14.25" customHeight="1" x14ac:dyDescent="0.25">
      <c r="A499" s="208" t="s">
        <v>889</v>
      </c>
      <c r="B499" s="209" t="s">
        <v>888</v>
      </c>
      <c r="C499" s="201">
        <f>ROUNDUP('ITEM CRAFT'!E563/7,1)</f>
        <v>9.4</v>
      </c>
      <c r="D499" s="63">
        <f>ROUNDUP('ITEM CRAFT'!E563,1)</f>
        <v>65.3</v>
      </c>
      <c r="E499" s="201" t="s">
        <v>150</v>
      </c>
      <c r="F499" s="204" t="s">
        <v>156</v>
      </c>
      <c r="G499" s="205" t="s">
        <v>154</v>
      </c>
      <c r="J499" s="205">
        <f t="shared" si="29"/>
        <v>4.7</v>
      </c>
      <c r="K499" s="56">
        <f t="shared" si="28"/>
        <v>2</v>
      </c>
    </row>
    <row r="500" spans="1:11" s="205" customFormat="1" ht="14.25" customHeight="1" x14ac:dyDescent="0.25">
      <c r="A500" s="208" t="s">
        <v>891</v>
      </c>
      <c r="B500" s="209" t="s">
        <v>890</v>
      </c>
      <c r="C500" s="201">
        <f>ROUNDUP('ITEM CRAFT'!E564/7,1)</f>
        <v>9.4</v>
      </c>
      <c r="D500" s="63">
        <f>ROUNDUP('ITEM CRAFT'!E564,1)</f>
        <v>65.3</v>
      </c>
      <c r="E500" s="201" t="s">
        <v>150</v>
      </c>
      <c r="F500" s="204" t="s">
        <v>156</v>
      </c>
      <c r="G500" s="205" t="s">
        <v>154</v>
      </c>
      <c r="J500" s="205">
        <f t="shared" si="29"/>
        <v>4.7</v>
      </c>
      <c r="K500" s="56">
        <f t="shared" si="28"/>
        <v>2</v>
      </c>
    </row>
    <row r="501" spans="1:11" s="205" customFormat="1" ht="14.25" customHeight="1" x14ac:dyDescent="0.25">
      <c r="A501" s="208" t="s">
        <v>893</v>
      </c>
      <c r="B501" s="209" t="s">
        <v>892</v>
      </c>
      <c r="C501" s="201">
        <f>ROUNDUP('ITEM CRAFT'!E565/7,1)</f>
        <v>9.4</v>
      </c>
      <c r="D501" s="63">
        <f>ROUNDUP('ITEM CRAFT'!E565,1)</f>
        <v>65.3</v>
      </c>
      <c r="E501" s="201" t="s">
        <v>150</v>
      </c>
      <c r="F501" s="204" t="s">
        <v>156</v>
      </c>
      <c r="G501" s="205" t="s">
        <v>154</v>
      </c>
      <c r="J501" s="205">
        <f t="shared" si="29"/>
        <v>4.7</v>
      </c>
      <c r="K501" s="56">
        <f t="shared" si="28"/>
        <v>2</v>
      </c>
    </row>
    <row r="502" spans="1:11" s="205" customFormat="1" ht="14.25" customHeight="1" x14ac:dyDescent="0.25">
      <c r="A502" s="208" t="s">
        <v>895</v>
      </c>
      <c r="B502" s="209" t="s">
        <v>894</v>
      </c>
      <c r="C502" s="201">
        <f>ROUNDUP('ITEM CRAFT'!E566/7,1)</f>
        <v>22.3</v>
      </c>
      <c r="D502" s="63">
        <f>ROUNDUP('ITEM CRAFT'!E566,1)</f>
        <v>156</v>
      </c>
      <c r="E502" s="201" t="s">
        <v>150</v>
      </c>
      <c r="F502" s="204" t="s">
        <v>156</v>
      </c>
      <c r="G502" s="205" t="s">
        <v>154</v>
      </c>
      <c r="J502" s="205">
        <f t="shared" si="29"/>
        <v>11.2</v>
      </c>
      <c r="K502" s="56">
        <f t="shared" ref="K502:K521" si="32">COUNTIF(F502:I502,"*")</f>
        <v>2</v>
      </c>
    </row>
    <row r="503" spans="1:11" s="205" customFormat="1" ht="14.25" customHeight="1" x14ac:dyDescent="0.25">
      <c r="A503" s="208" t="s">
        <v>897</v>
      </c>
      <c r="B503" s="209" t="s">
        <v>896</v>
      </c>
      <c r="C503" s="201">
        <f>ROUNDUP('ITEM CRAFT'!E567/7,1)</f>
        <v>22.3</v>
      </c>
      <c r="D503" s="63">
        <f>ROUNDUP('ITEM CRAFT'!E567,1)</f>
        <v>156</v>
      </c>
      <c r="E503" s="201" t="s">
        <v>150</v>
      </c>
      <c r="F503" s="204" t="s">
        <v>156</v>
      </c>
      <c r="G503" s="205" t="s">
        <v>154</v>
      </c>
      <c r="J503" s="205">
        <f t="shared" si="29"/>
        <v>11.2</v>
      </c>
      <c r="K503" s="56">
        <f t="shared" si="32"/>
        <v>2</v>
      </c>
    </row>
    <row r="504" spans="1:11" s="205" customFormat="1" ht="14.25" customHeight="1" x14ac:dyDescent="0.25">
      <c r="A504" s="208" t="s">
        <v>899</v>
      </c>
      <c r="B504" s="209" t="s">
        <v>898</v>
      </c>
      <c r="C504" s="201">
        <f>ROUNDUP('ITEM CRAFT'!E568/7,1)</f>
        <v>37.9</v>
      </c>
      <c r="D504" s="63">
        <f>ROUNDUP('ITEM CRAFT'!E568,1)</f>
        <v>264.90000000000003</v>
      </c>
      <c r="E504" s="201" t="s">
        <v>150</v>
      </c>
      <c r="F504" s="204" t="s">
        <v>156</v>
      </c>
      <c r="G504" s="205" t="s">
        <v>154</v>
      </c>
      <c r="J504" s="205">
        <f t="shared" si="29"/>
        <v>19</v>
      </c>
      <c r="K504" s="56">
        <f t="shared" si="32"/>
        <v>2</v>
      </c>
    </row>
    <row r="505" spans="1:11" s="205" customFormat="1" ht="14.25" customHeight="1" x14ac:dyDescent="0.25">
      <c r="A505" s="208" t="s">
        <v>901</v>
      </c>
      <c r="B505" s="209" t="s">
        <v>900</v>
      </c>
      <c r="C505" s="201">
        <f>ROUNDUP('ITEM CRAFT'!E569/7,1)</f>
        <v>22.3</v>
      </c>
      <c r="D505" s="63">
        <f>ROUNDUP('ITEM CRAFT'!E569,1)</f>
        <v>156</v>
      </c>
      <c r="E505" s="201" t="s">
        <v>150</v>
      </c>
      <c r="F505" s="204" t="s">
        <v>156</v>
      </c>
      <c r="G505" s="205" t="s">
        <v>154</v>
      </c>
      <c r="J505" s="205">
        <f t="shared" si="29"/>
        <v>11.2</v>
      </c>
      <c r="K505" s="56">
        <f t="shared" si="32"/>
        <v>2</v>
      </c>
    </row>
    <row r="506" spans="1:11" s="205" customFormat="1" ht="14.25" customHeight="1" x14ac:dyDescent="0.25">
      <c r="A506" s="208" t="s">
        <v>903</v>
      </c>
      <c r="B506" s="209" t="s">
        <v>902</v>
      </c>
      <c r="C506" s="201">
        <f>ROUNDUP('ITEM CRAFT'!E570/7,1)</f>
        <v>22.3</v>
      </c>
      <c r="D506" s="63">
        <f>ROUNDUP('ITEM CRAFT'!E570,1)</f>
        <v>156</v>
      </c>
      <c r="E506" s="201" t="s">
        <v>150</v>
      </c>
      <c r="F506" s="204" t="s">
        <v>156</v>
      </c>
      <c r="G506" s="205" t="s">
        <v>154</v>
      </c>
      <c r="J506" s="205">
        <f t="shared" si="29"/>
        <v>11.2</v>
      </c>
      <c r="K506" s="56">
        <f t="shared" si="32"/>
        <v>2</v>
      </c>
    </row>
    <row r="507" spans="1:11" s="205" customFormat="1" ht="14.25" customHeight="1" x14ac:dyDescent="0.25">
      <c r="A507" s="208" t="s">
        <v>905</v>
      </c>
      <c r="B507" s="209" t="s">
        <v>904</v>
      </c>
      <c r="C507" s="201">
        <f>ROUNDUP('ITEM CRAFT'!E571/7,1)</f>
        <v>33.4</v>
      </c>
      <c r="D507" s="63">
        <f>ROUNDUP('ITEM CRAFT'!E571,1)</f>
        <v>233.79999999999998</v>
      </c>
      <c r="E507" s="201" t="s">
        <v>150</v>
      </c>
      <c r="F507" s="204" t="s">
        <v>156</v>
      </c>
      <c r="G507" s="205" t="s">
        <v>154</v>
      </c>
      <c r="J507" s="205">
        <f t="shared" si="29"/>
        <v>16.7</v>
      </c>
      <c r="K507" s="56">
        <f t="shared" si="32"/>
        <v>2</v>
      </c>
    </row>
    <row r="508" spans="1:11" s="205" customFormat="1" ht="14.25" customHeight="1" x14ac:dyDescent="0.25">
      <c r="A508" s="208" t="s">
        <v>907</v>
      </c>
      <c r="B508" s="209" t="s">
        <v>906</v>
      </c>
      <c r="C508" s="201">
        <f>ROUNDUP('ITEM CRAFT'!E572/7,1)</f>
        <v>9.4</v>
      </c>
      <c r="D508" s="63">
        <f>ROUNDUP('ITEM CRAFT'!E572,1)</f>
        <v>65.3</v>
      </c>
      <c r="E508" s="201" t="s">
        <v>150</v>
      </c>
      <c r="F508" s="204" t="s">
        <v>156</v>
      </c>
      <c r="G508" s="205" t="s">
        <v>154</v>
      </c>
      <c r="J508" s="205">
        <f t="shared" si="29"/>
        <v>4.7</v>
      </c>
      <c r="K508" s="56">
        <f t="shared" si="32"/>
        <v>2</v>
      </c>
    </row>
    <row r="509" spans="1:11" s="205" customFormat="1" ht="14.25" customHeight="1" x14ac:dyDescent="0.25">
      <c r="A509" s="208" t="s">
        <v>909</v>
      </c>
      <c r="B509" s="209" t="s">
        <v>908</v>
      </c>
      <c r="C509" s="201">
        <f>ROUNDUP('ITEM CRAFT'!E573/7,1)</f>
        <v>22.3</v>
      </c>
      <c r="D509" s="63">
        <f>ROUNDUP('ITEM CRAFT'!E573,1)</f>
        <v>156</v>
      </c>
      <c r="E509" s="201" t="s">
        <v>150</v>
      </c>
      <c r="F509" s="204" t="s">
        <v>156</v>
      </c>
      <c r="G509" s="205" t="s">
        <v>154</v>
      </c>
      <c r="J509" s="205">
        <f t="shared" si="29"/>
        <v>11.2</v>
      </c>
      <c r="K509" s="56">
        <f t="shared" si="32"/>
        <v>2</v>
      </c>
    </row>
    <row r="510" spans="1:11" s="205" customFormat="1" ht="14.25" customHeight="1" x14ac:dyDescent="0.25">
      <c r="A510" s="208" t="s">
        <v>911</v>
      </c>
      <c r="B510" s="209" t="s">
        <v>910</v>
      </c>
      <c r="C510" s="201">
        <f>ROUNDUP('ITEM CRAFT'!E574/7,1)</f>
        <v>53.4</v>
      </c>
      <c r="D510" s="63">
        <f>ROUNDUP('ITEM CRAFT'!E574,1)</f>
        <v>373.70000000000005</v>
      </c>
      <c r="E510" s="201" t="s">
        <v>150</v>
      </c>
      <c r="F510" s="204" t="s">
        <v>156</v>
      </c>
      <c r="G510" s="205" t="s">
        <v>154</v>
      </c>
      <c r="J510" s="205">
        <f t="shared" si="29"/>
        <v>26.7</v>
      </c>
      <c r="K510" s="56">
        <f t="shared" si="32"/>
        <v>2</v>
      </c>
    </row>
    <row r="511" spans="1:11" s="205" customFormat="1" ht="14.25" customHeight="1" x14ac:dyDescent="0.25">
      <c r="A511" s="208" t="s">
        <v>913</v>
      </c>
      <c r="B511" s="209" t="s">
        <v>912</v>
      </c>
      <c r="C511" s="201">
        <f>ROUNDUP('ITEM CRAFT'!E575/7,1)</f>
        <v>22.3</v>
      </c>
      <c r="D511" s="63">
        <f>ROUNDUP('ITEM CRAFT'!E575,1)</f>
        <v>156</v>
      </c>
      <c r="E511" s="201" t="s">
        <v>150</v>
      </c>
      <c r="F511" s="204" t="s">
        <v>156</v>
      </c>
      <c r="G511" s="205" t="s">
        <v>154</v>
      </c>
      <c r="J511" s="205">
        <f t="shared" si="29"/>
        <v>11.2</v>
      </c>
      <c r="K511" s="56">
        <f t="shared" si="32"/>
        <v>2</v>
      </c>
    </row>
    <row r="512" spans="1:11" s="205" customFormat="1" ht="14.25" customHeight="1" x14ac:dyDescent="0.25">
      <c r="A512" s="208" t="s">
        <v>915</v>
      </c>
      <c r="B512" s="209" t="s">
        <v>914</v>
      </c>
      <c r="C512" s="201">
        <f>ROUNDUP('ITEM CRAFT'!E576/7,1)</f>
        <v>9.4</v>
      </c>
      <c r="D512" s="63">
        <f>ROUNDUP('ITEM CRAFT'!E576,1)</f>
        <v>65.3</v>
      </c>
      <c r="E512" s="201" t="s">
        <v>150</v>
      </c>
      <c r="F512" s="204" t="s">
        <v>156</v>
      </c>
      <c r="G512" s="205" t="s">
        <v>154</v>
      </c>
      <c r="J512" s="205">
        <f t="shared" si="29"/>
        <v>4.7</v>
      </c>
      <c r="K512" s="56">
        <f t="shared" si="32"/>
        <v>2</v>
      </c>
    </row>
    <row r="513" spans="1:11" s="205" customFormat="1" ht="14.25" customHeight="1" x14ac:dyDescent="0.25">
      <c r="A513" s="208">
        <v>427</v>
      </c>
      <c r="B513" s="209" t="s">
        <v>916</v>
      </c>
      <c r="C513" s="201">
        <f>ROUNDUP('ITEM CRAFT'!E577/7,1)</f>
        <v>1.2000000000000002</v>
      </c>
      <c r="D513" s="63">
        <f>ROUNDUP('ITEM CRAFT'!E577,1)</f>
        <v>8</v>
      </c>
      <c r="E513" s="201" t="s">
        <v>150</v>
      </c>
      <c r="F513" s="204" t="s">
        <v>156</v>
      </c>
      <c r="G513" s="205" t="s">
        <v>154</v>
      </c>
      <c r="J513" s="205">
        <f t="shared" si="29"/>
        <v>0.6</v>
      </c>
      <c r="K513" s="56">
        <f t="shared" si="32"/>
        <v>2</v>
      </c>
    </row>
    <row r="514" spans="1:11" s="205" customFormat="1" ht="14.25" customHeight="1" x14ac:dyDescent="0.25">
      <c r="A514" s="208">
        <v>428</v>
      </c>
      <c r="B514" s="209" t="s">
        <v>917</v>
      </c>
      <c r="C514" s="201">
        <f>ROUNDUP('ITEM CRAFT'!E578/7,1)</f>
        <v>1.8</v>
      </c>
      <c r="D514" s="63">
        <f>ROUNDUP('ITEM CRAFT'!E578,1)</f>
        <v>12.299999999999999</v>
      </c>
      <c r="E514" s="201" t="s">
        <v>150</v>
      </c>
      <c r="F514" s="204" t="s">
        <v>156</v>
      </c>
      <c r="G514" s="205" t="s">
        <v>154</v>
      </c>
      <c r="J514" s="205">
        <f t="shared" si="29"/>
        <v>0.9</v>
      </c>
      <c r="K514" s="56">
        <f t="shared" si="32"/>
        <v>2</v>
      </c>
    </row>
    <row r="515" spans="1:11" s="205" customFormat="1" ht="14.25" customHeight="1" x14ac:dyDescent="0.25">
      <c r="A515" s="208">
        <v>429</v>
      </c>
      <c r="B515" s="209" t="s">
        <v>918</v>
      </c>
      <c r="C515" s="201">
        <f>ROUNDUP('ITEM CRAFT'!E579/7,1)</f>
        <v>2.5</v>
      </c>
      <c r="D515" s="63">
        <f>ROUNDUP('ITEM CRAFT'!E579,1)</f>
        <v>17.3</v>
      </c>
      <c r="E515" s="201" t="s">
        <v>150</v>
      </c>
      <c r="F515" s="204" t="s">
        <v>156</v>
      </c>
      <c r="G515" s="205" t="s">
        <v>154</v>
      </c>
      <c r="J515" s="205">
        <f t="shared" si="29"/>
        <v>1.3</v>
      </c>
      <c r="K515" s="56">
        <f t="shared" si="32"/>
        <v>2</v>
      </c>
    </row>
    <row r="516" spans="1:11" s="205" customFormat="1" ht="14.25" customHeight="1" x14ac:dyDescent="0.25">
      <c r="A516" s="208">
        <v>430</v>
      </c>
      <c r="B516" s="209" t="s">
        <v>919</v>
      </c>
      <c r="C516" s="201">
        <f>ROUNDUP('ITEM CRAFT'!E580/7,1)</f>
        <v>3.2</v>
      </c>
      <c r="D516" s="63">
        <f>ROUNDUP('ITEM CRAFT'!E580,1)</f>
        <v>22.400000000000002</v>
      </c>
      <c r="E516" s="201" t="s">
        <v>150</v>
      </c>
      <c r="F516" s="204" t="s">
        <v>156</v>
      </c>
      <c r="G516" s="205" t="s">
        <v>154</v>
      </c>
      <c r="J516" s="205">
        <f t="shared" si="29"/>
        <v>1.6</v>
      </c>
      <c r="K516" s="56">
        <f t="shared" si="32"/>
        <v>2</v>
      </c>
    </row>
    <row r="517" spans="1:11" s="205" customFormat="1" ht="14.25" customHeight="1" x14ac:dyDescent="0.25">
      <c r="A517" s="208">
        <v>431</v>
      </c>
      <c r="B517" s="209" t="s">
        <v>920</v>
      </c>
      <c r="C517" s="201">
        <f>ROUNDUP('ITEM CRAFT'!E581/7,1)</f>
        <v>3.9</v>
      </c>
      <c r="D517" s="63">
        <f>ROUNDUP('ITEM CRAFT'!E581,1)</f>
        <v>26.700000000000003</v>
      </c>
      <c r="E517" s="201" t="s">
        <v>150</v>
      </c>
      <c r="F517" s="204" t="s">
        <v>156</v>
      </c>
      <c r="G517" s="205" t="s">
        <v>154</v>
      </c>
      <c r="J517" s="205">
        <f t="shared" si="29"/>
        <v>2</v>
      </c>
      <c r="K517" s="56">
        <f t="shared" si="32"/>
        <v>2</v>
      </c>
    </row>
    <row r="518" spans="1:11" s="147" customFormat="1" ht="14.25" customHeight="1" x14ac:dyDescent="0.25">
      <c r="A518" s="148">
        <v>432</v>
      </c>
      <c r="B518" s="156" t="s">
        <v>966</v>
      </c>
      <c r="C518" s="158">
        <f>ROUNDUP('ITEM CRAFT'!E582/7,1)</f>
        <v>134.6</v>
      </c>
      <c r="D518" s="159">
        <f>ROUNDUP('ITEM CRAFT'!E582,1)</f>
        <v>942</v>
      </c>
      <c r="E518" s="158"/>
      <c r="F518" s="168" t="s">
        <v>157</v>
      </c>
      <c r="G518" s="147" t="s">
        <v>153</v>
      </c>
      <c r="J518" s="147">
        <f t="shared" si="29"/>
        <v>67.3</v>
      </c>
      <c r="K518" s="150">
        <f t="shared" ref="K518" si="33">COUNTIF(F518:I518,"*")</f>
        <v>2</v>
      </c>
    </row>
    <row r="519" spans="1:11" s="217" customFormat="1" ht="14.25" customHeight="1" x14ac:dyDescent="0.25">
      <c r="A519" s="226">
        <v>436</v>
      </c>
      <c r="B519" s="227" t="s">
        <v>1022</v>
      </c>
      <c r="C519" s="213">
        <f>ROUNDUP('ITEM CRAFT'!E585/7,1)</f>
        <v>793.30000000000007</v>
      </c>
      <c r="D519" s="65">
        <f>ROUNDUP('ITEM CRAFT'!E585,1)</f>
        <v>5552.5</v>
      </c>
      <c r="E519" s="213" t="s">
        <v>151</v>
      </c>
      <c r="F519" s="216" t="s">
        <v>156</v>
      </c>
      <c r="J519" s="217">
        <f>ROUNDUP(C519/K519,1)</f>
        <v>793.3</v>
      </c>
      <c r="K519" s="58">
        <f t="shared" ref="K519" si="34">COUNTIF(F519:I519,"*")</f>
        <v>1</v>
      </c>
    </row>
    <row r="520" spans="1:11" s="147" customFormat="1" ht="14.25" customHeight="1" x14ac:dyDescent="0.25">
      <c r="A520" s="148">
        <v>439</v>
      </c>
      <c r="B520" s="149" t="s">
        <v>969</v>
      </c>
      <c r="C520" s="158">
        <f>ROUNDUP('ITEM CRAFT'!E586/7,1)</f>
        <v>2.5</v>
      </c>
      <c r="D520" s="159">
        <f>ROUNDUP('ITEM CRAFT'!E586,1)</f>
        <v>17.3</v>
      </c>
      <c r="E520" s="158"/>
      <c r="F520" s="168" t="s">
        <v>156</v>
      </c>
      <c r="J520" s="147">
        <f t="shared" si="29"/>
        <v>2.5</v>
      </c>
      <c r="K520" s="150">
        <f t="shared" si="32"/>
        <v>1</v>
      </c>
    </row>
    <row r="521" spans="1:11" s="197" customFormat="1" ht="14.25" customHeight="1" x14ac:dyDescent="0.25">
      <c r="A521" s="198">
        <v>442</v>
      </c>
      <c r="B521" s="199" t="s">
        <v>970</v>
      </c>
      <c r="C521" s="194">
        <f>ROUNDUP('ITEM CRAFT'!E587/7,1)</f>
        <v>138.4</v>
      </c>
      <c r="D521" s="59">
        <f>ROUNDUP('ITEM CRAFT'!E587,1)</f>
        <v>968.7</v>
      </c>
      <c r="E521" s="194" t="s">
        <v>152</v>
      </c>
      <c r="F521" s="192" t="s">
        <v>156</v>
      </c>
      <c r="J521" s="197">
        <f t="shared" si="29"/>
        <v>138.4</v>
      </c>
      <c r="K521" s="191">
        <f t="shared" si="32"/>
        <v>1</v>
      </c>
    </row>
  </sheetData>
  <dataConsolidate/>
  <dataValidations count="2">
    <dataValidation type="list" allowBlank="1" showInputMessage="1" showErrorMessage="1" sqref="E4:E521">
      <formula1>PROFESIONES</formula1>
    </dataValidation>
    <dataValidation type="list" allowBlank="1" showInputMessage="1" showErrorMessage="1" sqref="F4:I521">
      <formula1>ACCIONES</formula1>
    </dataValidation>
  </dataValidation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dimension ref="A1:R187"/>
  <sheetViews>
    <sheetView topLeftCell="I1" workbookViewId="0">
      <selection activeCell="J9" sqref="J9"/>
    </sheetView>
  </sheetViews>
  <sheetFormatPr baseColWidth="10" defaultRowHeight="15" x14ac:dyDescent="0.25"/>
  <cols>
    <col min="1" max="1" width="6.7109375" customWidth="1"/>
    <col min="2" max="2" width="20.42578125" customWidth="1"/>
    <col min="3" max="3" width="7.85546875" customWidth="1"/>
    <col min="4" max="4" width="7.5703125" customWidth="1"/>
    <col min="5" max="5" width="6.7109375" style="181" customWidth="1"/>
    <col min="6" max="6" width="20.42578125" style="181" customWidth="1"/>
    <col min="7" max="7" width="7.85546875" style="181" customWidth="1"/>
    <col min="8" max="8" width="7.5703125" style="181" customWidth="1"/>
    <col min="9" max="9" width="11.140625" style="181" customWidth="1"/>
    <col min="10" max="10" width="20.42578125" style="181" customWidth="1"/>
    <col min="11" max="11" width="7.85546875" style="181" customWidth="1"/>
    <col min="12" max="12" width="7.5703125" style="181" customWidth="1"/>
    <col min="13" max="13" width="6.7109375" style="181" customWidth="1"/>
    <col min="14" max="14" width="20.42578125" style="181" customWidth="1"/>
    <col min="15" max="15" width="7.85546875" style="181" customWidth="1"/>
    <col min="16" max="16" width="7.5703125" style="181" customWidth="1"/>
  </cols>
  <sheetData>
    <row r="1" spans="1:18" x14ac:dyDescent="0.25">
      <c r="A1" s="340" t="s">
        <v>152</v>
      </c>
      <c r="B1" s="340"/>
      <c r="C1" s="340"/>
      <c r="D1" s="340"/>
      <c r="E1" s="340" t="s">
        <v>150</v>
      </c>
      <c r="F1" s="340"/>
      <c r="G1" s="340"/>
      <c r="H1" s="340"/>
      <c r="I1" s="340" t="s">
        <v>151</v>
      </c>
      <c r="J1" s="340"/>
      <c r="K1" s="340"/>
      <c r="L1" s="340"/>
      <c r="M1" s="340" t="s">
        <v>160</v>
      </c>
      <c r="N1" s="340"/>
      <c r="O1" s="340"/>
      <c r="P1" s="340"/>
      <c r="Q1" s="187"/>
      <c r="R1" s="187"/>
    </row>
    <row r="2" spans="1:18" x14ac:dyDescent="0.25">
      <c r="A2" s="341" t="s">
        <v>1010</v>
      </c>
      <c r="B2" s="342"/>
      <c r="C2" s="342"/>
      <c r="D2" s="342"/>
      <c r="E2" s="341" t="s">
        <v>1010</v>
      </c>
      <c r="F2" s="342"/>
      <c r="G2" s="342"/>
      <c r="H2" s="342"/>
      <c r="I2" s="341" t="s">
        <v>1010</v>
      </c>
      <c r="J2" s="342"/>
      <c r="K2" s="342"/>
      <c r="L2" s="342"/>
      <c r="M2" s="341" t="s">
        <v>1010</v>
      </c>
      <c r="N2" s="342"/>
      <c r="O2" s="342"/>
      <c r="P2" s="342"/>
    </row>
    <row r="3" spans="1:18" x14ac:dyDescent="0.25">
      <c r="A3" s="343" t="s">
        <v>1008</v>
      </c>
      <c r="B3" s="344"/>
      <c r="C3" s="336">
        <f>COUNTA(A8:A30)</f>
        <v>16</v>
      </c>
      <c r="D3" s="337"/>
      <c r="E3" s="343" t="s">
        <v>1008</v>
      </c>
      <c r="F3" s="344"/>
      <c r="G3" s="336">
        <f>COUNTA(E8:E30)</f>
        <v>16</v>
      </c>
      <c r="H3" s="337"/>
      <c r="I3" s="343" t="s">
        <v>1008</v>
      </c>
      <c r="J3" s="344"/>
      <c r="K3" s="336">
        <f>COUNTA(I8:I30)</f>
        <v>19</v>
      </c>
      <c r="L3" s="337"/>
      <c r="M3" s="343" t="s">
        <v>1008</v>
      </c>
      <c r="N3" s="344"/>
      <c r="O3" s="336">
        <f>COUNTA(M8:M30)</f>
        <v>2</v>
      </c>
      <c r="P3" s="337"/>
    </row>
    <row r="4" spans="1:18" s="181" customFormat="1" x14ac:dyDescent="0.25">
      <c r="A4" s="343" t="s">
        <v>1009</v>
      </c>
      <c r="B4" s="344"/>
      <c r="C4" s="336">
        <f>ROUNDDOWN((C5+C6)/C3,1)</f>
        <v>3.1</v>
      </c>
      <c r="D4" s="337"/>
      <c r="E4" s="343" t="s">
        <v>1009</v>
      </c>
      <c r="F4" s="344"/>
      <c r="G4" s="336">
        <f>ROUNDDOWN((G5+G6)/G3,1)</f>
        <v>3.1</v>
      </c>
      <c r="H4" s="337"/>
      <c r="I4" s="343" t="s">
        <v>1009</v>
      </c>
      <c r="J4" s="344"/>
      <c r="K4" s="336">
        <f>ROUNDDOWN((K5+K6)/K3,1)</f>
        <v>2.6</v>
      </c>
      <c r="L4" s="337"/>
      <c r="M4" s="343" t="s">
        <v>1009</v>
      </c>
      <c r="N4" s="344"/>
      <c r="O4" s="336">
        <f>ROUNDDOWN((O5+O6)/O3,1)</f>
        <v>25</v>
      </c>
      <c r="P4" s="337"/>
    </row>
    <row r="5" spans="1:18" x14ac:dyDescent="0.25">
      <c r="A5" s="343" t="s">
        <v>1007</v>
      </c>
      <c r="B5" s="344"/>
      <c r="C5" s="336">
        <v>0</v>
      </c>
      <c r="D5" s="337"/>
      <c r="E5" s="343" t="s">
        <v>1007</v>
      </c>
      <c r="F5" s="344"/>
      <c r="G5" s="336">
        <v>0</v>
      </c>
      <c r="H5" s="337"/>
      <c r="I5" s="343" t="s">
        <v>1007</v>
      </c>
      <c r="J5" s="344"/>
      <c r="K5" s="336">
        <v>0</v>
      </c>
      <c r="L5" s="337"/>
      <c r="M5" s="343" t="s">
        <v>1007</v>
      </c>
      <c r="N5" s="344"/>
      <c r="O5" s="336">
        <v>0</v>
      </c>
      <c r="P5" s="337"/>
    </row>
    <row r="6" spans="1:18" x14ac:dyDescent="0.25">
      <c r="A6" s="343" t="s">
        <v>1016</v>
      </c>
      <c r="B6" s="344"/>
      <c r="C6" s="334">
        <v>50</v>
      </c>
      <c r="D6" s="338"/>
      <c r="E6" s="343" t="s">
        <v>1016</v>
      </c>
      <c r="F6" s="344"/>
      <c r="G6" s="334">
        <v>50</v>
      </c>
      <c r="H6" s="338"/>
      <c r="I6" s="343" t="s">
        <v>1016</v>
      </c>
      <c r="J6" s="344"/>
      <c r="K6" s="334">
        <v>50</v>
      </c>
      <c r="L6" s="338"/>
      <c r="M6" s="343" t="s">
        <v>1016</v>
      </c>
      <c r="N6" s="344"/>
      <c r="O6" s="334">
        <v>50</v>
      </c>
      <c r="P6" s="338"/>
    </row>
    <row r="7" spans="1:18" x14ac:dyDescent="0.25">
      <c r="A7" s="185" t="s">
        <v>205</v>
      </c>
      <c r="B7" s="185" t="s">
        <v>203</v>
      </c>
      <c r="C7" s="186" t="s">
        <v>50</v>
      </c>
      <c r="D7" s="186" t="s">
        <v>19</v>
      </c>
      <c r="E7" s="185" t="s">
        <v>205</v>
      </c>
      <c r="F7" s="185" t="s">
        <v>203</v>
      </c>
      <c r="G7" s="186" t="s">
        <v>50</v>
      </c>
      <c r="H7" s="186" t="s">
        <v>19</v>
      </c>
      <c r="I7" s="185" t="s">
        <v>205</v>
      </c>
      <c r="J7" s="185" t="s">
        <v>203</v>
      </c>
      <c r="K7" s="186" t="s">
        <v>50</v>
      </c>
      <c r="L7" s="186" t="s">
        <v>19</v>
      </c>
      <c r="M7" s="185" t="s">
        <v>205</v>
      </c>
      <c r="N7" s="185" t="s">
        <v>203</v>
      </c>
      <c r="O7" s="186" t="s">
        <v>50</v>
      </c>
      <c r="P7" s="186" t="s">
        <v>19</v>
      </c>
    </row>
    <row r="8" spans="1:18" x14ac:dyDescent="0.25">
      <c r="A8" s="184">
        <v>273</v>
      </c>
      <c r="B8" s="184" t="str">
        <f t="shared" ref="B8:B30" si="0">IF(ISBLANK(A8),"",VLOOKUP(A8,LISTAITEMS,2,FALSE))</f>
        <v>Stone Shovel</v>
      </c>
      <c r="C8" s="61">
        <f>IF(ISBLANK(A8),"",ROUNDDOWN(C5+$C$4,0))</f>
        <v>3</v>
      </c>
      <c r="D8" s="61">
        <v>1</v>
      </c>
      <c r="E8" s="184">
        <v>275</v>
      </c>
      <c r="F8" s="184" t="str">
        <f t="shared" ref="F8:F30" si="1">IF(ISBLANK(E8),"",VLOOKUP(E8,LISTAITEMS,2,FALSE))</f>
        <v>Stone Axe</v>
      </c>
      <c r="G8" s="61">
        <f>IF(ISBLANK(E8),"",ROUNDDOWN(G5+$G$4,0))</f>
        <v>3</v>
      </c>
      <c r="H8" s="61">
        <v>1</v>
      </c>
      <c r="I8" s="184">
        <v>291</v>
      </c>
      <c r="J8" s="184" t="str">
        <f t="shared" ref="J8:J30" si="2">IF(ISBLANK(I8),"",VLOOKUP(I8,LISTAITEMS,2,FALSE))</f>
        <v>Stone Hoe</v>
      </c>
      <c r="K8" s="61">
        <f>IF(ISBLANK(I8),"",ROUNDDOWN(K5+$K$4,0))</f>
        <v>2</v>
      </c>
      <c r="L8" s="61">
        <v>1</v>
      </c>
      <c r="M8" s="184">
        <v>366</v>
      </c>
      <c r="N8" s="184" t="str">
        <f t="shared" ref="N8:N30" si="3">IF(ISBLANK(M8),"",VLOOKUP(M8,LISTAITEMS,2,FALSE))</f>
        <v>Cooked Chicken</v>
      </c>
      <c r="O8" s="61">
        <f>IF(ISBLANK(M8),"",ROUNDDOWN(O5+$O$4,0))</f>
        <v>25</v>
      </c>
      <c r="P8" s="61">
        <v>1</v>
      </c>
    </row>
    <row r="9" spans="1:18" x14ac:dyDescent="0.25">
      <c r="A9" s="184">
        <v>274</v>
      </c>
      <c r="B9" s="184" t="str">
        <f t="shared" si="0"/>
        <v>Stone Pickaxe</v>
      </c>
      <c r="C9" s="61">
        <f>IF(ISBLANK(A9),"",ROUNDDOWN(C8+$C$4,0))</f>
        <v>6</v>
      </c>
      <c r="D9" s="61">
        <v>1</v>
      </c>
      <c r="E9" s="184">
        <v>5</v>
      </c>
      <c r="F9" s="184" t="str">
        <f t="shared" si="1"/>
        <v>Oak Planks</v>
      </c>
      <c r="G9" s="61">
        <f>IF(ISBLANK(E9),"",ROUNDDOWN(G8+$G$4,0))</f>
        <v>6</v>
      </c>
      <c r="H9" s="61">
        <v>1</v>
      </c>
      <c r="I9" s="184">
        <v>351</v>
      </c>
      <c r="J9" s="184" t="str">
        <f t="shared" si="2"/>
        <v>Ink Sack</v>
      </c>
      <c r="K9" s="61">
        <f>IF(ISBLANK(I9),"",ROUNDDOWN(K8+$K$4,0))</f>
        <v>4</v>
      </c>
      <c r="L9" s="61">
        <v>1</v>
      </c>
      <c r="M9" s="184">
        <v>389</v>
      </c>
      <c r="N9" s="184" t="str">
        <f t="shared" si="3"/>
        <v>Item Frame</v>
      </c>
      <c r="O9" s="61">
        <f>IF(ISBLANK(M9),"",ROUNDDOWN(O8+$O$4,0))</f>
        <v>50</v>
      </c>
      <c r="P9" s="61">
        <v>1</v>
      </c>
    </row>
    <row r="10" spans="1:18" x14ac:dyDescent="0.25">
      <c r="A10" s="184">
        <v>69</v>
      </c>
      <c r="B10" s="184" t="str">
        <f t="shared" ref="B10:B16" si="4">IF(ISBLANK(A10),"",VLOOKUP(A10,LISTAITEMS,2,FALSE))</f>
        <v>Lever</v>
      </c>
      <c r="C10" s="61">
        <f>IF(ISBLANK(A10),"",ROUNDDOWN(C9+$C$4,0))</f>
        <v>9</v>
      </c>
      <c r="D10" s="61">
        <v>1</v>
      </c>
      <c r="E10" s="184">
        <v>126</v>
      </c>
      <c r="F10" s="184" t="str">
        <f t="shared" si="1"/>
        <v>Oak Slab</v>
      </c>
      <c r="G10" s="61">
        <f t="shared" ref="G10:G30" si="5">IF(ISBLANK(E10),"",ROUNDDOWN(G9+$G$4,0))</f>
        <v>9</v>
      </c>
      <c r="H10" s="61">
        <v>1</v>
      </c>
      <c r="I10" s="184">
        <v>393</v>
      </c>
      <c r="J10" s="184" t="str">
        <f t="shared" si="2"/>
        <v>Baked Potato</v>
      </c>
      <c r="K10" s="61">
        <f t="shared" ref="K10:K30" si="6">IF(ISBLANK(I10),"",ROUNDDOWN(K9+$K$4,0))</f>
        <v>6</v>
      </c>
      <c r="L10" s="61">
        <v>1</v>
      </c>
      <c r="M10" s="184"/>
      <c r="N10" s="184" t="str">
        <f t="shared" si="3"/>
        <v/>
      </c>
      <c r="O10" s="61" t="str">
        <f t="shared" ref="O10:O30" si="7">IF(ISBLANK(M10),"",ROUNDDOWN(O9+$O$4,0))</f>
        <v/>
      </c>
      <c r="P10" s="61">
        <v>1</v>
      </c>
    </row>
    <row r="11" spans="1:18" x14ac:dyDescent="0.25">
      <c r="A11" s="184">
        <v>61</v>
      </c>
      <c r="B11" s="184" t="str">
        <f t="shared" si="4"/>
        <v>Furnace</v>
      </c>
      <c r="C11" s="61">
        <f t="shared" ref="C11:C16" si="8">IF(ISBLANK(A11),"",ROUNDDOWN(C10+$C$4,0))</f>
        <v>12</v>
      </c>
      <c r="D11" s="61">
        <v>1</v>
      </c>
      <c r="E11" s="184">
        <v>280</v>
      </c>
      <c r="F11" s="184" t="str">
        <f t="shared" si="1"/>
        <v>Stick</v>
      </c>
      <c r="G11" s="61">
        <f t="shared" si="5"/>
        <v>12</v>
      </c>
      <c r="H11" s="61">
        <v>1</v>
      </c>
      <c r="I11" s="184">
        <v>379</v>
      </c>
      <c r="J11" s="184" t="str">
        <f t="shared" ref="J11:J18" si="9">IF(ISBLANK(I11),"",VLOOKUP(I11,LISTAITEMS,2,FALSE))</f>
        <v xml:space="preserve">Brewing Stand </v>
      </c>
      <c r="K11" s="61">
        <f t="shared" ref="K11:K18" si="10">IF(ISBLANK(I11),"",ROUNDDOWN(K10+$K$4,0))</f>
        <v>8</v>
      </c>
      <c r="L11" s="61">
        <v>1</v>
      </c>
      <c r="M11" s="184"/>
      <c r="N11" s="184" t="str">
        <f t="shared" si="3"/>
        <v/>
      </c>
      <c r="O11" s="61" t="str">
        <f t="shared" si="7"/>
        <v/>
      </c>
      <c r="P11" s="61">
        <v>1</v>
      </c>
    </row>
    <row r="12" spans="1:18" x14ac:dyDescent="0.25">
      <c r="A12" s="184" t="s">
        <v>312</v>
      </c>
      <c r="B12" s="184" t="str">
        <f t="shared" si="4"/>
        <v>Cobblestone Slab</v>
      </c>
      <c r="C12" s="61">
        <f t="shared" si="8"/>
        <v>15</v>
      </c>
      <c r="D12" s="61">
        <v>1</v>
      </c>
      <c r="E12" s="184">
        <v>65</v>
      </c>
      <c r="F12" s="184" t="str">
        <f t="shared" si="1"/>
        <v>Ladder</v>
      </c>
      <c r="G12" s="61">
        <f t="shared" si="5"/>
        <v>15</v>
      </c>
      <c r="H12" s="61">
        <v>1</v>
      </c>
      <c r="I12" s="184">
        <v>374</v>
      </c>
      <c r="J12" s="184" t="str">
        <f t="shared" si="9"/>
        <v>Glass Bottle</v>
      </c>
      <c r="K12" s="61">
        <f t="shared" si="10"/>
        <v>10</v>
      </c>
      <c r="L12" s="61">
        <v>1</v>
      </c>
      <c r="M12" s="184"/>
      <c r="N12" s="184" t="str">
        <f t="shared" si="3"/>
        <v/>
      </c>
      <c r="O12" s="61" t="str">
        <f t="shared" si="7"/>
        <v/>
      </c>
      <c r="P12" s="61">
        <v>1</v>
      </c>
    </row>
    <row r="13" spans="1:18" x14ac:dyDescent="0.25">
      <c r="A13" s="184">
        <v>67</v>
      </c>
      <c r="B13" s="184" t="str">
        <f t="shared" si="4"/>
        <v>Cobblestone Stairs</v>
      </c>
      <c r="C13" s="61">
        <f t="shared" si="8"/>
        <v>18</v>
      </c>
      <c r="D13" s="61">
        <v>1</v>
      </c>
      <c r="E13" s="184">
        <v>72</v>
      </c>
      <c r="F13" s="184" t="str">
        <f t="shared" si="1"/>
        <v>Wooden Preasure Plate</v>
      </c>
      <c r="G13" s="61">
        <f t="shared" si="5"/>
        <v>18</v>
      </c>
      <c r="H13" s="61">
        <v>1</v>
      </c>
      <c r="I13" s="184">
        <v>377</v>
      </c>
      <c r="J13" s="184" t="str">
        <f t="shared" si="9"/>
        <v>Blaze Powder</v>
      </c>
      <c r="K13" s="61">
        <f t="shared" si="10"/>
        <v>12</v>
      </c>
      <c r="L13" s="61">
        <v>1</v>
      </c>
      <c r="M13" s="184"/>
      <c r="N13" s="184" t="str">
        <f t="shared" si="3"/>
        <v/>
      </c>
      <c r="O13" s="61" t="str">
        <f t="shared" si="7"/>
        <v/>
      </c>
      <c r="P13" s="61">
        <v>1</v>
      </c>
    </row>
    <row r="14" spans="1:18" x14ac:dyDescent="0.25">
      <c r="A14" s="184">
        <v>139</v>
      </c>
      <c r="B14" s="184" t="str">
        <f t="shared" si="4"/>
        <v>Cobblestone Wall</v>
      </c>
      <c r="C14" s="61">
        <f t="shared" si="8"/>
        <v>21</v>
      </c>
      <c r="D14" s="61">
        <v>1</v>
      </c>
      <c r="E14" s="184">
        <v>53</v>
      </c>
      <c r="F14" s="184" t="str">
        <f t="shared" si="1"/>
        <v>Oak Stairs</v>
      </c>
      <c r="G14" s="61">
        <f t="shared" si="5"/>
        <v>21</v>
      </c>
      <c r="H14" s="61">
        <v>1</v>
      </c>
      <c r="I14" s="184" t="s">
        <v>702</v>
      </c>
      <c r="J14" s="184" t="str">
        <f t="shared" si="9"/>
        <v>Mundane Potion</v>
      </c>
      <c r="K14" s="61">
        <f t="shared" si="10"/>
        <v>14</v>
      </c>
      <c r="L14" s="61">
        <v>1</v>
      </c>
      <c r="M14" s="184"/>
      <c r="N14" s="184" t="str">
        <f t="shared" si="3"/>
        <v/>
      </c>
      <c r="O14" s="61" t="str">
        <f t="shared" si="7"/>
        <v/>
      </c>
      <c r="P14" s="61">
        <v>1</v>
      </c>
    </row>
    <row r="15" spans="1:18" x14ac:dyDescent="0.25">
      <c r="A15" s="184">
        <v>44</v>
      </c>
      <c r="B15" s="184" t="str">
        <f t="shared" si="4"/>
        <v>Stone Slab</v>
      </c>
      <c r="C15" s="61">
        <f t="shared" si="8"/>
        <v>24</v>
      </c>
      <c r="D15" s="61">
        <v>1</v>
      </c>
      <c r="E15" s="184">
        <v>54</v>
      </c>
      <c r="F15" s="184" t="str">
        <f t="shared" si="1"/>
        <v>Chest</v>
      </c>
      <c r="G15" s="61">
        <f t="shared" si="5"/>
        <v>24</v>
      </c>
      <c r="H15" s="61">
        <v>1</v>
      </c>
      <c r="I15" s="184" t="s">
        <v>700</v>
      </c>
      <c r="J15" s="184" t="str">
        <f t="shared" si="9"/>
        <v>Thick Potion</v>
      </c>
      <c r="K15" s="61">
        <f t="shared" si="10"/>
        <v>16</v>
      </c>
      <c r="L15" s="61">
        <v>1</v>
      </c>
      <c r="M15" s="184"/>
      <c r="N15" s="184" t="str">
        <f t="shared" si="3"/>
        <v/>
      </c>
      <c r="O15" s="61" t="str">
        <f t="shared" si="7"/>
        <v/>
      </c>
      <c r="P15" s="61">
        <v>1</v>
      </c>
    </row>
    <row r="16" spans="1:18" x14ac:dyDescent="0.25">
      <c r="A16" s="184">
        <v>70</v>
      </c>
      <c r="B16" s="184" t="str">
        <f t="shared" si="4"/>
        <v>Stone Pressure Plate</v>
      </c>
      <c r="C16" s="61">
        <f t="shared" si="8"/>
        <v>27</v>
      </c>
      <c r="D16" s="61">
        <v>1</v>
      </c>
      <c r="E16" s="184">
        <v>281</v>
      </c>
      <c r="F16" s="184" t="str">
        <f t="shared" si="1"/>
        <v>Bowl</v>
      </c>
      <c r="G16" s="61">
        <f t="shared" si="5"/>
        <v>27</v>
      </c>
      <c r="H16" s="61">
        <v>1</v>
      </c>
      <c r="I16" s="184" t="s">
        <v>698</v>
      </c>
      <c r="J16" s="184" t="str">
        <f t="shared" si="9"/>
        <v>Awkward Potion</v>
      </c>
      <c r="K16" s="61">
        <f t="shared" si="10"/>
        <v>18</v>
      </c>
      <c r="L16" s="61">
        <v>1</v>
      </c>
      <c r="M16" s="184"/>
      <c r="N16" s="184" t="str">
        <f t="shared" si="3"/>
        <v/>
      </c>
      <c r="O16" s="61" t="str">
        <f t="shared" si="7"/>
        <v/>
      </c>
      <c r="P16" s="61">
        <v>1</v>
      </c>
    </row>
    <row r="17" spans="1:16" x14ac:dyDescent="0.25">
      <c r="A17" s="184">
        <v>77</v>
      </c>
      <c r="B17" s="184" t="str">
        <f t="shared" si="0"/>
        <v>Stone Button</v>
      </c>
      <c r="C17" s="61">
        <f t="shared" ref="C17:C30" si="11">IF(ISBLANK(A17),"",ROUNDDOWN(C16+$C$4,0))</f>
        <v>30</v>
      </c>
      <c r="D17" s="61">
        <v>1</v>
      </c>
      <c r="E17" s="184">
        <v>143</v>
      </c>
      <c r="F17" s="184" t="str">
        <f t="shared" si="1"/>
        <v>Wood Button</v>
      </c>
      <c r="G17" s="61">
        <f t="shared" si="5"/>
        <v>30</v>
      </c>
      <c r="H17" s="61">
        <v>1</v>
      </c>
      <c r="I17" s="184" t="s">
        <v>710</v>
      </c>
      <c r="J17" s="184" t="str">
        <f t="shared" si="9"/>
        <v>Poison Potion (0:45)</v>
      </c>
      <c r="K17" s="61">
        <f t="shared" si="10"/>
        <v>20</v>
      </c>
      <c r="L17" s="61">
        <v>1</v>
      </c>
      <c r="M17" s="184"/>
      <c r="N17" s="184" t="str">
        <f t="shared" si="3"/>
        <v/>
      </c>
      <c r="O17" s="61" t="str">
        <f t="shared" si="7"/>
        <v/>
      </c>
      <c r="P17" s="61">
        <v>1</v>
      </c>
    </row>
    <row r="18" spans="1:16" x14ac:dyDescent="0.25">
      <c r="A18" s="184" t="s">
        <v>218</v>
      </c>
      <c r="B18" s="184" t="str">
        <f t="shared" si="0"/>
        <v>Granite</v>
      </c>
      <c r="C18" s="61">
        <f t="shared" si="11"/>
        <v>33</v>
      </c>
      <c r="D18" s="61">
        <v>1</v>
      </c>
      <c r="E18" s="184">
        <v>323</v>
      </c>
      <c r="F18" s="184" t="str">
        <f t="shared" si="1"/>
        <v>Sign</v>
      </c>
      <c r="G18" s="61">
        <f t="shared" si="5"/>
        <v>33</v>
      </c>
      <c r="H18" s="61">
        <v>1</v>
      </c>
      <c r="I18" s="184" t="s">
        <v>718</v>
      </c>
      <c r="J18" s="184" t="str">
        <f t="shared" si="9"/>
        <v>Strength Potion (3:00)</v>
      </c>
      <c r="K18" s="61">
        <f t="shared" si="10"/>
        <v>22</v>
      </c>
      <c r="L18" s="61">
        <v>1</v>
      </c>
      <c r="M18" s="184"/>
      <c r="N18" s="184" t="str">
        <f t="shared" si="3"/>
        <v/>
      </c>
      <c r="O18" s="61" t="str">
        <f t="shared" si="7"/>
        <v/>
      </c>
      <c r="P18" s="61">
        <v>1</v>
      </c>
    </row>
    <row r="19" spans="1:16" x14ac:dyDescent="0.25">
      <c r="A19" s="184" t="s">
        <v>220</v>
      </c>
      <c r="B19" s="184" t="str">
        <f t="shared" si="0"/>
        <v>Polished Granite</v>
      </c>
      <c r="C19" s="61">
        <f t="shared" si="11"/>
        <v>36</v>
      </c>
      <c r="D19" s="61">
        <v>1</v>
      </c>
      <c r="E19" s="184">
        <v>85</v>
      </c>
      <c r="F19" s="184" t="str">
        <f t="shared" si="1"/>
        <v>Oak Fence</v>
      </c>
      <c r="G19" s="61">
        <f t="shared" si="5"/>
        <v>36</v>
      </c>
      <c r="H19" s="61">
        <v>1</v>
      </c>
      <c r="I19" s="184" t="s">
        <v>708</v>
      </c>
      <c r="J19" s="184" t="str">
        <f t="shared" si="2"/>
        <v>Fire Resistance Potion (3:00)</v>
      </c>
      <c r="K19" s="61">
        <f t="shared" si="6"/>
        <v>24</v>
      </c>
      <c r="L19" s="61">
        <v>1</v>
      </c>
      <c r="M19" s="184"/>
      <c r="N19" s="184" t="str">
        <f t="shared" si="3"/>
        <v/>
      </c>
      <c r="O19" s="61" t="str">
        <f t="shared" si="7"/>
        <v/>
      </c>
      <c r="P19" s="61">
        <v>1</v>
      </c>
    </row>
    <row r="20" spans="1:16" x14ac:dyDescent="0.25">
      <c r="A20" s="184" t="s">
        <v>222</v>
      </c>
      <c r="B20" s="184" t="str">
        <f t="shared" si="0"/>
        <v>Diorite</v>
      </c>
      <c r="C20" s="61">
        <f t="shared" si="11"/>
        <v>39</v>
      </c>
      <c r="D20" s="61">
        <v>1</v>
      </c>
      <c r="E20" s="184">
        <v>107</v>
      </c>
      <c r="F20" s="184" t="str">
        <f t="shared" si="1"/>
        <v>Fence Gate</v>
      </c>
      <c r="G20" s="61">
        <f t="shared" si="5"/>
        <v>39</v>
      </c>
      <c r="H20" s="61">
        <v>1</v>
      </c>
      <c r="I20" s="184" t="s">
        <v>704</v>
      </c>
      <c r="J20" s="184" t="str">
        <f t="shared" si="2"/>
        <v>Regeneration Potion (0:45)</v>
      </c>
      <c r="K20" s="61">
        <f t="shared" si="6"/>
        <v>26</v>
      </c>
      <c r="L20" s="61">
        <v>1</v>
      </c>
      <c r="M20" s="184"/>
      <c r="N20" s="184" t="str">
        <f t="shared" si="3"/>
        <v/>
      </c>
      <c r="O20" s="61" t="str">
        <f t="shared" si="7"/>
        <v/>
      </c>
      <c r="P20" s="61">
        <v>1</v>
      </c>
    </row>
    <row r="21" spans="1:16" x14ac:dyDescent="0.25">
      <c r="A21" s="184" t="s">
        <v>224</v>
      </c>
      <c r="B21" s="184" t="str">
        <f t="shared" si="0"/>
        <v>Polished Diorite</v>
      </c>
      <c r="C21" s="61">
        <f t="shared" si="11"/>
        <v>42</v>
      </c>
      <c r="D21" s="61">
        <v>1</v>
      </c>
      <c r="E21" s="184">
        <v>333</v>
      </c>
      <c r="F21" s="184" t="str">
        <f t="shared" si="1"/>
        <v>Boat</v>
      </c>
      <c r="G21" s="61">
        <f t="shared" si="5"/>
        <v>42</v>
      </c>
      <c r="H21" s="61">
        <v>1</v>
      </c>
      <c r="I21" s="184" t="s">
        <v>748</v>
      </c>
      <c r="J21" s="184" t="str">
        <f t="shared" si="2"/>
        <v>Poison Potion (2:00)</v>
      </c>
      <c r="K21" s="61">
        <f t="shared" si="6"/>
        <v>28</v>
      </c>
      <c r="L21" s="61">
        <v>1</v>
      </c>
      <c r="M21" s="184"/>
      <c r="N21" s="184" t="str">
        <f t="shared" si="3"/>
        <v/>
      </c>
      <c r="O21" s="61" t="str">
        <f t="shared" si="7"/>
        <v/>
      </c>
      <c r="P21" s="61">
        <v>1</v>
      </c>
    </row>
    <row r="22" spans="1:16" x14ac:dyDescent="0.25">
      <c r="A22" s="184" t="s">
        <v>226</v>
      </c>
      <c r="B22" s="184" t="str">
        <f t="shared" si="0"/>
        <v>Andesite</v>
      </c>
      <c r="C22" s="61">
        <f t="shared" si="11"/>
        <v>45</v>
      </c>
      <c r="D22" s="61">
        <v>1</v>
      </c>
      <c r="E22" s="184">
        <v>324</v>
      </c>
      <c r="F22" s="184" t="str">
        <f t="shared" si="1"/>
        <v>Oak Door</v>
      </c>
      <c r="G22" s="61">
        <f t="shared" si="5"/>
        <v>45</v>
      </c>
      <c r="H22" s="61">
        <v>1</v>
      </c>
      <c r="I22" s="184" t="s">
        <v>778</v>
      </c>
      <c r="J22" s="184" t="str">
        <f t="shared" si="2"/>
        <v>Poison Splash Potion (0:33)</v>
      </c>
      <c r="K22" s="61">
        <f t="shared" si="6"/>
        <v>30</v>
      </c>
      <c r="L22" s="61">
        <v>1</v>
      </c>
      <c r="M22" s="184"/>
      <c r="N22" s="184" t="str">
        <f t="shared" si="3"/>
        <v/>
      </c>
      <c r="O22" s="61" t="str">
        <f t="shared" si="7"/>
        <v/>
      </c>
      <c r="P22" s="61">
        <v>1</v>
      </c>
    </row>
    <row r="23" spans="1:16" x14ac:dyDescent="0.25">
      <c r="A23" s="184" t="s">
        <v>228</v>
      </c>
      <c r="B23" s="184" t="str">
        <f t="shared" si="0"/>
        <v>Polished Andesite</v>
      </c>
      <c r="C23" s="61">
        <f t="shared" si="11"/>
        <v>48</v>
      </c>
      <c r="D23" s="61">
        <v>1</v>
      </c>
      <c r="E23" s="184">
        <v>96</v>
      </c>
      <c r="F23" s="184" t="str">
        <f t="shared" si="1"/>
        <v>Wooden Trapdoor</v>
      </c>
      <c r="G23" s="61">
        <f t="shared" si="5"/>
        <v>48</v>
      </c>
      <c r="H23" s="61">
        <v>1</v>
      </c>
      <c r="I23" s="184" t="s">
        <v>754</v>
      </c>
      <c r="J23" s="184" t="str">
        <f t="shared" si="2"/>
        <v>Strenght Potion (8:00)</v>
      </c>
      <c r="K23" s="61">
        <f t="shared" si="6"/>
        <v>32</v>
      </c>
      <c r="L23" s="61">
        <v>1</v>
      </c>
      <c r="M23" s="184"/>
      <c r="N23" s="184" t="str">
        <f t="shared" si="3"/>
        <v/>
      </c>
      <c r="O23" s="61" t="str">
        <f t="shared" si="7"/>
        <v/>
      </c>
      <c r="P23" s="61">
        <v>1</v>
      </c>
    </row>
    <row r="24" spans="1:16" x14ac:dyDescent="0.25">
      <c r="A24" s="184"/>
      <c r="B24" s="184" t="str">
        <f t="shared" si="0"/>
        <v/>
      </c>
      <c r="C24" s="61" t="str">
        <f t="shared" si="11"/>
        <v/>
      </c>
      <c r="D24" s="61">
        <v>1</v>
      </c>
      <c r="E24" s="184"/>
      <c r="F24" s="184" t="str">
        <f t="shared" si="1"/>
        <v/>
      </c>
      <c r="G24" s="61" t="str">
        <f t="shared" si="5"/>
        <v/>
      </c>
      <c r="H24" s="61">
        <v>1</v>
      </c>
      <c r="I24" s="184" t="s">
        <v>786</v>
      </c>
      <c r="J24" s="184" t="str">
        <f t="shared" si="2"/>
        <v>Strength Splash Potion (2:15)</v>
      </c>
      <c r="K24" s="61">
        <f t="shared" si="6"/>
        <v>34</v>
      </c>
      <c r="L24" s="61">
        <v>1</v>
      </c>
      <c r="M24" s="184"/>
      <c r="N24" s="184" t="str">
        <f t="shared" si="3"/>
        <v/>
      </c>
      <c r="O24" s="61" t="str">
        <f t="shared" si="7"/>
        <v/>
      </c>
      <c r="P24" s="61">
        <v>1</v>
      </c>
    </row>
    <row r="25" spans="1:16" x14ac:dyDescent="0.25">
      <c r="A25" s="184"/>
      <c r="B25" s="184" t="str">
        <f t="shared" si="0"/>
        <v/>
      </c>
      <c r="C25" s="61" t="str">
        <f t="shared" si="11"/>
        <v/>
      </c>
      <c r="D25" s="61">
        <v>1</v>
      </c>
      <c r="E25" s="184"/>
      <c r="F25" s="184" t="str">
        <f t="shared" si="1"/>
        <v/>
      </c>
      <c r="G25" s="61" t="str">
        <f t="shared" si="5"/>
        <v/>
      </c>
      <c r="H25" s="61">
        <v>1</v>
      </c>
      <c r="I25" s="184">
        <v>353</v>
      </c>
      <c r="J25" s="184" t="str">
        <f t="shared" si="2"/>
        <v>Sugar</v>
      </c>
      <c r="K25" s="61">
        <f t="shared" si="6"/>
        <v>36</v>
      </c>
      <c r="L25" s="61">
        <v>1</v>
      </c>
      <c r="M25" s="184"/>
      <c r="N25" s="184" t="str">
        <f t="shared" si="3"/>
        <v/>
      </c>
      <c r="O25" s="61" t="str">
        <f t="shared" si="7"/>
        <v/>
      </c>
      <c r="P25" s="61">
        <v>1</v>
      </c>
    </row>
    <row r="26" spans="1:16" x14ac:dyDescent="0.25">
      <c r="A26" s="184"/>
      <c r="B26" s="184" t="str">
        <f t="shared" si="0"/>
        <v/>
      </c>
      <c r="C26" s="61" t="str">
        <f t="shared" si="11"/>
        <v/>
      </c>
      <c r="D26" s="61">
        <v>1</v>
      </c>
      <c r="E26" s="184"/>
      <c r="F26" s="184" t="str">
        <f t="shared" si="1"/>
        <v/>
      </c>
      <c r="G26" s="61" t="str">
        <f t="shared" si="5"/>
        <v/>
      </c>
      <c r="H26" s="61">
        <v>1</v>
      </c>
      <c r="I26" s="184">
        <v>382</v>
      </c>
      <c r="J26" s="184" t="str">
        <f t="shared" si="2"/>
        <v>Glistering Melon Slice</v>
      </c>
      <c r="K26" s="61">
        <f t="shared" si="6"/>
        <v>38</v>
      </c>
      <c r="L26" s="61">
        <v>1</v>
      </c>
      <c r="M26" s="184"/>
      <c r="N26" s="184" t="str">
        <f t="shared" si="3"/>
        <v/>
      </c>
      <c r="O26" s="61" t="str">
        <f t="shared" si="7"/>
        <v/>
      </c>
      <c r="P26" s="61">
        <v>1</v>
      </c>
    </row>
    <row r="27" spans="1:16" x14ac:dyDescent="0.25">
      <c r="A27" s="184"/>
      <c r="B27" s="184" t="str">
        <f t="shared" si="0"/>
        <v/>
      </c>
      <c r="C27" s="61" t="str">
        <f t="shared" si="11"/>
        <v/>
      </c>
      <c r="D27" s="61">
        <v>1</v>
      </c>
      <c r="E27" s="184"/>
      <c r="F27" s="184" t="str">
        <f t="shared" si="1"/>
        <v/>
      </c>
      <c r="G27" s="61" t="str">
        <f t="shared" si="5"/>
        <v/>
      </c>
      <c r="H27" s="61">
        <v>1</v>
      </c>
      <c r="I27" s="184"/>
      <c r="J27" s="184" t="str">
        <f t="shared" si="2"/>
        <v/>
      </c>
      <c r="K27" s="61" t="str">
        <f t="shared" si="6"/>
        <v/>
      </c>
      <c r="L27" s="61">
        <v>1</v>
      </c>
      <c r="M27" s="184"/>
      <c r="N27" s="184" t="str">
        <f t="shared" si="3"/>
        <v/>
      </c>
      <c r="O27" s="61" t="str">
        <f t="shared" si="7"/>
        <v/>
      </c>
      <c r="P27" s="61">
        <v>1</v>
      </c>
    </row>
    <row r="28" spans="1:16" x14ac:dyDescent="0.25">
      <c r="A28" s="184"/>
      <c r="B28" s="184" t="str">
        <f t="shared" si="0"/>
        <v/>
      </c>
      <c r="C28" s="61" t="str">
        <f t="shared" si="11"/>
        <v/>
      </c>
      <c r="D28" s="61">
        <v>1</v>
      </c>
      <c r="E28" s="184"/>
      <c r="F28" s="184" t="str">
        <f t="shared" si="1"/>
        <v/>
      </c>
      <c r="G28" s="61" t="str">
        <f t="shared" si="5"/>
        <v/>
      </c>
      <c r="H28" s="61">
        <v>1</v>
      </c>
      <c r="I28" s="184"/>
      <c r="J28" s="184" t="str">
        <f t="shared" si="2"/>
        <v/>
      </c>
      <c r="K28" s="61" t="str">
        <f t="shared" si="6"/>
        <v/>
      </c>
      <c r="L28" s="61">
        <v>1</v>
      </c>
      <c r="M28" s="184"/>
      <c r="N28" s="184" t="str">
        <f t="shared" si="3"/>
        <v/>
      </c>
      <c r="O28" s="61" t="str">
        <f t="shared" si="7"/>
        <v/>
      </c>
      <c r="P28" s="61">
        <v>1</v>
      </c>
    </row>
    <row r="29" spans="1:16" x14ac:dyDescent="0.25">
      <c r="A29" s="184"/>
      <c r="B29" s="184" t="str">
        <f t="shared" si="0"/>
        <v/>
      </c>
      <c r="C29" s="61" t="str">
        <f t="shared" si="11"/>
        <v/>
      </c>
      <c r="D29" s="61">
        <v>1</v>
      </c>
      <c r="E29" s="184"/>
      <c r="F29" s="184" t="str">
        <f t="shared" si="1"/>
        <v/>
      </c>
      <c r="G29" s="61" t="str">
        <f t="shared" si="5"/>
        <v/>
      </c>
      <c r="H29" s="61">
        <v>1</v>
      </c>
      <c r="I29" s="184"/>
      <c r="J29" s="184" t="str">
        <f t="shared" si="2"/>
        <v/>
      </c>
      <c r="K29" s="61" t="str">
        <f t="shared" si="6"/>
        <v/>
      </c>
      <c r="L29" s="61">
        <v>1</v>
      </c>
      <c r="M29" s="184"/>
      <c r="N29" s="184" t="str">
        <f t="shared" si="3"/>
        <v/>
      </c>
      <c r="O29" s="61" t="str">
        <f t="shared" si="7"/>
        <v/>
      </c>
      <c r="P29" s="61">
        <v>1</v>
      </c>
    </row>
    <row r="30" spans="1:16" x14ac:dyDescent="0.25">
      <c r="A30" s="184"/>
      <c r="B30" s="184" t="str">
        <f t="shared" si="0"/>
        <v/>
      </c>
      <c r="C30" s="61" t="str">
        <f t="shared" si="11"/>
        <v/>
      </c>
      <c r="D30" s="61">
        <v>1</v>
      </c>
      <c r="E30" s="184"/>
      <c r="F30" s="184" t="str">
        <f t="shared" si="1"/>
        <v/>
      </c>
      <c r="G30" s="61" t="str">
        <f t="shared" si="5"/>
        <v/>
      </c>
      <c r="H30" s="61">
        <v>1</v>
      </c>
      <c r="I30" s="184"/>
      <c r="J30" s="184" t="str">
        <f t="shared" si="2"/>
        <v/>
      </c>
      <c r="K30" s="61" t="str">
        <f t="shared" si="6"/>
        <v/>
      </c>
      <c r="L30" s="61">
        <v>1</v>
      </c>
      <c r="M30" s="184"/>
      <c r="N30" s="184" t="str">
        <f t="shared" si="3"/>
        <v/>
      </c>
      <c r="O30" s="61" t="str">
        <f t="shared" si="7"/>
        <v/>
      </c>
      <c r="P30" s="61">
        <v>1</v>
      </c>
    </row>
    <row r="31" spans="1:16" x14ac:dyDescent="0.25">
      <c r="A31" s="257"/>
      <c r="B31" s="332" t="s">
        <v>1011</v>
      </c>
      <c r="C31" s="332"/>
      <c r="D31" s="333"/>
      <c r="E31" s="257"/>
      <c r="F31" s="332" t="s">
        <v>1011</v>
      </c>
      <c r="G31" s="332"/>
      <c r="H31" s="333"/>
      <c r="I31" s="257"/>
      <c r="J31" s="332" t="s">
        <v>1011</v>
      </c>
      <c r="K31" s="332"/>
      <c r="L31" s="333"/>
      <c r="M31" s="257"/>
      <c r="N31" s="332" t="s">
        <v>1011</v>
      </c>
      <c r="O31" s="332"/>
      <c r="P31" s="333"/>
    </row>
    <row r="32" spans="1:16" x14ac:dyDescent="0.25">
      <c r="A32" s="258"/>
      <c r="B32" s="258" t="s">
        <v>1008</v>
      </c>
      <c r="C32" s="336">
        <f>COUNTA(A37:A59)</f>
        <v>5</v>
      </c>
      <c r="D32" s="337"/>
      <c r="E32" s="258"/>
      <c r="F32" s="258" t="s">
        <v>1008</v>
      </c>
      <c r="G32" s="336">
        <f>COUNTA(E37:E59)</f>
        <v>10</v>
      </c>
      <c r="H32" s="337"/>
      <c r="I32" s="258"/>
      <c r="J32" s="258" t="s">
        <v>1008</v>
      </c>
      <c r="K32" s="336">
        <f>COUNTA(I37:I59)</f>
        <v>13</v>
      </c>
      <c r="L32" s="337"/>
      <c r="M32" s="258"/>
      <c r="N32" s="258" t="s">
        <v>1008</v>
      </c>
      <c r="O32" s="336">
        <f>COUNTA(M37:M59)</f>
        <v>3</v>
      </c>
      <c r="P32" s="337"/>
    </row>
    <row r="33" spans="1:16" x14ac:dyDescent="0.25">
      <c r="A33" s="258"/>
      <c r="B33" s="258" t="s">
        <v>1009</v>
      </c>
      <c r="C33" s="336">
        <f>ROUNDDOWN(C34/C32,1)</f>
        <v>10</v>
      </c>
      <c r="D33" s="337"/>
      <c r="E33" s="258"/>
      <c r="F33" s="258" t="s">
        <v>1009</v>
      </c>
      <c r="G33" s="336">
        <f>ROUNDDOWN(G34/G32,1)</f>
        <v>5</v>
      </c>
      <c r="H33" s="337"/>
      <c r="I33" s="258"/>
      <c r="J33" s="258" t="s">
        <v>1009</v>
      </c>
      <c r="K33" s="336">
        <f>ROUNDDOWN(K34/K32,1)</f>
        <v>3.8</v>
      </c>
      <c r="L33" s="337"/>
      <c r="M33" s="258"/>
      <c r="N33" s="258" t="s">
        <v>1009</v>
      </c>
      <c r="O33" s="336">
        <f>ROUNDDOWN(O34/O32,1)</f>
        <v>16.600000000000001</v>
      </c>
      <c r="P33" s="337"/>
    </row>
    <row r="34" spans="1:16" x14ac:dyDescent="0.25">
      <c r="A34" s="258"/>
      <c r="B34" s="258" t="s">
        <v>1007</v>
      </c>
      <c r="C34" s="336">
        <v>50</v>
      </c>
      <c r="D34" s="337"/>
      <c r="E34" s="258"/>
      <c r="F34" s="258" t="s">
        <v>1007</v>
      </c>
      <c r="G34" s="336">
        <v>50</v>
      </c>
      <c r="H34" s="337"/>
      <c r="I34" s="258"/>
      <c r="J34" s="258" t="s">
        <v>1007</v>
      </c>
      <c r="K34" s="336">
        <v>50</v>
      </c>
      <c r="L34" s="337"/>
      <c r="M34" s="258"/>
      <c r="N34" s="258" t="s">
        <v>1007</v>
      </c>
      <c r="O34" s="336">
        <v>50</v>
      </c>
      <c r="P34" s="337"/>
    </row>
    <row r="35" spans="1:16" x14ac:dyDescent="0.25">
      <c r="A35" s="258"/>
      <c r="B35" s="258" t="s">
        <v>1016</v>
      </c>
      <c r="C35" s="334">
        <v>50</v>
      </c>
      <c r="D35" s="338"/>
      <c r="E35" s="258"/>
      <c r="F35" s="258" t="s">
        <v>1016</v>
      </c>
      <c r="G35" s="334">
        <v>50</v>
      </c>
      <c r="H35" s="338"/>
      <c r="I35" s="258"/>
      <c r="J35" s="258" t="s">
        <v>1016</v>
      </c>
      <c r="K35" s="334">
        <v>50</v>
      </c>
      <c r="L35" s="338"/>
      <c r="M35" s="258"/>
      <c r="N35" s="258" t="s">
        <v>1016</v>
      </c>
      <c r="O35" s="334">
        <v>50</v>
      </c>
      <c r="P35" s="338"/>
    </row>
    <row r="36" spans="1:16" x14ac:dyDescent="0.25">
      <c r="A36" s="185" t="s">
        <v>205</v>
      </c>
      <c r="B36" s="185" t="s">
        <v>203</v>
      </c>
      <c r="C36" s="186" t="s">
        <v>50</v>
      </c>
      <c r="D36" s="186" t="s">
        <v>19</v>
      </c>
      <c r="E36" s="185" t="s">
        <v>205</v>
      </c>
      <c r="F36" s="185" t="s">
        <v>203</v>
      </c>
      <c r="G36" s="186" t="s">
        <v>50</v>
      </c>
      <c r="H36" s="186" t="s">
        <v>19</v>
      </c>
      <c r="I36" s="185" t="s">
        <v>205</v>
      </c>
      <c r="J36" s="185" t="s">
        <v>203</v>
      </c>
      <c r="K36" s="186" t="s">
        <v>50</v>
      </c>
      <c r="L36" s="186" t="s">
        <v>19</v>
      </c>
      <c r="M36" s="185" t="s">
        <v>205</v>
      </c>
      <c r="N36" s="185" t="s">
        <v>203</v>
      </c>
      <c r="O36" s="186" t="s">
        <v>50</v>
      </c>
      <c r="P36" s="186" t="s">
        <v>19</v>
      </c>
    </row>
    <row r="37" spans="1:16" x14ac:dyDescent="0.25">
      <c r="A37" s="184">
        <v>98</v>
      </c>
      <c r="B37" s="184" t="str">
        <f t="shared" ref="B37:B59" si="12">IF(ISBLANK(A37),"",VLOOKUP(A37,LISTAITEMS,2,FALSE))</f>
        <v>Stone Bricks</v>
      </c>
      <c r="C37" s="61">
        <f>IF(ISBLANK(A37),"",ROUNDDOWN(C34+C33,0))</f>
        <v>60</v>
      </c>
      <c r="D37" s="61">
        <v>2</v>
      </c>
      <c r="E37" s="184" t="s">
        <v>232</v>
      </c>
      <c r="F37" s="184" t="str">
        <f t="shared" ref="F37:F59" si="13">IF(ISBLANK(E37),"",VLOOKUP(E37,LISTAITEMS,2,FALSE))</f>
        <v>Spruce Planks</v>
      </c>
      <c r="G37" s="61">
        <f>IF(ISBLANK(E37),"",ROUNDDOWN(G34+G33,0))</f>
        <v>55</v>
      </c>
      <c r="H37" s="61">
        <v>2</v>
      </c>
      <c r="I37" s="184">
        <v>216</v>
      </c>
      <c r="J37" s="184" t="str">
        <f t="shared" ref="J37:J59" si="14">IF(ISBLANK(I37),"",VLOOKUP(I37,LISTAITEMS,2,FALSE))</f>
        <v>Bone Block</v>
      </c>
      <c r="K37" s="61">
        <f>IF(ISBLANK(I37),"",ROUNDDOWN(K34+K33,0))</f>
        <v>53</v>
      </c>
      <c r="L37" s="61">
        <v>2</v>
      </c>
      <c r="M37" s="184">
        <v>346</v>
      </c>
      <c r="N37" s="184" t="str">
        <f t="shared" ref="N37:N59" si="15">IF(ISBLANK(M37),"",VLOOKUP(M37,LISTAITEMS,2,FALSE))</f>
        <v>Fishing Rod</v>
      </c>
      <c r="O37" s="61">
        <f>IF(ISBLANK(M37),"",ROUNDDOWN(O34+O33,0))</f>
        <v>66</v>
      </c>
      <c r="P37" s="61">
        <v>2</v>
      </c>
    </row>
    <row r="38" spans="1:16" x14ac:dyDescent="0.25">
      <c r="A38" s="184" t="s">
        <v>379</v>
      </c>
      <c r="B38" s="184" t="str">
        <f t="shared" ref="B38:B40" si="16">IF(ISBLANK(A38),"",VLOOKUP(A38,LISTAITEMS,2,FALSE))</f>
        <v>Chiseled Stone Bricks</v>
      </c>
      <c r="C38" s="61">
        <f>IF(ISBLANK(A38),"",ROUNDDOWN(C37+$C$33,0))</f>
        <v>70</v>
      </c>
      <c r="D38" s="61">
        <v>2</v>
      </c>
      <c r="E38" s="184" t="s">
        <v>395</v>
      </c>
      <c r="F38" s="184" t="str">
        <f t="shared" si="13"/>
        <v>Spruce Slab</v>
      </c>
      <c r="G38" s="61">
        <f>IF(ISBLANK(E38),"",ROUNDDOWN(G37+$G$33,0))</f>
        <v>60</v>
      </c>
      <c r="H38" s="61">
        <v>2</v>
      </c>
      <c r="I38" s="184" t="s">
        <v>736</v>
      </c>
      <c r="J38" s="184" t="str">
        <f t="shared" ref="J38:J45" si="17">IF(ISBLANK(I38),"",VLOOKUP(I38,LISTAITEMS,2,FALSE))</f>
        <v>Strength Potion II(1:30)</v>
      </c>
      <c r="K38" s="61">
        <f t="shared" ref="K38:K45" si="18">IF(ISBLANK(I38),"",ROUNDDOWN(K37+$K$33,0))</f>
        <v>56</v>
      </c>
      <c r="L38" s="61">
        <v>2</v>
      </c>
      <c r="M38" s="184">
        <v>350</v>
      </c>
      <c r="N38" s="184" t="str">
        <f t="shared" si="15"/>
        <v>Cooked Fish</v>
      </c>
      <c r="O38" s="61">
        <f>IF(ISBLANK(M38),"",ROUNDDOWN(O37+$O$33,0))</f>
        <v>82</v>
      </c>
      <c r="P38" s="61">
        <v>2</v>
      </c>
    </row>
    <row r="39" spans="1:16" x14ac:dyDescent="0.25">
      <c r="A39" s="184" t="s">
        <v>1030</v>
      </c>
      <c r="B39" s="184" t="str">
        <f t="shared" si="16"/>
        <v>Cracked Stone Bricks</v>
      </c>
      <c r="C39" s="61">
        <f>IF(ISBLANK(A39),"",ROUNDDOWN(C38+$C$33,0))</f>
        <v>80</v>
      </c>
      <c r="D39" s="61">
        <v>2</v>
      </c>
      <c r="E39" s="184">
        <v>134</v>
      </c>
      <c r="F39" s="184" t="str">
        <f t="shared" si="13"/>
        <v>Spruce Stairs</v>
      </c>
      <c r="G39" s="61">
        <f t="shared" ref="G39:G59" si="19">IF(ISBLANK(E39),"",ROUNDDOWN(G38+$G$33,0))</f>
        <v>65</v>
      </c>
      <c r="H39" s="61">
        <v>2</v>
      </c>
      <c r="I39" s="184" t="s">
        <v>746</v>
      </c>
      <c r="J39" s="184" t="str">
        <f t="shared" si="17"/>
        <v>Fire Resistance Potion (8:00)</v>
      </c>
      <c r="K39" s="61">
        <f t="shared" si="18"/>
        <v>59</v>
      </c>
      <c r="L39" s="61">
        <v>2</v>
      </c>
      <c r="M39" s="184" t="s">
        <v>645</v>
      </c>
      <c r="N39" s="184" t="str">
        <f t="shared" si="15"/>
        <v>Cooked Salmon</v>
      </c>
      <c r="O39" s="61">
        <f t="shared" ref="O39:O59" si="20">IF(ISBLANK(M39),"",ROUNDDOWN(O38+$O$33,0))</f>
        <v>98</v>
      </c>
      <c r="P39" s="61">
        <v>2</v>
      </c>
    </row>
    <row r="40" spans="1:16" x14ac:dyDescent="0.25">
      <c r="A40" s="184" t="s">
        <v>316</v>
      </c>
      <c r="B40" s="184" t="str">
        <f t="shared" si="16"/>
        <v>Stone Brick slab</v>
      </c>
      <c r="C40" s="61">
        <f t="shared" ref="C40:C59" si="21">IF(ISBLANK(A40),"",ROUNDDOWN(C39+$C$33,0))</f>
        <v>90</v>
      </c>
      <c r="D40" s="61">
        <v>2</v>
      </c>
      <c r="E40" s="184">
        <v>188</v>
      </c>
      <c r="F40" s="184" t="str">
        <f t="shared" si="13"/>
        <v>Spruce Fence</v>
      </c>
      <c r="G40" s="61">
        <f t="shared" si="19"/>
        <v>70</v>
      </c>
      <c r="H40" s="61">
        <v>2</v>
      </c>
      <c r="I40" s="184" t="s">
        <v>776</v>
      </c>
      <c r="J40" s="184" t="str">
        <f t="shared" si="17"/>
        <v>Fire Resistance Splash Potion (2:15)</v>
      </c>
      <c r="K40" s="61">
        <f t="shared" si="18"/>
        <v>62</v>
      </c>
      <c r="L40" s="61">
        <v>2</v>
      </c>
      <c r="M40" s="184"/>
      <c r="N40" s="184" t="str">
        <f t="shared" si="15"/>
        <v/>
      </c>
      <c r="O40" s="61" t="str">
        <f t="shared" si="20"/>
        <v/>
      </c>
      <c r="P40" s="61">
        <v>2</v>
      </c>
    </row>
    <row r="41" spans="1:16" x14ac:dyDescent="0.25">
      <c r="A41" s="184">
        <v>109</v>
      </c>
      <c r="B41" s="184" t="str">
        <f t="shared" si="12"/>
        <v>Stone Brick Stairs</v>
      </c>
      <c r="C41" s="61">
        <f t="shared" si="21"/>
        <v>100</v>
      </c>
      <c r="D41" s="61">
        <v>2</v>
      </c>
      <c r="E41" s="184">
        <v>183</v>
      </c>
      <c r="F41" s="184" t="str">
        <f t="shared" si="13"/>
        <v>Spruce Fence Gate</v>
      </c>
      <c r="G41" s="61">
        <f t="shared" si="19"/>
        <v>75</v>
      </c>
      <c r="H41" s="61">
        <v>2</v>
      </c>
      <c r="I41" s="184" t="s">
        <v>742</v>
      </c>
      <c r="J41" s="184" t="str">
        <f t="shared" si="17"/>
        <v>Regeneration Potion (2:00)</v>
      </c>
      <c r="K41" s="61">
        <f t="shared" si="18"/>
        <v>65</v>
      </c>
      <c r="L41" s="61">
        <v>2</v>
      </c>
      <c r="M41" s="184"/>
      <c r="N41" s="184" t="str">
        <f t="shared" si="15"/>
        <v/>
      </c>
      <c r="O41" s="61" t="str">
        <f t="shared" si="20"/>
        <v/>
      </c>
      <c r="P41" s="61">
        <v>2</v>
      </c>
    </row>
    <row r="42" spans="1:16" x14ac:dyDescent="0.25">
      <c r="A42" s="184"/>
      <c r="B42" s="184" t="str">
        <f t="shared" si="12"/>
        <v/>
      </c>
      <c r="C42" s="61" t="str">
        <f t="shared" si="21"/>
        <v/>
      </c>
      <c r="D42" s="61">
        <v>2</v>
      </c>
      <c r="E42" s="184">
        <v>427</v>
      </c>
      <c r="F42" s="184" t="str">
        <f t="shared" si="13"/>
        <v>Spruce Door</v>
      </c>
      <c r="G42" s="61">
        <f t="shared" si="19"/>
        <v>80</v>
      </c>
      <c r="H42" s="61">
        <v>2</v>
      </c>
      <c r="I42" s="184" t="s">
        <v>772</v>
      </c>
      <c r="J42" s="184" t="str">
        <f t="shared" si="17"/>
        <v>Regeneration Splash Potion (0:33)</v>
      </c>
      <c r="K42" s="61">
        <f t="shared" si="18"/>
        <v>68</v>
      </c>
      <c r="L42" s="61">
        <v>2</v>
      </c>
      <c r="M42" s="184"/>
      <c r="N42" s="184" t="str">
        <f t="shared" si="15"/>
        <v/>
      </c>
      <c r="O42" s="61" t="str">
        <f t="shared" si="20"/>
        <v/>
      </c>
      <c r="P42" s="61">
        <v>2</v>
      </c>
    </row>
    <row r="43" spans="1:16" x14ac:dyDescent="0.25">
      <c r="A43" s="184"/>
      <c r="B43" s="184" t="str">
        <f t="shared" si="12"/>
        <v/>
      </c>
      <c r="C43" s="61" t="str">
        <f t="shared" si="21"/>
        <v/>
      </c>
      <c r="D43" s="61">
        <v>2</v>
      </c>
      <c r="E43" s="184">
        <v>416</v>
      </c>
      <c r="F43" s="184" t="str">
        <f t="shared" si="13"/>
        <v>Armor Stand</v>
      </c>
      <c r="G43" s="61">
        <f t="shared" si="19"/>
        <v>85</v>
      </c>
      <c r="H43" s="61">
        <v>2</v>
      </c>
      <c r="I43" s="184" t="s">
        <v>732</v>
      </c>
      <c r="J43" s="184" t="str">
        <f t="shared" si="17"/>
        <v>Poison Potion II (0:22)</v>
      </c>
      <c r="K43" s="61">
        <f t="shared" si="18"/>
        <v>71</v>
      </c>
      <c r="L43" s="61">
        <v>2</v>
      </c>
      <c r="M43" s="184"/>
      <c r="N43" s="184" t="str">
        <f t="shared" si="15"/>
        <v/>
      </c>
      <c r="O43" s="61" t="str">
        <f t="shared" si="20"/>
        <v/>
      </c>
      <c r="P43" s="61">
        <v>2</v>
      </c>
    </row>
    <row r="44" spans="1:16" x14ac:dyDescent="0.25">
      <c r="A44" s="184"/>
      <c r="B44" s="184" t="str">
        <f t="shared" si="12"/>
        <v/>
      </c>
      <c r="C44" s="61" t="str">
        <f t="shared" si="21"/>
        <v/>
      </c>
      <c r="D44" s="61">
        <v>2</v>
      </c>
      <c r="E44" s="184">
        <v>261</v>
      </c>
      <c r="F44" s="184" t="str">
        <f t="shared" si="13"/>
        <v>Bow</v>
      </c>
      <c r="G44" s="61">
        <f t="shared" si="19"/>
        <v>90</v>
      </c>
      <c r="H44" s="61">
        <v>2</v>
      </c>
      <c r="I44" s="184" t="s">
        <v>728</v>
      </c>
      <c r="J44" s="184" t="str">
        <f t="shared" si="17"/>
        <v>Regeneration Potion II (0:22)</v>
      </c>
      <c r="K44" s="61">
        <f t="shared" si="18"/>
        <v>74</v>
      </c>
      <c r="L44" s="61">
        <v>2</v>
      </c>
      <c r="M44" s="184"/>
      <c r="N44" s="184" t="str">
        <f t="shared" si="15"/>
        <v/>
      </c>
      <c r="O44" s="61" t="str">
        <f t="shared" si="20"/>
        <v/>
      </c>
      <c r="P44" s="61">
        <v>2</v>
      </c>
    </row>
    <row r="45" spans="1:16" x14ac:dyDescent="0.25">
      <c r="A45" s="184"/>
      <c r="B45" s="184" t="str">
        <f t="shared" si="12"/>
        <v/>
      </c>
      <c r="C45" s="61" t="str">
        <f t="shared" si="21"/>
        <v/>
      </c>
      <c r="D45" s="61">
        <v>2</v>
      </c>
      <c r="E45" s="184">
        <v>262</v>
      </c>
      <c r="F45" s="184" t="str">
        <f t="shared" si="13"/>
        <v>Arrow</v>
      </c>
      <c r="G45" s="61">
        <f t="shared" si="19"/>
        <v>95</v>
      </c>
      <c r="H45" s="61">
        <v>2</v>
      </c>
      <c r="I45" s="184" t="s">
        <v>816</v>
      </c>
      <c r="J45" s="184" t="str">
        <f t="shared" si="17"/>
        <v>Poison Splash Potion (1:30)</v>
      </c>
      <c r="K45" s="61">
        <f t="shared" si="18"/>
        <v>77</v>
      </c>
      <c r="L45" s="61">
        <v>2</v>
      </c>
      <c r="M45" s="184"/>
      <c r="N45" s="184" t="str">
        <f t="shared" si="15"/>
        <v/>
      </c>
      <c r="O45" s="61" t="str">
        <f t="shared" si="20"/>
        <v/>
      </c>
      <c r="P45" s="61">
        <v>2</v>
      </c>
    </row>
    <row r="46" spans="1:16" x14ac:dyDescent="0.25">
      <c r="A46" s="184"/>
      <c r="B46" s="184" t="str">
        <f t="shared" si="12"/>
        <v/>
      </c>
      <c r="C46" s="61" t="str">
        <f t="shared" si="21"/>
        <v/>
      </c>
      <c r="D46" s="61">
        <v>2</v>
      </c>
      <c r="E46" s="184">
        <v>425</v>
      </c>
      <c r="F46" s="184" t="str">
        <f t="shared" si="13"/>
        <v>Black Banner</v>
      </c>
      <c r="G46" s="61">
        <f t="shared" si="19"/>
        <v>100</v>
      </c>
      <c r="H46" s="61">
        <v>2</v>
      </c>
      <c r="I46" s="184" t="s">
        <v>822</v>
      </c>
      <c r="J46" s="184" t="str">
        <f t="shared" si="14"/>
        <v>Strength Splash Potion (6:00)</v>
      </c>
      <c r="K46" s="61">
        <f t="shared" ref="K46:K59" si="22">IF(ISBLANK(I46),"",ROUNDDOWN(K45+$K$33,0))</f>
        <v>80</v>
      </c>
      <c r="L46" s="61">
        <v>2</v>
      </c>
      <c r="M46" s="184"/>
      <c r="N46" s="184" t="str">
        <f t="shared" si="15"/>
        <v/>
      </c>
      <c r="O46" s="61" t="str">
        <f t="shared" si="20"/>
        <v/>
      </c>
      <c r="P46" s="61">
        <v>2</v>
      </c>
    </row>
    <row r="47" spans="1:16" x14ac:dyDescent="0.25">
      <c r="A47" s="184"/>
      <c r="B47" s="184" t="str">
        <f t="shared" si="12"/>
        <v/>
      </c>
      <c r="C47" s="61" t="str">
        <f t="shared" si="21"/>
        <v/>
      </c>
      <c r="D47" s="61">
        <v>2</v>
      </c>
      <c r="E47" s="184"/>
      <c r="F47" s="184" t="str">
        <f t="shared" si="13"/>
        <v/>
      </c>
      <c r="G47" s="61" t="str">
        <f t="shared" si="19"/>
        <v/>
      </c>
      <c r="H47" s="61">
        <v>2</v>
      </c>
      <c r="I47" s="184" t="s">
        <v>770</v>
      </c>
      <c r="J47" s="184" t="str">
        <f t="shared" si="14"/>
        <v>Strength Potion II (4:00)</v>
      </c>
      <c r="K47" s="61">
        <f t="shared" si="22"/>
        <v>83</v>
      </c>
      <c r="L47" s="61">
        <v>2</v>
      </c>
      <c r="M47" s="184"/>
      <c r="N47" s="184" t="str">
        <f t="shared" si="15"/>
        <v/>
      </c>
      <c r="O47" s="61" t="str">
        <f t="shared" si="20"/>
        <v/>
      </c>
      <c r="P47" s="61">
        <v>2</v>
      </c>
    </row>
    <row r="48" spans="1:16" x14ac:dyDescent="0.25">
      <c r="A48" s="184"/>
      <c r="B48" s="184" t="str">
        <f t="shared" si="12"/>
        <v/>
      </c>
      <c r="C48" s="61" t="str">
        <f t="shared" si="21"/>
        <v/>
      </c>
      <c r="D48" s="61">
        <v>2</v>
      </c>
      <c r="E48" s="184"/>
      <c r="F48" s="184" t="str">
        <f t="shared" si="13"/>
        <v/>
      </c>
      <c r="G48" s="61" t="str">
        <f t="shared" si="19"/>
        <v/>
      </c>
      <c r="H48" s="61">
        <v>2</v>
      </c>
      <c r="I48" s="184" t="s">
        <v>804</v>
      </c>
      <c r="J48" s="184" t="str">
        <f t="shared" si="14"/>
        <v>Strength Splash Potion II (1:07)</v>
      </c>
      <c r="K48" s="61">
        <f t="shared" si="22"/>
        <v>86</v>
      </c>
      <c r="L48" s="61">
        <v>2</v>
      </c>
      <c r="M48" s="184"/>
      <c r="N48" s="184" t="str">
        <f t="shared" si="15"/>
        <v/>
      </c>
      <c r="O48" s="61" t="str">
        <f t="shared" si="20"/>
        <v/>
      </c>
      <c r="P48" s="61">
        <v>2</v>
      </c>
    </row>
    <row r="49" spans="1:16" x14ac:dyDescent="0.25">
      <c r="A49" s="184"/>
      <c r="B49" s="184" t="str">
        <f t="shared" si="12"/>
        <v/>
      </c>
      <c r="C49" s="61" t="str">
        <f t="shared" si="21"/>
        <v/>
      </c>
      <c r="D49" s="61">
        <v>2</v>
      </c>
      <c r="E49" s="184"/>
      <c r="F49" s="184" t="str">
        <f t="shared" si="13"/>
        <v/>
      </c>
      <c r="G49" s="61" t="str">
        <f t="shared" si="19"/>
        <v/>
      </c>
      <c r="H49" s="61">
        <v>2</v>
      </c>
      <c r="I49" s="184">
        <v>376</v>
      </c>
      <c r="J49" s="184" t="str">
        <f t="shared" si="14"/>
        <v>Fermented Spider Eye</v>
      </c>
      <c r="K49" s="61">
        <f t="shared" si="22"/>
        <v>89</v>
      </c>
      <c r="L49" s="61">
        <v>2</v>
      </c>
      <c r="M49" s="184"/>
      <c r="N49" s="184" t="str">
        <f t="shared" si="15"/>
        <v/>
      </c>
      <c r="O49" s="61" t="str">
        <f t="shared" si="20"/>
        <v/>
      </c>
      <c r="P49" s="61">
        <v>2</v>
      </c>
    </row>
    <row r="50" spans="1:16" x14ac:dyDescent="0.25">
      <c r="A50" s="184"/>
      <c r="B50" s="184" t="str">
        <f t="shared" si="12"/>
        <v/>
      </c>
      <c r="C50" s="61" t="str">
        <f t="shared" si="21"/>
        <v/>
      </c>
      <c r="D50" s="61">
        <v>2</v>
      </c>
      <c r="E50" s="184"/>
      <c r="F50" s="184" t="str">
        <f t="shared" si="13"/>
        <v/>
      </c>
      <c r="G50" s="61" t="str">
        <f t="shared" si="19"/>
        <v/>
      </c>
      <c r="H50" s="61">
        <v>2</v>
      </c>
      <c r="I50" s="184"/>
      <c r="J50" s="184" t="str">
        <f t="shared" si="14"/>
        <v/>
      </c>
      <c r="K50" s="61" t="str">
        <f t="shared" si="22"/>
        <v/>
      </c>
      <c r="L50" s="61">
        <v>2</v>
      </c>
      <c r="M50" s="184"/>
      <c r="N50" s="184" t="str">
        <f t="shared" si="15"/>
        <v/>
      </c>
      <c r="O50" s="61" t="str">
        <f t="shared" si="20"/>
        <v/>
      </c>
      <c r="P50" s="61">
        <v>2</v>
      </c>
    </row>
    <row r="51" spans="1:16" x14ac:dyDescent="0.25">
      <c r="A51" s="184"/>
      <c r="B51" s="184" t="str">
        <f t="shared" si="12"/>
        <v/>
      </c>
      <c r="C51" s="61" t="str">
        <f t="shared" si="21"/>
        <v/>
      </c>
      <c r="D51" s="61">
        <v>2</v>
      </c>
      <c r="E51" s="184"/>
      <c r="F51" s="184" t="str">
        <f t="shared" si="13"/>
        <v/>
      </c>
      <c r="G51" s="61" t="str">
        <f t="shared" si="19"/>
        <v/>
      </c>
      <c r="H51" s="61">
        <v>2</v>
      </c>
      <c r="I51" s="184"/>
      <c r="J51" s="184" t="str">
        <f t="shared" si="14"/>
        <v/>
      </c>
      <c r="K51" s="61" t="str">
        <f t="shared" si="22"/>
        <v/>
      </c>
      <c r="L51" s="61">
        <v>2</v>
      </c>
      <c r="M51" s="184"/>
      <c r="N51" s="184" t="str">
        <f t="shared" si="15"/>
        <v/>
      </c>
      <c r="O51" s="61" t="str">
        <f t="shared" si="20"/>
        <v/>
      </c>
      <c r="P51" s="61">
        <v>2</v>
      </c>
    </row>
    <row r="52" spans="1:16" x14ac:dyDescent="0.25">
      <c r="A52" s="184"/>
      <c r="B52" s="184" t="str">
        <f t="shared" si="12"/>
        <v/>
      </c>
      <c r="C52" s="61" t="str">
        <f t="shared" si="21"/>
        <v/>
      </c>
      <c r="D52" s="61">
        <v>2</v>
      </c>
      <c r="E52" s="184"/>
      <c r="F52" s="184" t="str">
        <f t="shared" si="13"/>
        <v/>
      </c>
      <c r="G52" s="61" t="str">
        <f t="shared" si="19"/>
        <v/>
      </c>
      <c r="H52" s="61">
        <v>2</v>
      </c>
      <c r="I52" s="184"/>
      <c r="J52" s="184" t="str">
        <f t="shared" si="14"/>
        <v/>
      </c>
      <c r="K52" s="61" t="str">
        <f t="shared" si="22"/>
        <v/>
      </c>
      <c r="L52" s="61">
        <v>2</v>
      </c>
      <c r="M52" s="184"/>
      <c r="N52" s="184" t="str">
        <f t="shared" si="15"/>
        <v/>
      </c>
      <c r="O52" s="61" t="str">
        <f t="shared" si="20"/>
        <v/>
      </c>
      <c r="P52" s="61">
        <v>2</v>
      </c>
    </row>
    <row r="53" spans="1:16" x14ac:dyDescent="0.25">
      <c r="A53" s="184"/>
      <c r="B53" s="184" t="str">
        <f t="shared" si="12"/>
        <v/>
      </c>
      <c r="C53" s="61" t="str">
        <f t="shared" si="21"/>
        <v/>
      </c>
      <c r="D53" s="61">
        <v>2</v>
      </c>
      <c r="E53" s="184"/>
      <c r="F53" s="184" t="str">
        <f t="shared" si="13"/>
        <v/>
      </c>
      <c r="G53" s="61" t="str">
        <f t="shared" si="19"/>
        <v/>
      </c>
      <c r="H53" s="61">
        <v>2</v>
      </c>
      <c r="I53" s="184"/>
      <c r="J53" s="184" t="str">
        <f t="shared" si="14"/>
        <v/>
      </c>
      <c r="K53" s="61" t="str">
        <f t="shared" si="22"/>
        <v/>
      </c>
      <c r="L53" s="61">
        <v>2</v>
      </c>
      <c r="M53" s="184"/>
      <c r="N53" s="184" t="str">
        <f t="shared" si="15"/>
        <v/>
      </c>
      <c r="O53" s="61" t="str">
        <f t="shared" si="20"/>
        <v/>
      </c>
      <c r="P53" s="61">
        <v>2</v>
      </c>
    </row>
    <row r="54" spans="1:16" x14ac:dyDescent="0.25">
      <c r="A54" s="184"/>
      <c r="B54" s="184" t="str">
        <f t="shared" si="12"/>
        <v/>
      </c>
      <c r="C54" s="61" t="str">
        <f t="shared" si="21"/>
        <v/>
      </c>
      <c r="D54" s="61">
        <v>2</v>
      </c>
      <c r="E54" s="184"/>
      <c r="F54" s="184" t="str">
        <f t="shared" si="13"/>
        <v/>
      </c>
      <c r="G54" s="61" t="str">
        <f t="shared" si="19"/>
        <v/>
      </c>
      <c r="H54" s="61">
        <v>2</v>
      </c>
      <c r="I54" s="184"/>
      <c r="J54" s="184" t="str">
        <f t="shared" si="14"/>
        <v/>
      </c>
      <c r="K54" s="61" t="str">
        <f t="shared" si="22"/>
        <v/>
      </c>
      <c r="L54" s="61">
        <v>2</v>
      </c>
      <c r="M54" s="184"/>
      <c r="N54" s="184" t="str">
        <f t="shared" si="15"/>
        <v/>
      </c>
      <c r="O54" s="61" t="str">
        <f t="shared" si="20"/>
        <v/>
      </c>
      <c r="P54" s="61">
        <v>2</v>
      </c>
    </row>
    <row r="55" spans="1:16" x14ac:dyDescent="0.25">
      <c r="A55" s="184"/>
      <c r="B55" s="184" t="str">
        <f t="shared" si="12"/>
        <v/>
      </c>
      <c r="C55" s="61" t="str">
        <f t="shared" si="21"/>
        <v/>
      </c>
      <c r="D55" s="61">
        <v>2</v>
      </c>
      <c r="E55" s="184"/>
      <c r="F55" s="184" t="str">
        <f t="shared" si="13"/>
        <v/>
      </c>
      <c r="G55" s="61" t="str">
        <f t="shared" si="19"/>
        <v/>
      </c>
      <c r="H55" s="61">
        <v>2</v>
      </c>
      <c r="I55" s="184"/>
      <c r="J55" s="184" t="str">
        <f t="shared" si="14"/>
        <v/>
      </c>
      <c r="K55" s="61" t="str">
        <f t="shared" si="22"/>
        <v/>
      </c>
      <c r="L55" s="61">
        <v>2</v>
      </c>
      <c r="M55" s="184"/>
      <c r="N55" s="184" t="str">
        <f t="shared" si="15"/>
        <v/>
      </c>
      <c r="O55" s="61" t="str">
        <f t="shared" si="20"/>
        <v/>
      </c>
      <c r="P55" s="61">
        <v>2</v>
      </c>
    </row>
    <row r="56" spans="1:16" x14ac:dyDescent="0.25">
      <c r="A56" s="184"/>
      <c r="B56" s="184" t="str">
        <f t="shared" si="12"/>
        <v/>
      </c>
      <c r="C56" s="61" t="str">
        <f t="shared" si="21"/>
        <v/>
      </c>
      <c r="D56" s="61">
        <v>2</v>
      </c>
      <c r="E56" s="184"/>
      <c r="F56" s="184" t="str">
        <f t="shared" si="13"/>
        <v/>
      </c>
      <c r="G56" s="61" t="str">
        <f t="shared" si="19"/>
        <v/>
      </c>
      <c r="H56" s="61">
        <v>2</v>
      </c>
      <c r="I56" s="184"/>
      <c r="J56" s="184" t="str">
        <f t="shared" si="14"/>
        <v/>
      </c>
      <c r="K56" s="61" t="str">
        <f t="shared" si="22"/>
        <v/>
      </c>
      <c r="L56" s="61">
        <v>2</v>
      </c>
      <c r="M56" s="184"/>
      <c r="N56" s="184" t="str">
        <f t="shared" si="15"/>
        <v/>
      </c>
      <c r="O56" s="61" t="str">
        <f t="shared" si="20"/>
        <v/>
      </c>
      <c r="P56" s="61">
        <v>2</v>
      </c>
    </row>
    <row r="57" spans="1:16" x14ac:dyDescent="0.25">
      <c r="A57" s="184"/>
      <c r="B57" s="184" t="str">
        <f t="shared" si="12"/>
        <v/>
      </c>
      <c r="C57" s="61" t="str">
        <f t="shared" si="21"/>
        <v/>
      </c>
      <c r="D57" s="61">
        <v>2</v>
      </c>
      <c r="E57" s="184"/>
      <c r="F57" s="184" t="str">
        <f t="shared" si="13"/>
        <v/>
      </c>
      <c r="G57" s="61" t="str">
        <f t="shared" si="19"/>
        <v/>
      </c>
      <c r="H57" s="61">
        <v>2</v>
      </c>
      <c r="I57" s="184"/>
      <c r="J57" s="184" t="str">
        <f t="shared" si="14"/>
        <v/>
      </c>
      <c r="K57" s="61" t="str">
        <f t="shared" si="22"/>
        <v/>
      </c>
      <c r="L57" s="61">
        <v>2</v>
      </c>
      <c r="M57" s="184"/>
      <c r="N57" s="184" t="str">
        <f t="shared" si="15"/>
        <v/>
      </c>
      <c r="O57" s="61" t="str">
        <f t="shared" si="20"/>
        <v/>
      </c>
      <c r="P57" s="61">
        <v>2</v>
      </c>
    </row>
    <row r="58" spans="1:16" x14ac:dyDescent="0.25">
      <c r="A58" s="184"/>
      <c r="B58" s="184" t="str">
        <f t="shared" si="12"/>
        <v/>
      </c>
      <c r="C58" s="61" t="str">
        <f t="shared" si="21"/>
        <v/>
      </c>
      <c r="D58" s="61">
        <v>2</v>
      </c>
      <c r="E58" s="184"/>
      <c r="F58" s="184" t="str">
        <f t="shared" si="13"/>
        <v/>
      </c>
      <c r="G58" s="61" t="str">
        <f t="shared" si="19"/>
        <v/>
      </c>
      <c r="H58" s="61">
        <v>2</v>
      </c>
      <c r="I58" s="184"/>
      <c r="J58" s="184" t="str">
        <f t="shared" si="14"/>
        <v/>
      </c>
      <c r="K58" s="61" t="str">
        <f t="shared" si="22"/>
        <v/>
      </c>
      <c r="L58" s="61">
        <v>2</v>
      </c>
      <c r="M58" s="184"/>
      <c r="N58" s="184" t="str">
        <f t="shared" si="15"/>
        <v/>
      </c>
      <c r="O58" s="61" t="str">
        <f t="shared" si="20"/>
        <v/>
      </c>
      <c r="P58" s="61">
        <v>2</v>
      </c>
    </row>
    <row r="59" spans="1:16" x14ac:dyDescent="0.25">
      <c r="A59" s="184"/>
      <c r="B59" s="184" t="str">
        <f t="shared" si="12"/>
        <v/>
      </c>
      <c r="C59" s="61" t="str">
        <f t="shared" si="21"/>
        <v/>
      </c>
      <c r="D59" s="61">
        <v>2</v>
      </c>
      <c r="E59" s="184"/>
      <c r="F59" s="184" t="str">
        <f t="shared" si="13"/>
        <v/>
      </c>
      <c r="G59" s="61" t="str">
        <f t="shared" si="19"/>
        <v/>
      </c>
      <c r="H59" s="61">
        <v>2</v>
      </c>
      <c r="I59" s="184"/>
      <c r="J59" s="184" t="str">
        <f t="shared" si="14"/>
        <v/>
      </c>
      <c r="K59" s="61" t="str">
        <f t="shared" si="22"/>
        <v/>
      </c>
      <c r="L59" s="61">
        <v>2</v>
      </c>
      <c r="M59" s="184"/>
      <c r="N59" s="184" t="str">
        <f t="shared" si="15"/>
        <v/>
      </c>
      <c r="O59" s="61" t="str">
        <f t="shared" si="20"/>
        <v/>
      </c>
      <c r="P59" s="61">
        <v>2</v>
      </c>
    </row>
    <row r="60" spans="1:16" x14ac:dyDescent="0.25">
      <c r="A60" s="259"/>
      <c r="B60" s="332" t="s">
        <v>1012</v>
      </c>
      <c r="C60" s="332"/>
      <c r="D60" s="333"/>
      <c r="E60" s="259"/>
      <c r="F60" s="332" t="s">
        <v>1012</v>
      </c>
      <c r="G60" s="332"/>
      <c r="H60" s="333"/>
      <c r="I60" s="259"/>
      <c r="J60" s="332" t="s">
        <v>1012</v>
      </c>
      <c r="K60" s="332"/>
      <c r="L60" s="333"/>
      <c r="M60" s="259"/>
      <c r="N60" s="332" t="s">
        <v>1012</v>
      </c>
      <c r="O60" s="332"/>
      <c r="P60" s="333"/>
    </row>
    <row r="61" spans="1:16" x14ac:dyDescent="0.25">
      <c r="A61" s="258"/>
      <c r="B61" s="258" t="s">
        <v>1008</v>
      </c>
      <c r="C61" s="336">
        <f>COUNTA(A66:A88)</f>
        <v>18</v>
      </c>
      <c r="D61" s="304"/>
      <c r="E61" s="258"/>
      <c r="F61" s="258" t="s">
        <v>1008</v>
      </c>
      <c r="G61" s="336">
        <f>COUNTA(E66:E88)</f>
        <v>14</v>
      </c>
      <c r="H61" s="304"/>
      <c r="I61" s="258"/>
      <c r="J61" s="258" t="s">
        <v>1008</v>
      </c>
      <c r="K61" s="336">
        <f>COUNTA(I66:I88)</f>
        <v>12</v>
      </c>
      <c r="L61" s="304"/>
      <c r="M61" s="258"/>
      <c r="N61" s="258" t="s">
        <v>1008</v>
      </c>
      <c r="O61" s="336">
        <f>COUNTA(M66:M88)</f>
        <v>1</v>
      </c>
      <c r="P61" s="304"/>
    </row>
    <row r="62" spans="1:16" x14ac:dyDescent="0.25">
      <c r="A62" s="258"/>
      <c r="B62" s="258" t="s">
        <v>1009</v>
      </c>
      <c r="C62" s="336">
        <f>ROUNDDOWN(C64/C61,1)</f>
        <v>2.7</v>
      </c>
      <c r="D62" s="304"/>
      <c r="E62" s="258"/>
      <c r="F62" s="258" t="s">
        <v>1009</v>
      </c>
      <c r="G62" s="336">
        <f>ROUNDDOWN(G64/G61,1)</f>
        <v>3.5</v>
      </c>
      <c r="H62" s="304"/>
      <c r="I62" s="258"/>
      <c r="J62" s="258" t="s">
        <v>1009</v>
      </c>
      <c r="K62" s="336">
        <f>ROUNDDOWN(K64/K61,1)</f>
        <v>4.0999999999999996</v>
      </c>
      <c r="L62" s="304"/>
      <c r="M62" s="258"/>
      <c r="N62" s="258" t="s">
        <v>1009</v>
      </c>
      <c r="O62" s="336">
        <f>ROUNDDOWN(O64/O61,1)</f>
        <v>50</v>
      </c>
      <c r="P62" s="304"/>
    </row>
    <row r="63" spans="1:16" x14ac:dyDescent="0.25">
      <c r="A63" s="258"/>
      <c r="B63" s="258" t="s">
        <v>1007</v>
      </c>
      <c r="C63" s="336">
        <v>100</v>
      </c>
      <c r="D63" s="304"/>
      <c r="E63" s="258"/>
      <c r="F63" s="258" t="s">
        <v>1007</v>
      </c>
      <c r="G63" s="336">
        <v>100</v>
      </c>
      <c r="H63" s="304"/>
      <c r="I63" s="258"/>
      <c r="J63" s="258" t="s">
        <v>1007</v>
      </c>
      <c r="K63" s="336">
        <v>100</v>
      </c>
      <c r="L63" s="304"/>
      <c r="M63" s="258"/>
      <c r="N63" s="258" t="s">
        <v>1007</v>
      </c>
      <c r="O63" s="336">
        <v>100</v>
      </c>
      <c r="P63" s="304"/>
    </row>
    <row r="64" spans="1:16" x14ac:dyDescent="0.25">
      <c r="A64" s="258"/>
      <c r="B64" s="258" t="s">
        <v>1016</v>
      </c>
      <c r="C64" s="334">
        <v>50</v>
      </c>
      <c r="D64" s="335"/>
      <c r="E64" s="258"/>
      <c r="F64" s="258" t="s">
        <v>1016</v>
      </c>
      <c r="G64" s="334">
        <v>50</v>
      </c>
      <c r="H64" s="335"/>
      <c r="I64" s="258"/>
      <c r="J64" s="258" t="s">
        <v>1016</v>
      </c>
      <c r="K64" s="334">
        <v>50</v>
      </c>
      <c r="L64" s="335"/>
      <c r="M64" s="258"/>
      <c r="N64" s="258" t="s">
        <v>1016</v>
      </c>
      <c r="O64" s="334">
        <v>50</v>
      </c>
      <c r="P64" s="335"/>
    </row>
    <row r="65" spans="1:16" x14ac:dyDescent="0.25">
      <c r="A65" s="185" t="s">
        <v>205</v>
      </c>
      <c r="B65" s="185" t="s">
        <v>203</v>
      </c>
      <c r="C65" s="186" t="s">
        <v>50</v>
      </c>
      <c r="D65" s="186" t="s">
        <v>19</v>
      </c>
      <c r="E65" s="185" t="s">
        <v>205</v>
      </c>
      <c r="F65" s="185" t="s">
        <v>203</v>
      </c>
      <c r="G65" s="186" t="s">
        <v>50</v>
      </c>
      <c r="H65" s="186" t="s">
        <v>19</v>
      </c>
      <c r="I65" s="185" t="s">
        <v>205</v>
      </c>
      <c r="J65" s="185" t="s">
        <v>203</v>
      </c>
      <c r="K65" s="186" t="s">
        <v>50</v>
      </c>
      <c r="L65" s="186" t="s">
        <v>19</v>
      </c>
      <c r="M65" s="185" t="s">
        <v>205</v>
      </c>
      <c r="N65" s="185" t="s">
        <v>203</v>
      </c>
      <c r="O65" s="186" t="s">
        <v>50</v>
      </c>
      <c r="P65" s="186" t="s">
        <v>19</v>
      </c>
    </row>
    <row r="66" spans="1:16" x14ac:dyDescent="0.25">
      <c r="A66" s="184">
        <v>256</v>
      </c>
      <c r="B66" s="184" t="str">
        <f t="shared" ref="B66" si="23">IF(ISBLANK(A66),"",VLOOKUP(A66,LISTAITEMS,2,FALSE))</f>
        <v>Iron Shovel</v>
      </c>
      <c r="C66" s="61">
        <f>IF(ISBLANK(A66),"",ROUNDDOWN(C63+C62,0))</f>
        <v>102</v>
      </c>
      <c r="D66" s="61">
        <v>3</v>
      </c>
      <c r="E66" s="184">
        <v>258</v>
      </c>
      <c r="F66" s="184" t="str">
        <f t="shared" ref="F66:F88" si="24">IF(ISBLANK(E66),"",VLOOKUP(E66,LISTAITEMS,2,FALSE))</f>
        <v>Iron Axe</v>
      </c>
      <c r="G66" s="61">
        <f>IF(ISBLANK(E66),"",ROUNDDOWN(G63+G62,0))</f>
        <v>103</v>
      </c>
      <c r="H66" s="61">
        <v>3</v>
      </c>
      <c r="I66" s="184">
        <v>398</v>
      </c>
      <c r="J66" s="184" t="str">
        <f t="shared" ref="J66:J88" si="25">IF(ISBLANK(I66),"",VLOOKUP(I66,LISTAITEMS,2,FALSE))</f>
        <v>Carrot on a Stick</v>
      </c>
      <c r="K66" s="61">
        <f>IF(ISBLANK(I66),"",ROUNDDOWN(K63+K62,0))</f>
        <v>104</v>
      </c>
      <c r="L66" s="61">
        <v>3</v>
      </c>
      <c r="M66" s="184">
        <v>320</v>
      </c>
      <c r="N66" s="184" t="str">
        <f t="shared" ref="N66:N88" si="26">IF(ISBLANK(M66),"",VLOOKUP(M66,LISTAITEMS,2,FALSE))</f>
        <v>Cooked Porkchop</v>
      </c>
      <c r="O66" s="61">
        <f>IF(ISBLANK(M66),"",ROUNDDOWN(O63+O62,0))</f>
        <v>150</v>
      </c>
      <c r="P66" s="61">
        <v>3</v>
      </c>
    </row>
    <row r="67" spans="1:16" x14ac:dyDescent="0.25">
      <c r="A67" s="184">
        <v>20</v>
      </c>
      <c r="B67" s="184" t="str">
        <f t="shared" ref="B67:B68" si="27">IF(ISBLANK(A67),"",VLOOKUP(A67,LISTAITEMS,2,FALSE))</f>
        <v>Glass</v>
      </c>
      <c r="C67" s="61">
        <f>IF(ISBLANK(A67),"",ROUNDDOWN(C66+$C$62,0))</f>
        <v>104</v>
      </c>
      <c r="D67" s="61">
        <v>3</v>
      </c>
      <c r="E67" s="184" t="s">
        <v>234</v>
      </c>
      <c r="F67" s="184" t="str">
        <f t="shared" si="24"/>
        <v>Birch Planks</v>
      </c>
      <c r="G67" s="61">
        <f>IF(ISBLANK(E67),"",ROUNDDOWN(G66+$G$62,0))</f>
        <v>106</v>
      </c>
      <c r="H67" s="61">
        <v>3</v>
      </c>
      <c r="I67" s="184" t="s">
        <v>814</v>
      </c>
      <c r="J67" s="184" t="str">
        <f t="shared" si="25"/>
        <v>Fire Resistance Splash Potion (6:00)</v>
      </c>
      <c r="K67" s="61">
        <f>IF(ISBLANK(I67),"",ROUNDDOWN(K66+$K$62,0))</f>
        <v>108</v>
      </c>
      <c r="L67" s="61">
        <v>3</v>
      </c>
      <c r="M67" s="184"/>
      <c r="N67" s="184" t="str">
        <f t="shared" si="26"/>
        <v/>
      </c>
      <c r="O67" s="61" t="str">
        <f>IF(ISBLANK(M67),"",ROUNDDOWN(O66+$O$62,0))</f>
        <v/>
      </c>
      <c r="P67" s="61">
        <v>3</v>
      </c>
    </row>
    <row r="68" spans="1:16" x14ac:dyDescent="0.25">
      <c r="A68" s="184">
        <v>102</v>
      </c>
      <c r="B68" s="184" t="str">
        <f t="shared" si="27"/>
        <v>Glass Pane</v>
      </c>
      <c r="C68" s="61">
        <f t="shared" ref="C68" si="28">IF(ISBLANK(A68),"",ROUNDDOWN(C67+$C$62,0))</f>
        <v>106</v>
      </c>
      <c r="D68" s="61">
        <v>3</v>
      </c>
      <c r="E68" s="184" t="s">
        <v>397</v>
      </c>
      <c r="F68" s="184" t="str">
        <f t="shared" si="24"/>
        <v>Birch Slab</v>
      </c>
      <c r="G68" s="61">
        <f t="shared" ref="G68:G88" si="29">IF(ISBLANK(E68),"",ROUNDDOWN(G67+$G$62,0))</f>
        <v>109</v>
      </c>
      <c r="H68" s="61">
        <v>3</v>
      </c>
      <c r="I68" s="184" t="s">
        <v>810</v>
      </c>
      <c r="J68" s="184" t="str">
        <f t="shared" si="25"/>
        <v>Regeneration Splash Potion II (1:30)</v>
      </c>
      <c r="K68" s="61">
        <f t="shared" ref="K68:K88" si="30">IF(ISBLANK(I68),"",ROUNDDOWN(K67+$K$62,0))</f>
        <v>112</v>
      </c>
      <c r="L68" s="61">
        <v>3</v>
      </c>
      <c r="M68" s="184"/>
      <c r="N68" s="184" t="str">
        <f t="shared" si="26"/>
        <v/>
      </c>
      <c r="O68" s="61" t="str">
        <f t="shared" ref="O68:O88" si="31">IF(ISBLANK(M68),"",ROUNDDOWN(O67+$O$62,0))</f>
        <v/>
      </c>
      <c r="P68" s="61">
        <v>3</v>
      </c>
    </row>
    <row r="69" spans="1:16" x14ac:dyDescent="0.25">
      <c r="A69" s="184">
        <v>95</v>
      </c>
      <c r="B69" s="184" t="str">
        <f t="shared" ref="B69:B88" si="32">IF(ISBLANK(A69),"",VLOOKUP(A69,LISTAITEMS,2,FALSE))</f>
        <v>White Stained Glass</v>
      </c>
      <c r="C69" s="61">
        <f t="shared" ref="C69:C88" si="33">IF(ISBLANK(A69),"",ROUNDDOWN(C68+$C$62,0))</f>
        <v>108</v>
      </c>
      <c r="D69" s="61">
        <v>3</v>
      </c>
      <c r="E69" s="184">
        <v>135</v>
      </c>
      <c r="F69" s="184" t="str">
        <f t="shared" si="24"/>
        <v>Birch Stairs</v>
      </c>
      <c r="G69" s="61">
        <f t="shared" si="29"/>
        <v>112</v>
      </c>
      <c r="H69" s="61">
        <v>3</v>
      </c>
      <c r="I69" s="184" t="s">
        <v>768</v>
      </c>
      <c r="J69" s="184" t="str">
        <f t="shared" si="25"/>
        <v>Poison Potion II (1:00)</v>
      </c>
      <c r="K69" s="61">
        <f t="shared" si="30"/>
        <v>116</v>
      </c>
      <c r="L69" s="61">
        <v>3</v>
      </c>
      <c r="M69" s="184"/>
      <c r="N69" s="184" t="str">
        <f t="shared" si="26"/>
        <v/>
      </c>
      <c r="O69" s="61" t="str">
        <f t="shared" si="31"/>
        <v/>
      </c>
      <c r="P69" s="61">
        <v>3</v>
      </c>
    </row>
    <row r="70" spans="1:16" x14ac:dyDescent="0.25">
      <c r="A70" s="184">
        <v>160</v>
      </c>
      <c r="B70" s="184" t="str">
        <f t="shared" si="32"/>
        <v>White Stained Glass Pane</v>
      </c>
      <c r="C70" s="61">
        <f t="shared" si="33"/>
        <v>110</v>
      </c>
      <c r="D70" s="61">
        <v>3</v>
      </c>
      <c r="E70" s="184">
        <v>189</v>
      </c>
      <c r="F70" s="184" t="str">
        <f t="shared" si="24"/>
        <v>Birch Fence</v>
      </c>
      <c r="G70" s="61">
        <f t="shared" si="29"/>
        <v>115</v>
      </c>
      <c r="H70" s="61">
        <v>3</v>
      </c>
      <c r="I70" s="184" t="s">
        <v>800</v>
      </c>
      <c r="J70" s="184" t="str">
        <f t="shared" si="25"/>
        <v>Poison Splash Potion II (0:16)</v>
      </c>
      <c r="K70" s="61">
        <f t="shared" si="30"/>
        <v>120</v>
      </c>
      <c r="L70" s="61">
        <v>3</v>
      </c>
      <c r="M70" s="184"/>
      <c r="N70" s="184" t="str">
        <f t="shared" si="26"/>
        <v/>
      </c>
      <c r="O70" s="61" t="str">
        <f t="shared" si="31"/>
        <v/>
      </c>
      <c r="P70" s="61">
        <v>3</v>
      </c>
    </row>
    <row r="71" spans="1:16" x14ac:dyDescent="0.25">
      <c r="A71" s="184">
        <v>24</v>
      </c>
      <c r="B71" s="184" t="str">
        <f t="shared" si="32"/>
        <v>Sandstone</v>
      </c>
      <c r="C71" s="61">
        <f t="shared" si="33"/>
        <v>112</v>
      </c>
      <c r="D71" s="61">
        <v>3</v>
      </c>
      <c r="E71" s="184">
        <v>184</v>
      </c>
      <c r="F71" s="184" t="str">
        <f t="shared" si="24"/>
        <v>Birch Fence Gate</v>
      </c>
      <c r="G71" s="61">
        <f t="shared" si="29"/>
        <v>118</v>
      </c>
      <c r="H71" s="61">
        <v>3</v>
      </c>
      <c r="I71" s="184" t="s">
        <v>764</v>
      </c>
      <c r="J71" s="184" t="str">
        <f t="shared" si="25"/>
        <v>Regeneration Potion II (1:00)</v>
      </c>
      <c r="K71" s="61">
        <f t="shared" si="30"/>
        <v>124</v>
      </c>
      <c r="L71" s="61">
        <v>3</v>
      </c>
      <c r="M71" s="184"/>
      <c r="N71" s="184" t="str">
        <f t="shared" si="26"/>
        <v/>
      </c>
      <c r="O71" s="61" t="str">
        <f t="shared" si="31"/>
        <v/>
      </c>
      <c r="P71" s="61">
        <v>3</v>
      </c>
    </row>
    <row r="72" spans="1:16" x14ac:dyDescent="0.25">
      <c r="A72" s="184" t="s">
        <v>251</v>
      </c>
      <c r="B72" s="184" t="str">
        <f t="shared" si="32"/>
        <v>Chiseled Sandstone</v>
      </c>
      <c r="C72" s="61">
        <f t="shared" si="33"/>
        <v>114</v>
      </c>
      <c r="D72" s="61">
        <v>3</v>
      </c>
      <c r="E72" s="184">
        <v>339</v>
      </c>
      <c r="F72" s="184" t="str">
        <f t="shared" si="24"/>
        <v>Paper</v>
      </c>
      <c r="G72" s="61">
        <f t="shared" si="29"/>
        <v>121</v>
      </c>
      <c r="H72" s="61">
        <v>3</v>
      </c>
      <c r="I72" s="184" t="s">
        <v>796</v>
      </c>
      <c r="J72" s="184" t="str">
        <f t="shared" si="25"/>
        <v>Regeneration Splash Potion II (2:15)</v>
      </c>
      <c r="K72" s="61">
        <f t="shared" si="30"/>
        <v>128</v>
      </c>
      <c r="L72" s="61">
        <v>3</v>
      </c>
      <c r="M72" s="184"/>
      <c r="N72" s="184" t="str">
        <f t="shared" si="26"/>
        <v/>
      </c>
      <c r="O72" s="61" t="str">
        <f t="shared" si="31"/>
        <v/>
      </c>
      <c r="P72" s="61">
        <v>3</v>
      </c>
    </row>
    <row r="73" spans="1:16" x14ac:dyDescent="0.25">
      <c r="A73" s="184" t="s">
        <v>253</v>
      </c>
      <c r="B73" s="184" t="str">
        <f t="shared" si="32"/>
        <v>Smooth Sandstone</v>
      </c>
      <c r="C73" s="61">
        <f t="shared" si="33"/>
        <v>116</v>
      </c>
      <c r="D73" s="61">
        <v>3</v>
      </c>
      <c r="E73" s="184">
        <v>428</v>
      </c>
      <c r="F73" s="184" t="str">
        <f t="shared" si="24"/>
        <v>Birch Door</v>
      </c>
      <c r="G73" s="61">
        <f t="shared" si="29"/>
        <v>124</v>
      </c>
      <c r="H73" s="61">
        <v>3</v>
      </c>
      <c r="I73" s="184" t="s">
        <v>838</v>
      </c>
      <c r="J73" s="184" t="str">
        <f t="shared" si="25"/>
        <v>Strength Splash Potion II (3:00)</v>
      </c>
      <c r="K73" s="61">
        <f t="shared" si="30"/>
        <v>132</v>
      </c>
      <c r="L73" s="61">
        <v>3</v>
      </c>
      <c r="M73" s="184"/>
      <c r="N73" s="184" t="str">
        <f t="shared" si="26"/>
        <v/>
      </c>
      <c r="O73" s="61" t="str">
        <f t="shared" si="31"/>
        <v/>
      </c>
      <c r="P73" s="61">
        <v>3</v>
      </c>
    </row>
    <row r="74" spans="1:16" x14ac:dyDescent="0.25">
      <c r="A74" s="184" t="s">
        <v>308</v>
      </c>
      <c r="B74" s="184" t="str">
        <f t="shared" si="32"/>
        <v>Sandstone Slab</v>
      </c>
      <c r="C74" s="61">
        <f t="shared" si="33"/>
        <v>118</v>
      </c>
      <c r="D74" s="61">
        <v>3</v>
      </c>
      <c r="E74" s="184">
        <v>340</v>
      </c>
      <c r="F74" s="184" t="str">
        <f t="shared" si="24"/>
        <v>Book</v>
      </c>
      <c r="G74" s="61">
        <f t="shared" si="29"/>
        <v>127</v>
      </c>
      <c r="H74" s="61">
        <v>3</v>
      </c>
      <c r="I74" s="184" t="s">
        <v>836</v>
      </c>
      <c r="J74" s="184" t="str">
        <f t="shared" si="25"/>
        <v>Poison Splash Potion II (0:45)</v>
      </c>
      <c r="K74" s="61">
        <f t="shared" si="30"/>
        <v>136</v>
      </c>
      <c r="L74" s="61">
        <v>3</v>
      </c>
      <c r="M74" s="184"/>
      <c r="N74" s="184" t="str">
        <f t="shared" si="26"/>
        <v/>
      </c>
      <c r="O74" s="61" t="str">
        <f t="shared" si="31"/>
        <v/>
      </c>
      <c r="P74" s="61">
        <v>3</v>
      </c>
    </row>
    <row r="75" spans="1:16" x14ac:dyDescent="0.25">
      <c r="A75" s="184">
        <v>128</v>
      </c>
      <c r="B75" s="184" t="str">
        <f t="shared" si="32"/>
        <v>Sandstone Stairs</v>
      </c>
      <c r="C75" s="61">
        <f t="shared" si="33"/>
        <v>120</v>
      </c>
      <c r="D75" s="61">
        <v>3</v>
      </c>
      <c r="E75" s="184">
        <v>47</v>
      </c>
      <c r="F75" s="184" t="str">
        <f t="shared" si="24"/>
        <v>Bookshelf</v>
      </c>
      <c r="G75" s="61">
        <f t="shared" si="29"/>
        <v>130</v>
      </c>
      <c r="H75" s="61">
        <v>3</v>
      </c>
      <c r="I75" s="184" t="s">
        <v>832</v>
      </c>
      <c r="J75" s="184" t="str">
        <f t="shared" si="25"/>
        <v>Regeneration Splash Potion II (0:45)</v>
      </c>
      <c r="K75" s="61">
        <f t="shared" si="30"/>
        <v>140</v>
      </c>
      <c r="L75" s="61">
        <v>3</v>
      </c>
      <c r="M75" s="184"/>
      <c r="N75" s="184" t="str">
        <f t="shared" si="26"/>
        <v/>
      </c>
      <c r="O75" s="61" t="str">
        <f t="shared" si="31"/>
        <v/>
      </c>
      <c r="P75" s="61">
        <v>3</v>
      </c>
    </row>
    <row r="76" spans="1:16" x14ac:dyDescent="0.25">
      <c r="A76" s="184">
        <v>252</v>
      </c>
      <c r="B76" s="184" t="str">
        <f t="shared" si="32"/>
        <v>Concrete Pwd White</v>
      </c>
      <c r="C76" s="61">
        <f t="shared" si="33"/>
        <v>122</v>
      </c>
      <c r="D76" s="61">
        <v>3</v>
      </c>
      <c r="E76" s="184">
        <v>116</v>
      </c>
      <c r="F76" s="184" t="str">
        <f t="shared" si="24"/>
        <v>Enchantment Table</v>
      </c>
      <c r="G76" s="61">
        <f t="shared" si="29"/>
        <v>133</v>
      </c>
      <c r="H76" s="61">
        <v>3</v>
      </c>
      <c r="I76" s="184" t="s">
        <v>712</v>
      </c>
      <c r="J76" s="184" t="str">
        <f t="shared" si="25"/>
        <v>Healing Potion</v>
      </c>
      <c r="K76" s="61">
        <f t="shared" si="30"/>
        <v>144</v>
      </c>
      <c r="L76" s="61">
        <v>3</v>
      </c>
      <c r="M76" s="184"/>
      <c r="N76" s="184" t="str">
        <f t="shared" si="26"/>
        <v/>
      </c>
      <c r="O76" s="61" t="str">
        <f t="shared" si="31"/>
        <v/>
      </c>
      <c r="P76" s="61">
        <v>3</v>
      </c>
    </row>
    <row r="77" spans="1:16" x14ac:dyDescent="0.25">
      <c r="A77" s="184">
        <v>46</v>
      </c>
      <c r="B77" s="184" t="str">
        <f t="shared" si="32"/>
        <v>TNT</v>
      </c>
      <c r="C77" s="61">
        <f t="shared" si="33"/>
        <v>124</v>
      </c>
      <c r="D77" s="61">
        <v>3</v>
      </c>
      <c r="E77" s="184">
        <v>401</v>
      </c>
      <c r="F77" s="184" t="str">
        <f t="shared" si="24"/>
        <v>Firework Rocket</v>
      </c>
      <c r="G77" s="61">
        <f t="shared" si="29"/>
        <v>136</v>
      </c>
      <c r="H77" s="61">
        <v>3</v>
      </c>
      <c r="I77" s="184" t="s">
        <v>780</v>
      </c>
      <c r="J77" s="184" t="str">
        <f t="shared" si="25"/>
        <v>Healing Splash Potion</v>
      </c>
      <c r="K77" s="61">
        <f t="shared" si="30"/>
        <v>148</v>
      </c>
      <c r="L77" s="61">
        <v>3</v>
      </c>
      <c r="M77" s="184"/>
      <c r="N77" s="184" t="str">
        <f t="shared" si="26"/>
        <v/>
      </c>
      <c r="O77" s="61" t="str">
        <f t="shared" si="31"/>
        <v/>
      </c>
      <c r="P77" s="61">
        <v>3</v>
      </c>
    </row>
    <row r="78" spans="1:16" x14ac:dyDescent="0.25">
      <c r="A78" s="184">
        <v>442</v>
      </c>
      <c r="B78" s="184" t="str">
        <f t="shared" si="32"/>
        <v>Sheld</v>
      </c>
      <c r="C78" s="61">
        <f t="shared" si="33"/>
        <v>126</v>
      </c>
      <c r="D78" s="61">
        <v>3</v>
      </c>
      <c r="E78" s="184">
        <v>395</v>
      </c>
      <c r="F78" s="184" t="str">
        <f t="shared" si="24"/>
        <v>Empty Map</v>
      </c>
      <c r="G78" s="61">
        <f t="shared" si="29"/>
        <v>139</v>
      </c>
      <c r="H78" s="61">
        <v>3</v>
      </c>
      <c r="I78" s="184"/>
      <c r="J78" s="184" t="str">
        <f t="shared" si="25"/>
        <v/>
      </c>
      <c r="K78" s="61" t="str">
        <f t="shared" si="30"/>
        <v/>
      </c>
      <c r="L78" s="61">
        <v>3</v>
      </c>
      <c r="M78" s="184"/>
      <c r="N78" s="184" t="str">
        <f t="shared" si="26"/>
        <v/>
      </c>
      <c r="O78" s="61" t="str">
        <f t="shared" si="31"/>
        <v/>
      </c>
      <c r="P78" s="61">
        <v>3</v>
      </c>
    </row>
    <row r="79" spans="1:16" x14ac:dyDescent="0.25">
      <c r="A79" s="184">
        <v>179</v>
      </c>
      <c r="B79" s="184" t="str">
        <f t="shared" si="32"/>
        <v>Red Sandstone</v>
      </c>
      <c r="C79" s="61">
        <f t="shared" si="33"/>
        <v>128</v>
      </c>
      <c r="D79" s="61">
        <v>3</v>
      </c>
      <c r="E79" s="184">
        <v>386</v>
      </c>
      <c r="F79" s="184" t="str">
        <f t="shared" si="24"/>
        <v>Book and Quil</v>
      </c>
      <c r="G79" s="61">
        <f t="shared" si="29"/>
        <v>142</v>
      </c>
      <c r="H79" s="61">
        <v>3</v>
      </c>
      <c r="I79" s="184"/>
      <c r="J79" s="184" t="str">
        <f t="shared" si="25"/>
        <v/>
      </c>
      <c r="K79" s="61" t="str">
        <f t="shared" si="30"/>
        <v/>
      </c>
      <c r="L79" s="61">
        <v>3</v>
      </c>
      <c r="M79" s="184"/>
      <c r="N79" s="184" t="str">
        <f t="shared" si="26"/>
        <v/>
      </c>
      <c r="O79" s="61" t="str">
        <f t="shared" si="31"/>
        <v/>
      </c>
      <c r="P79" s="61">
        <v>3</v>
      </c>
    </row>
    <row r="80" spans="1:16" x14ac:dyDescent="0.25">
      <c r="A80" s="184">
        <v>182</v>
      </c>
      <c r="B80" s="184" t="str">
        <f t="shared" si="32"/>
        <v>Red Sandstone Slab</v>
      </c>
      <c r="C80" s="61">
        <f t="shared" si="33"/>
        <v>130</v>
      </c>
      <c r="D80" s="61">
        <v>3</v>
      </c>
      <c r="E80" s="184"/>
      <c r="F80" s="184" t="str">
        <f t="shared" si="24"/>
        <v/>
      </c>
      <c r="G80" s="61" t="str">
        <f t="shared" si="29"/>
        <v/>
      </c>
      <c r="H80" s="61">
        <v>3</v>
      </c>
      <c r="I80" s="184"/>
      <c r="J80" s="184" t="str">
        <f t="shared" si="25"/>
        <v/>
      </c>
      <c r="K80" s="61" t="str">
        <f t="shared" si="30"/>
        <v/>
      </c>
      <c r="L80" s="61">
        <v>3</v>
      </c>
      <c r="M80" s="184"/>
      <c r="N80" s="184" t="str">
        <f t="shared" si="26"/>
        <v/>
      </c>
      <c r="O80" s="61" t="str">
        <f t="shared" si="31"/>
        <v/>
      </c>
      <c r="P80" s="61">
        <v>3</v>
      </c>
    </row>
    <row r="81" spans="1:16" x14ac:dyDescent="0.25">
      <c r="A81" s="184">
        <v>180</v>
      </c>
      <c r="B81" s="184" t="str">
        <f t="shared" si="32"/>
        <v>Red Sandstone Stairs</v>
      </c>
      <c r="C81" s="61">
        <f t="shared" si="33"/>
        <v>132</v>
      </c>
      <c r="D81" s="61">
        <v>3</v>
      </c>
      <c r="E81" s="184"/>
      <c r="F81" s="184" t="str">
        <f t="shared" si="24"/>
        <v/>
      </c>
      <c r="G81" s="61" t="str">
        <f t="shared" si="29"/>
        <v/>
      </c>
      <c r="H81" s="61">
        <v>3</v>
      </c>
      <c r="I81" s="184"/>
      <c r="J81" s="184" t="str">
        <f t="shared" si="25"/>
        <v/>
      </c>
      <c r="K81" s="61" t="str">
        <f t="shared" si="30"/>
        <v/>
      </c>
      <c r="L81" s="61">
        <v>3</v>
      </c>
      <c r="M81" s="184"/>
      <c r="N81" s="184" t="str">
        <f t="shared" si="26"/>
        <v/>
      </c>
      <c r="O81" s="61" t="str">
        <f t="shared" si="31"/>
        <v/>
      </c>
      <c r="P81" s="61">
        <v>3</v>
      </c>
    </row>
    <row r="82" spans="1:16" x14ac:dyDescent="0.25">
      <c r="A82" s="184" t="s">
        <v>541</v>
      </c>
      <c r="B82" s="184" t="str">
        <f t="shared" si="32"/>
        <v>Chiseled Red Sandstone</v>
      </c>
      <c r="C82" s="61">
        <f t="shared" si="33"/>
        <v>134</v>
      </c>
      <c r="D82" s="61">
        <v>3</v>
      </c>
      <c r="E82" s="184"/>
      <c r="F82" s="184" t="str">
        <f>IF(ISBLANK(E82),"",VLOOKUP(E82,LISTAITEMS,2,FALSE))</f>
        <v/>
      </c>
      <c r="G82" s="61" t="str">
        <f t="shared" si="29"/>
        <v/>
      </c>
      <c r="H82" s="61">
        <v>3</v>
      </c>
      <c r="I82" s="184"/>
      <c r="J82" s="184" t="str">
        <f t="shared" si="25"/>
        <v/>
      </c>
      <c r="K82" s="61" t="str">
        <f t="shared" si="30"/>
        <v/>
      </c>
      <c r="L82" s="61">
        <v>3</v>
      </c>
      <c r="M82" s="184"/>
      <c r="N82" s="184" t="str">
        <f t="shared" si="26"/>
        <v/>
      </c>
      <c r="O82" s="61" t="str">
        <f t="shared" si="31"/>
        <v/>
      </c>
      <c r="P82" s="61">
        <v>3</v>
      </c>
    </row>
    <row r="83" spans="1:16" x14ac:dyDescent="0.25">
      <c r="A83" s="184">
        <v>147</v>
      </c>
      <c r="B83" s="184" t="str">
        <f t="shared" si="32"/>
        <v>Light Weighted Pressure Plate</v>
      </c>
      <c r="C83" s="61">
        <f t="shared" si="33"/>
        <v>136</v>
      </c>
      <c r="D83" s="61">
        <v>3</v>
      </c>
      <c r="E83" s="184"/>
      <c r="F83" s="184" t="str">
        <f t="shared" si="24"/>
        <v/>
      </c>
      <c r="G83" s="61" t="str">
        <f t="shared" si="29"/>
        <v/>
      </c>
      <c r="H83" s="61">
        <v>3</v>
      </c>
      <c r="I83" s="184"/>
      <c r="J83" s="184" t="str">
        <f t="shared" si="25"/>
        <v/>
      </c>
      <c r="K83" s="61" t="str">
        <f t="shared" si="30"/>
        <v/>
      </c>
      <c r="L83" s="61">
        <v>3</v>
      </c>
      <c r="M83" s="184"/>
      <c r="N83" s="184" t="str">
        <f t="shared" si="26"/>
        <v/>
      </c>
      <c r="O83" s="61" t="str">
        <f t="shared" si="31"/>
        <v/>
      </c>
      <c r="P83" s="61">
        <v>3</v>
      </c>
    </row>
    <row r="84" spans="1:16" x14ac:dyDescent="0.25">
      <c r="A84" s="184"/>
      <c r="B84" s="184" t="str">
        <f t="shared" si="32"/>
        <v/>
      </c>
      <c r="C84" s="61" t="str">
        <f t="shared" si="33"/>
        <v/>
      </c>
      <c r="D84" s="61">
        <v>3</v>
      </c>
      <c r="E84" s="184"/>
      <c r="F84" s="184" t="str">
        <f t="shared" si="24"/>
        <v/>
      </c>
      <c r="G84" s="61" t="str">
        <f t="shared" si="29"/>
        <v/>
      </c>
      <c r="H84" s="61">
        <v>3</v>
      </c>
      <c r="I84" s="184"/>
      <c r="J84" s="184" t="str">
        <f t="shared" si="25"/>
        <v/>
      </c>
      <c r="K84" s="61" t="str">
        <f t="shared" si="30"/>
        <v/>
      </c>
      <c r="L84" s="61">
        <v>3</v>
      </c>
      <c r="M84" s="184"/>
      <c r="N84" s="184" t="str">
        <f t="shared" si="26"/>
        <v/>
      </c>
      <c r="O84" s="61" t="str">
        <f t="shared" si="31"/>
        <v/>
      </c>
      <c r="P84" s="61">
        <v>3</v>
      </c>
    </row>
    <row r="85" spans="1:16" x14ac:dyDescent="0.25">
      <c r="A85" s="184"/>
      <c r="B85" s="184" t="str">
        <f t="shared" si="32"/>
        <v/>
      </c>
      <c r="C85" s="61" t="str">
        <f t="shared" si="33"/>
        <v/>
      </c>
      <c r="D85" s="61">
        <v>3</v>
      </c>
      <c r="E85" s="184"/>
      <c r="F85" s="184" t="str">
        <f t="shared" si="24"/>
        <v/>
      </c>
      <c r="G85" s="61" t="str">
        <f t="shared" si="29"/>
        <v/>
      </c>
      <c r="H85" s="61">
        <v>3</v>
      </c>
      <c r="I85" s="184"/>
      <c r="J85" s="184" t="str">
        <f t="shared" si="25"/>
        <v/>
      </c>
      <c r="K85" s="61" t="str">
        <f t="shared" si="30"/>
        <v/>
      </c>
      <c r="L85" s="61">
        <v>3</v>
      </c>
      <c r="M85" s="184"/>
      <c r="N85" s="184" t="str">
        <f t="shared" si="26"/>
        <v/>
      </c>
      <c r="O85" s="61" t="str">
        <f t="shared" si="31"/>
        <v/>
      </c>
      <c r="P85" s="61">
        <v>3</v>
      </c>
    </row>
    <row r="86" spans="1:16" x14ac:dyDescent="0.25">
      <c r="A86" s="184"/>
      <c r="B86" s="184" t="str">
        <f t="shared" si="32"/>
        <v/>
      </c>
      <c r="C86" s="61" t="str">
        <f t="shared" si="33"/>
        <v/>
      </c>
      <c r="D86" s="61">
        <v>3</v>
      </c>
      <c r="E86" s="184"/>
      <c r="F86" s="184" t="str">
        <f t="shared" si="24"/>
        <v/>
      </c>
      <c r="G86" s="61" t="str">
        <f t="shared" si="29"/>
        <v/>
      </c>
      <c r="H86" s="61">
        <v>3</v>
      </c>
      <c r="I86" s="184"/>
      <c r="J86" s="184" t="str">
        <f t="shared" si="25"/>
        <v/>
      </c>
      <c r="K86" s="61" t="str">
        <f t="shared" si="30"/>
        <v/>
      </c>
      <c r="L86" s="61">
        <v>3</v>
      </c>
      <c r="M86" s="184"/>
      <c r="N86" s="184" t="str">
        <f t="shared" si="26"/>
        <v/>
      </c>
      <c r="O86" s="61" t="str">
        <f t="shared" si="31"/>
        <v/>
      </c>
      <c r="P86" s="61">
        <v>3</v>
      </c>
    </row>
    <row r="87" spans="1:16" x14ac:dyDescent="0.25">
      <c r="A87" s="184"/>
      <c r="B87" s="184" t="str">
        <f t="shared" si="32"/>
        <v/>
      </c>
      <c r="C87" s="61" t="str">
        <f t="shared" si="33"/>
        <v/>
      </c>
      <c r="D87" s="61">
        <v>3</v>
      </c>
      <c r="E87" s="184"/>
      <c r="F87" s="184" t="str">
        <f t="shared" si="24"/>
        <v/>
      </c>
      <c r="G87" s="61" t="str">
        <f t="shared" si="29"/>
        <v/>
      </c>
      <c r="H87" s="61">
        <v>3</v>
      </c>
      <c r="I87" s="184"/>
      <c r="J87" s="184" t="str">
        <f t="shared" si="25"/>
        <v/>
      </c>
      <c r="K87" s="61" t="str">
        <f t="shared" si="30"/>
        <v/>
      </c>
      <c r="L87" s="61">
        <v>3</v>
      </c>
      <c r="M87" s="184"/>
      <c r="N87" s="184" t="str">
        <f t="shared" si="26"/>
        <v/>
      </c>
      <c r="O87" s="61" t="str">
        <f t="shared" si="31"/>
        <v/>
      </c>
      <c r="P87" s="61">
        <v>3</v>
      </c>
    </row>
    <row r="88" spans="1:16" x14ac:dyDescent="0.25">
      <c r="A88" s="184"/>
      <c r="B88" s="184" t="str">
        <f t="shared" si="32"/>
        <v/>
      </c>
      <c r="C88" s="61" t="str">
        <f t="shared" si="33"/>
        <v/>
      </c>
      <c r="D88" s="61">
        <v>3</v>
      </c>
      <c r="E88" s="184"/>
      <c r="F88" s="184" t="str">
        <f t="shared" si="24"/>
        <v/>
      </c>
      <c r="G88" s="61" t="str">
        <f t="shared" si="29"/>
        <v/>
      </c>
      <c r="H88" s="61">
        <v>3</v>
      </c>
      <c r="I88" s="184"/>
      <c r="J88" s="184" t="str">
        <f t="shared" si="25"/>
        <v/>
      </c>
      <c r="K88" s="61" t="str">
        <f t="shared" si="30"/>
        <v/>
      </c>
      <c r="L88" s="61">
        <v>3</v>
      </c>
      <c r="M88" s="184"/>
      <c r="N88" s="184" t="str">
        <f t="shared" si="26"/>
        <v/>
      </c>
      <c r="O88" s="61" t="str">
        <f t="shared" si="31"/>
        <v/>
      </c>
      <c r="P88" s="61">
        <v>3</v>
      </c>
    </row>
    <row r="89" spans="1:16" x14ac:dyDescent="0.25">
      <c r="A89" s="259"/>
      <c r="B89" s="332" t="s">
        <v>1013</v>
      </c>
      <c r="C89" s="332"/>
      <c r="D89" s="333"/>
      <c r="E89" s="259"/>
      <c r="F89" s="332" t="s">
        <v>1013</v>
      </c>
      <c r="G89" s="332"/>
      <c r="H89" s="333"/>
      <c r="I89" s="259"/>
      <c r="J89" s="332" t="s">
        <v>1013</v>
      </c>
      <c r="K89" s="332"/>
      <c r="L89" s="333"/>
      <c r="M89" s="259"/>
      <c r="N89" s="332" t="s">
        <v>1013</v>
      </c>
      <c r="O89" s="332"/>
      <c r="P89" s="333"/>
    </row>
    <row r="90" spans="1:16" x14ac:dyDescent="0.25">
      <c r="A90" s="258"/>
      <c r="B90" s="258" t="s">
        <v>1008</v>
      </c>
      <c r="C90" s="336">
        <f>COUNTA(A95:A129)</f>
        <v>35</v>
      </c>
      <c r="D90" s="304"/>
      <c r="E90" s="258"/>
      <c r="F90" s="258" t="s">
        <v>1008</v>
      </c>
      <c r="G90" s="336">
        <f>COUNTA(E95:E129)</f>
        <v>7</v>
      </c>
      <c r="H90" s="304"/>
      <c r="I90" s="258"/>
      <c r="J90" s="258" t="s">
        <v>1008</v>
      </c>
      <c r="K90" s="336">
        <f>COUNTA(I95:I129)</f>
        <v>17</v>
      </c>
      <c r="L90" s="304"/>
      <c r="M90" s="258"/>
      <c r="N90" s="258" t="s">
        <v>1008</v>
      </c>
      <c r="O90" s="336">
        <f>COUNTA(M95:M129)</f>
        <v>4</v>
      </c>
      <c r="P90" s="304"/>
    </row>
    <row r="91" spans="1:16" x14ac:dyDescent="0.25">
      <c r="A91" s="258"/>
      <c r="B91" s="258" t="s">
        <v>1009</v>
      </c>
      <c r="C91" s="336">
        <f>ROUNDDOWN(C93/C90,1)</f>
        <v>1.4</v>
      </c>
      <c r="D91" s="337"/>
      <c r="E91" s="258"/>
      <c r="F91" s="258" t="s">
        <v>1009</v>
      </c>
      <c r="G91" s="336">
        <f>ROUNDDOWN(G93/G90,1)</f>
        <v>7.1</v>
      </c>
      <c r="H91" s="337"/>
      <c r="I91" s="258"/>
      <c r="J91" s="258" t="s">
        <v>1009</v>
      </c>
      <c r="K91" s="336">
        <f>ROUNDDOWN(K93/K90,1)</f>
        <v>2.9</v>
      </c>
      <c r="L91" s="337"/>
      <c r="M91" s="258"/>
      <c r="N91" s="258" t="s">
        <v>1009</v>
      </c>
      <c r="O91" s="336">
        <f>ROUNDDOWN(O93/O90,1)</f>
        <v>12.5</v>
      </c>
      <c r="P91" s="337"/>
    </row>
    <row r="92" spans="1:16" x14ac:dyDescent="0.25">
      <c r="A92" s="258"/>
      <c r="B92" s="258" t="s">
        <v>1007</v>
      </c>
      <c r="C92" s="336">
        <v>150</v>
      </c>
      <c r="D92" s="337"/>
      <c r="E92" s="258"/>
      <c r="F92" s="258" t="s">
        <v>1007</v>
      </c>
      <c r="G92" s="336">
        <v>150</v>
      </c>
      <c r="H92" s="337"/>
      <c r="I92" s="258"/>
      <c r="J92" s="258" t="s">
        <v>1007</v>
      </c>
      <c r="K92" s="336">
        <v>150</v>
      </c>
      <c r="L92" s="337"/>
      <c r="M92" s="258"/>
      <c r="N92" s="258" t="s">
        <v>1007</v>
      </c>
      <c r="O92" s="336">
        <v>150</v>
      </c>
      <c r="P92" s="337"/>
    </row>
    <row r="93" spans="1:16" x14ac:dyDescent="0.25">
      <c r="A93" s="258"/>
      <c r="B93" s="258" t="s">
        <v>1016</v>
      </c>
      <c r="C93" s="334">
        <v>50</v>
      </c>
      <c r="D93" s="338"/>
      <c r="E93" s="258"/>
      <c r="F93" s="258" t="s">
        <v>1016</v>
      </c>
      <c r="G93" s="334">
        <v>50</v>
      </c>
      <c r="H93" s="338"/>
      <c r="I93" s="258"/>
      <c r="J93" s="258" t="s">
        <v>1016</v>
      </c>
      <c r="K93" s="334">
        <v>50</v>
      </c>
      <c r="L93" s="338"/>
      <c r="M93" s="258"/>
      <c r="N93" s="258" t="s">
        <v>1016</v>
      </c>
      <c r="O93" s="334">
        <v>50</v>
      </c>
      <c r="P93" s="338"/>
    </row>
    <row r="94" spans="1:16" x14ac:dyDescent="0.25">
      <c r="A94" s="185" t="s">
        <v>205</v>
      </c>
      <c r="B94" s="185" t="s">
        <v>203</v>
      </c>
      <c r="C94" s="186" t="s">
        <v>50</v>
      </c>
      <c r="D94" s="186" t="s">
        <v>19</v>
      </c>
      <c r="E94" s="185" t="s">
        <v>205</v>
      </c>
      <c r="F94" s="185" t="s">
        <v>203</v>
      </c>
      <c r="G94" s="186" t="s">
        <v>50</v>
      </c>
      <c r="H94" s="186" t="s">
        <v>19</v>
      </c>
      <c r="I94" s="185" t="s">
        <v>205</v>
      </c>
      <c r="J94" s="185" t="s">
        <v>203</v>
      </c>
      <c r="K94" s="186" t="s">
        <v>50</v>
      </c>
      <c r="L94" s="186" t="s">
        <v>19</v>
      </c>
      <c r="M94" s="185" t="s">
        <v>205</v>
      </c>
      <c r="N94" s="185" t="s">
        <v>203</v>
      </c>
      <c r="O94" s="186" t="s">
        <v>50</v>
      </c>
      <c r="P94" s="186" t="s">
        <v>19</v>
      </c>
    </row>
    <row r="95" spans="1:16" x14ac:dyDescent="0.25">
      <c r="A95" s="184">
        <v>76</v>
      </c>
      <c r="B95" s="184" t="str">
        <f t="shared" ref="B95:B129" si="34">IF(ISBLANK(A95),"",VLOOKUP(A95,LISTAITEMS,2,FALSE))</f>
        <v>Redstone Torch</v>
      </c>
      <c r="C95" s="61">
        <f>IF(ISBLANK(A95),"",ROUNDDOWN(C92+C91,0))</f>
        <v>151</v>
      </c>
      <c r="D95" s="61">
        <v>4</v>
      </c>
      <c r="E95" s="184" t="s">
        <v>236</v>
      </c>
      <c r="F95" s="184" t="str">
        <f t="shared" ref="F95:F129" si="35">IF(ISBLANK(E95),"",VLOOKUP(E95,LISTAITEMS,2,FALSE))</f>
        <v>Jungle Planks</v>
      </c>
      <c r="G95" s="61">
        <f>IF(ISBLANK(E95),"",ROUNDDOWN(G92+G91,0))</f>
        <v>157</v>
      </c>
      <c r="H95" s="61">
        <v>4</v>
      </c>
      <c r="I95" s="184">
        <v>292</v>
      </c>
      <c r="J95" s="184" t="str">
        <f t="shared" ref="J95:J129" si="36">IF(ISBLANK(I95),"",VLOOKUP(I95,LISTAITEMS,2,FALSE))</f>
        <v>Iron Hoe</v>
      </c>
      <c r="K95" s="61">
        <f>IF(ISBLANK(I95),"",ROUNDDOWN(K92+K91,0))</f>
        <v>152</v>
      </c>
      <c r="L95" s="61">
        <v>4</v>
      </c>
      <c r="M95" s="184">
        <v>259</v>
      </c>
      <c r="N95" s="184" t="str">
        <f t="shared" ref="N95:N129" si="37">IF(ISBLANK(M95),"",VLOOKUP(M95,LISTAITEMS,2,FALSE))</f>
        <v>Flint and Steel</v>
      </c>
      <c r="O95" s="61">
        <f>IF(ISBLANK(M95),"",ROUNDDOWN(O92+O91,0))</f>
        <v>162</v>
      </c>
      <c r="P95" s="61">
        <v>4</v>
      </c>
    </row>
    <row r="96" spans="1:16" x14ac:dyDescent="0.25">
      <c r="A96" s="184">
        <v>356</v>
      </c>
      <c r="B96" s="184" t="str">
        <f t="shared" si="34"/>
        <v>Redstone Repeater</v>
      </c>
      <c r="C96" s="61">
        <f>IF(ISBLANK(A96),"",ROUNDDOWN(C95+$C$91,0))</f>
        <v>152</v>
      </c>
      <c r="D96" s="61">
        <v>4</v>
      </c>
      <c r="E96" s="184" t="s">
        <v>399</v>
      </c>
      <c r="F96" s="184" t="str">
        <f t="shared" si="35"/>
        <v>Jungle Slab</v>
      </c>
      <c r="G96" s="61">
        <f>IF(ISBLANK(E96),"",ROUNDDOWN(G95+$G$91,0))</f>
        <v>164</v>
      </c>
      <c r="H96" s="61">
        <v>4</v>
      </c>
      <c r="I96" s="184">
        <v>390</v>
      </c>
      <c r="J96" s="184" t="str">
        <f t="shared" si="36"/>
        <v xml:space="preserve">Flower Pot  </v>
      </c>
      <c r="K96" s="61">
        <f>IF(ISBLANK(I96),"",ROUNDDOWN(K95+$K$91,0))</f>
        <v>154</v>
      </c>
      <c r="L96" s="61">
        <v>4</v>
      </c>
      <c r="M96" s="184">
        <v>359</v>
      </c>
      <c r="N96" s="184" t="str">
        <f t="shared" si="37"/>
        <v>Shears</v>
      </c>
      <c r="O96" s="61">
        <f>IF(ISBLANK(M96),"",ROUNDDOWN(O95+$O$91,0))</f>
        <v>174</v>
      </c>
      <c r="P96" s="61">
        <v>4</v>
      </c>
    </row>
    <row r="97" spans="1:16" x14ac:dyDescent="0.25">
      <c r="A97" s="184">
        <v>152</v>
      </c>
      <c r="B97" s="184" t="str">
        <f t="shared" si="34"/>
        <v>Block of Redstone</v>
      </c>
      <c r="C97" s="61">
        <f t="shared" ref="C97:C116" si="38">IF(ISBLANK(A97),"",ROUNDDOWN(C96+$C$91,0))</f>
        <v>153</v>
      </c>
      <c r="D97" s="61">
        <v>4</v>
      </c>
      <c r="E97" s="184">
        <v>136</v>
      </c>
      <c r="F97" s="184" t="str">
        <f t="shared" si="35"/>
        <v>Jungle Stairs</v>
      </c>
      <c r="G97" s="61">
        <f t="shared" ref="G97:G129" si="39">IF(ISBLANK(E97),"",ROUNDDOWN(G96+$G$91,0))</f>
        <v>171</v>
      </c>
      <c r="H97" s="61">
        <v>4</v>
      </c>
      <c r="I97" s="184">
        <v>357</v>
      </c>
      <c r="J97" s="184" t="str">
        <f t="shared" si="36"/>
        <v>Cookie</v>
      </c>
      <c r="K97" s="61">
        <f t="shared" ref="K97:K129" si="40">IF(ISBLANK(I97),"",ROUNDDOWN(K96+$K$91,0))</f>
        <v>156</v>
      </c>
      <c r="L97" s="61">
        <v>4</v>
      </c>
      <c r="M97" s="184">
        <v>364</v>
      </c>
      <c r="N97" s="184" t="str">
        <f t="shared" si="37"/>
        <v xml:space="preserve"> Steak </v>
      </c>
      <c r="O97" s="61">
        <f t="shared" ref="O97:O129" si="41">IF(ISBLANK(M97),"",ROUNDDOWN(O96+$O$91,0))</f>
        <v>186</v>
      </c>
      <c r="P97" s="61">
        <v>4</v>
      </c>
    </row>
    <row r="98" spans="1:16" x14ac:dyDescent="0.25">
      <c r="A98" s="184">
        <v>23</v>
      </c>
      <c r="B98" s="184" t="str">
        <f t="shared" si="34"/>
        <v>Dispenser</v>
      </c>
      <c r="C98" s="61">
        <f t="shared" si="38"/>
        <v>154</v>
      </c>
      <c r="D98" s="61">
        <v>4</v>
      </c>
      <c r="E98" s="184">
        <v>190</v>
      </c>
      <c r="F98" s="184" t="str">
        <f t="shared" si="35"/>
        <v>Jungle Fence</v>
      </c>
      <c r="G98" s="61">
        <f t="shared" si="39"/>
        <v>178</v>
      </c>
      <c r="H98" s="61">
        <v>4</v>
      </c>
      <c r="I98" s="184">
        <v>297</v>
      </c>
      <c r="J98" s="184" t="str">
        <f t="shared" si="36"/>
        <v>Bread</v>
      </c>
      <c r="K98" s="61">
        <f t="shared" si="40"/>
        <v>158</v>
      </c>
      <c r="L98" s="61">
        <v>4</v>
      </c>
      <c r="M98" s="184">
        <v>334</v>
      </c>
      <c r="N98" s="184" t="str">
        <f t="shared" si="37"/>
        <v>Leather</v>
      </c>
      <c r="O98" s="61">
        <f t="shared" si="41"/>
        <v>198</v>
      </c>
      <c r="P98" s="61">
        <v>4</v>
      </c>
    </row>
    <row r="99" spans="1:16" x14ac:dyDescent="0.25">
      <c r="A99" s="184">
        <v>89</v>
      </c>
      <c r="B99" s="184" t="str">
        <f t="shared" si="34"/>
        <v>Glowstone</v>
      </c>
      <c r="C99" s="61">
        <f t="shared" si="38"/>
        <v>155</v>
      </c>
      <c r="D99" s="61">
        <v>4</v>
      </c>
      <c r="E99" s="184">
        <v>185</v>
      </c>
      <c r="F99" s="184" t="str">
        <f t="shared" si="35"/>
        <v>Jungle Fence Gate</v>
      </c>
      <c r="G99" s="61">
        <f t="shared" si="39"/>
        <v>185</v>
      </c>
      <c r="H99" s="61">
        <v>4</v>
      </c>
      <c r="I99" s="184">
        <v>170</v>
      </c>
      <c r="J99" s="184" t="str">
        <f t="shared" si="36"/>
        <v>Hay Bale</v>
      </c>
      <c r="K99" s="61">
        <f t="shared" si="40"/>
        <v>160</v>
      </c>
      <c r="L99" s="61">
        <v>4</v>
      </c>
      <c r="M99" s="184"/>
      <c r="N99" s="184" t="str">
        <f t="shared" si="37"/>
        <v/>
      </c>
      <c r="O99" s="61" t="str">
        <f t="shared" si="41"/>
        <v/>
      </c>
      <c r="P99" s="61">
        <v>4</v>
      </c>
    </row>
    <row r="100" spans="1:16" x14ac:dyDescent="0.25">
      <c r="A100" s="184">
        <v>123</v>
      </c>
      <c r="B100" s="184" t="str">
        <f t="shared" si="34"/>
        <v>Redstone Lamp</v>
      </c>
      <c r="C100" s="61">
        <f t="shared" si="38"/>
        <v>156</v>
      </c>
      <c r="D100" s="61">
        <v>4</v>
      </c>
      <c r="E100" s="184">
        <v>429</v>
      </c>
      <c r="F100" s="184" t="str">
        <f t="shared" si="35"/>
        <v xml:space="preserve">Jungle Door </v>
      </c>
      <c r="G100" s="61">
        <f t="shared" si="39"/>
        <v>192</v>
      </c>
      <c r="H100" s="61">
        <v>4</v>
      </c>
      <c r="I100" s="184">
        <v>354</v>
      </c>
      <c r="J100" s="184" t="str">
        <f t="shared" si="36"/>
        <v>Cake</v>
      </c>
      <c r="K100" s="61">
        <f t="shared" si="40"/>
        <v>162</v>
      </c>
      <c r="L100" s="61">
        <v>4</v>
      </c>
      <c r="M100" s="184"/>
      <c r="N100" s="184" t="str">
        <f t="shared" si="37"/>
        <v/>
      </c>
      <c r="O100" s="61" t="str">
        <f t="shared" si="41"/>
        <v/>
      </c>
      <c r="P100" s="61">
        <v>4</v>
      </c>
    </row>
    <row r="101" spans="1:16" x14ac:dyDescent="0.25">
      <c r="A101" s="184">
        <v>265</v>
      </c>
      <c r="B101" s="184" t="str">
        <f t="shared" si="34"/>
        <v>Iron Ingot</v>
      </c>
      <c r="C101" s="61">
        <f t="shared" si="38"/>
        <v>157</v>
      </c>
      <c r="D101" s="61">
        <v>4</v>
      </c>
      <c r="E101" s="184">
        <v>146</v>
      </c>
      <c r="F101" s="184" t="str">
        <f t="shared" si="35"/>
        <v>Trapped Chest</v>
      </c>
      <c r="G101" s="61">
        <f t="shared" si="39"/>
        <v>199</v>
      </c>
      <c r="H101" s="61">
        <v>4</v>
      </c>
      <c r="I101" s="184" t="s">
        <v>734</v>
      </c>
      <c r="J101" s="184" t="str">
        <f t="shared" si="36"/>
        <v>Healing Potion II</v>
      </c>
      <c r="K101" s="61">
        <f t="shared" si="40"/>
        <v>164</v>
      </c>
      <c r="L101" s="61">
        <v>4</v>
      </c>
      <c r="M101" s="184"/>
      <c r="N101" s="184" t="str">
        <f t="shared" si="37"/>
        <v/>
      </c>
      <c r="O101" s="61" t="str">
        <f t="shared" si="41"/>
        <v/>
      </c>
      <c r="P101" s="61">
        <v>4</v>
      </c>
    </row>
    <row r="102" spans="1:16" x14ac:dyDescent="0.25">
      <c r="A102" s="184">
        <v>131</v>
      </c>
      <c r="B102" s="184" t="str">
        <f t="shared" si="34"/>
        <v>Tripwire Hook</v>
      </c>
      <c r="C102" s="61">
        <f t="shared" si="38"/>
        <v>158</v>
      </c>
      <c r="D102" s="61">
        <v>4</v>
      </c>
      <c r="E102" s="184"/>
      <c r="F102" s="184" t="str">
        <f t="shared" si="35"/>
        <v/>
      </c>
      <c r="G102" s="61" t="str">
        <f t="shared" si="39"/>
        <v/>
      </c>
      <c r="H102" s="61">
        <v>4</v>
      </c>
      <c r="I102" s="184" t="s">
        <v>724</v>
      </c>
      <c r="J102" s="184" t="str">
        <f t="shared" si="36"/>
        <v>Water Breathing Potion (3:00)</v>
      </c>
      <c r="K102" s="61">
        <f t="shared" si="40"/>
        <v>166</v>
      </c>
      <c r="L102" s="61">
        <v>4</v>
      </c>
      <c r="M102" s="184"/>
      <c r="N102" s="184" t="str">
        <f t="shared" si="37"/>
        <v/>
      </c>
      <c r="O102" s="61" t="str">
        <f t="shared" si="41"/>
        <v/>
      </c>
      <c r="P102" s="61">
        <v>4</v>
      </c>
    </row>
    <row r="103" spans="1:16" x14ac:dyDescent="0.25">
      <c r="A103" s="184">
        <v>257</v>
      </c>
      <c r="B103" s="184" t="str">
        <f t="shared" si="34"/>
        <v>Iron Pickaxe</v>
      </c>
      <c r="C103" s="61">
        <f t="shared" si="38"/>
        <v>159</v>
      </c>
      <c r="D103" s="61">
        <v>4</v>
      </c>
      <c r="E103" s="184"/>
      <c r="F103" s="184" t="str">
        <f t="shared" si="35"/>
        <v/>
      </c>
      <c r="G103" s="61" t="str">
        <f t="shared" si="39"/>
        <v/>
      </c>
      <c r="H103" s="61">
        <v>4</v>
      </c>
      <c r="I103" s="184" t="s">
        <v>802</v>
      </c>
      <c r="J103" s="184" t="str">
        <f t="shared" si="36"/>
        <v>Healing Splash Potion II</v>
      </c>
      <c r="K103" s="61">
        <f t="shared" si="40"/>
        <v>168</v>
      </c>
      <c r="L103" s="61">
        <v>4</v>
      </c>
      <c r="M103" s="184"/>
      <c r="N103" s="184" t="str">
        <f t="shared" si="37"/>
        <v/>
      </c>
      <c r="O103" s="61" t="str">
        <f t="shared" si="41"/>
        <v/>
      </c>
      <c r="P103" s="61">
        <v>4</v>
      </c>
    </row>
    <row r="104" spans="1:16" x14ac:dyDescent="0.25">
      <c r="A104" s="184">
        <v>148</v>
      </c>
      <c r="B104" s="184" t="str">
        <f t="shared" si="34"/>
        <v>Heavy Weighted Pressure Plate</v>
      </c>
      <c r="C104" s="61">
        <f t="shared" si="38"/>
        <v>160</v>
      </c>
      <c r="D104" s="61">
        <v>4</v>
      </c>
      <c r="E104" s="184"/>
      <c r="F104" s="184" t="str">
        <f t="shared" si="35"/>
        <v/>
      </c>
      <c r="G104" s="61" t="str">
        <f t="shared" si="39"/>
        <v/>
      </c>
      <c r="H104" s="61">
        <v>4</v>
      </c>
      <c r="I104" s="184" t="s">
        <v>760</v>
      </c>
      <c r="J104" s="184" t="str">
        <f t="shared" si="36"/>
        <v>Water Breathing Potion (8:00)</v>
      </c>
      <c r="K104" s="61">
        <f t="shared" si="40"/>
        <v>170</v>
      </c>
      <c r="L104" s="61">
        <v>4</v>
      </c>
      <c r="M104" s="184"/>
      <c r="N104" s="184" t="str">
        <f t="shared" si="37"/>
        <v/>
      </c>
      <c r="O104" s="61" t="str">
        <f t="shared" si="41"/>
        <v/>
      </c>
      <c r="P104" s="61">
        <v>4</v>
      </c>
    </row>
    <row r="105" spans="1:16" x14ac:dyDescent="0.25">
      <c r="A105" s="184">
        <v>325</v>
      </c>
      <c r="B105" s="184" t="str">
        <f t="shared" si="34"/>
        <v>Bucket</v>
      </c>
      <c r="C105" s="61">
        <f t="shared" si="38"/>
        <v>161</v>
      </c>
      <c r="D105" s="61">
        <v>4</v>
      </c>
      <c r="E105" s="184"/>
      <c r="F105" s="184" t="str">
        <f t="shared" si="35"/>
        <v/>
      </c>
      <c r="G105" s="61" t="str">
        <f t="shared" si="39"/>
        <v/>
      </c>
      <c r="H105" s="61">
        <v>4</v>
      </c>
      <c r="I105" s="184" t="s">
        <v>792</v>
      </c>
      <c r="J105" s="184" t="str">
        <f t="shared" si="36"/>
        <v>Breathing Splash Potion (2:15)</v>
      </c>
      <c r="K105" s="61">
        <f t="shared" si="40"/>
        <v>172</v>
      </c>
      <c r="L105" s="61">
        <v>4</v>
      </c>
      <c r="M105" s="184"/>
      <c r="N105" s="184" t="str">
        <f t="shared" si="37"/>
        <v/>
      </c>
      <c r="O105" s="61" t="str">
        <f t="shared" si="41"/>
        <v/>
      </c>
      <c r="P105" s="61">
        <v>4</v>
      </c>
    </row>
    <row r="106" spans="1:16" x14ac:dyDescent="0.25">
      <c r="A106" s="184">
        <v>167</v>
      </c>
      <c r="B106" s="184" t="str">
        <f t="shared" si="34"/>
        <v>Iron Trapdoor</v>
      </c>
      <c r="C106" s="61">
        <f t="shared" si="38"/>
        <v>162</v>
      </c>
      <c r="D106" s="61">
        <v>4</v>
      </c>
      <c r="E106" s="184"/>
      <c r="F106" s="184" t="str">
        <f t="shared" si="35"/>
        <v/>
      </c>
      <c r="G106" s="61" t="str">
        <f t="shared" si="39"/>
        <v/>
      </c>
      <c r="H106" s="61">
        <v>4</v>
      </c>
      <c r="I106" s="184" t="s">
        <v>758</v>
      </c>
      <c r="J106" s="184" t="str">
        <f t="shared" si="36"/>
        <v>Leaping Potion (3:00)</v>
      </c>
      <c r="K106" s="61">
        <f t="shared" si="40"/>
        <v>174</v>
      </c>
      <c r="L106" s="61">
        <v>4</v>
      </c>
      <c r="M106" s="184"/>
      <c r="N106" s="184" t="str">
        <f t="shared" si="37"/>
        <v/>
      </c>
      <c r="O106" s="61" t="str">
        <f t="shared" si="41"/>
        <v/>
      </c>
      <c r="P106" s="61">
        <v>4</v>
      </c>
    </row>
    <row r="107" spans="1:16" x14ac:dyDescent="0.25">
      <c r="A107" s="184">
        <v>328</v>
      </c>
      <c r="B107" s="184" t="str">
        <f t="shared" si="34"/>
        <v>Minecart</v>
      </c>
      <c r="C107" s="61">
        <f t="shared" si="38"/>
        <v>163</v>
      </c>
      <c r="D107" s="61">
        <v>4</v>
      </c>
      <c r="E107" s="184"/>
      <c r="F107" s="184" t="str">
        <f t="shared" si="35"/>
        <v/>
      </c>
      <c r="G107" s="61" t="str">
        <f t="shared" si="39"/>
        <v/>
      </c>
      <c r="H107" s="61">
        <v>4</v>
      </c>
      <c r="I107" s="184" t="s">
        <v>828</v>
      </c>
      <c r="J107" s="184" t="str">
        <f t="shared" si="36"/>
        <v>Breathing Splash Potion (6:00)</v>
      </c>
      <c r="K107" s="61">
        <f t="shared" si="40"/>
        <v>176</v>
      </c>
      <c r="L107" s="61">
        <v>4</v>
      </c>
      <c r="M107" s="184"/>
      <c r="N107" s="184" t="str">
        <f t="shared" si="37"/>
        <v/>
      </c>
      <c r="O107" s="61" t="str">
        <f t="shared" si="41"/>
        <v/>
      </c>
      <c r="P107" s="61">
        <v>4</v>
      </c>
    </row>
    <row r="108" spans="1:16" x14ac:dyDescent="0.25">
      <c r="A108" s="184">
        <v>342</v>
      </c>
      <c r="B108" s="184" t="str">
        <f t="shared" si="34"/>
        <v>Storage Minecart</v>
      </c>
      <c r="C108" s="61">
        <f t="shared" si="38"/>
        <v>164</v>
      </c>
      <c r="D108" s="61">
        <v>4</v>
      </c>
      <c r="E108" s="184"/>
      <c r="F108" s="184" t="str">
        <f t="shared" si="35"/>
        <v/>
      </c>
      <c r="G108" s="61" t="str">
        <f t="shared" si="39"/>
        <v/>
      </c>
      <c r="H108" s="61">
        <v>4</v>
      </c>
      <c r="I108" s="184" t="s">
        <v>826</v>
      </c>
      <c r="J108" s="184" t="str">
        <f t="shared" si="36"/>
        <v>Leaping Splash Potion (2:15)</v>
      </c>
      <c r="K108" s="61">
        <f t="shared" si="40"/>
        <v>178</v>
      </c>
      <c r="L108" s="61">
        <v>4</v>
      </c>
      <c r="M108" s="184"/>
      <c r="N108" s="184" t="str">
        <f t="shared" si="37"/>
        <v/>
      </c>
      <c r="O108" s="61" t="str">
        <f t="shared" si="41"/>
        <v/>
      </c>
      <c r="P108" s="61">
        <v>4</v>
      </c>
    </row>
    <row r="109" spans="1:16" x14ac:dyDescent="0.25">
      <c r="A109" s="184">
        <v>343</v>
      </c>
      <c r="B109" s="184" t="str">
        <f t="shared" si="34"/>
        <v>Powered Minecart</v>
      </c>
      <c r="C109" s="61">
        <f t="shared" si="38"/>
        <v>165</v>
      </c>
      <c r="D109" s="61">
        <v>4</v>
      </c>
      <c r="E109" s="184"/>
      <c r="F109" s="184" t="str">
        <f t="shared" si="35"/>
        <v/>
      </c>
      <c r="G109" s="61" t="str">
        <f t="shared" si="39"/>
        <v/>
      </c>
      <c r="H109" s="61">
        <v>4</v>
      </c>
      <c r="I109" s="184" t="s">
        <v>706</v>
      </c>
      <c r="J109" s="184" t="str">
        <f t="shared" si="36"/>
        <v>Swiftness Potion (3:00)</v>
      </c>
      <c r="K109" s="61">
        <f t="shared" si="40"/>
        <v>180</v>
      </c>
      <c r="L109" s="61">
        <v>4</v>
      </c>
      <c r="M109" s="184"/>
      <c r="N109" s="184" t="str">
        <f t="shared" si="37"/>
        <v/>
      </c>
      <c r="O109" s="61" t="str">
        <f t="shared" si="41"/>
        <v/>
      </c>
      <c r="P109" s="61">
        <v>4</v>
      </c>
    </row>
    <row r="110" spans="1:16" x14ac:dyDescent="0.25">
      <c r="A110" s="184">
        <v>101</v>
      </c>
      <c r="B110" s="184" t="str">
        <f t="shared" si="34"/>
        <v>Iron Bars</v>
      </c>
      <c r="C110" s="61">
        <f t="shared" si="38"/>
        <v>166</v>
      </c>
      <c r="D110" s="61">
        <v>4</v>
      </c>
      <c r="E110" s="184"/>
      <c r="F110" s="184" t="str">
        <f t="shared" si="35"/>
        <v/>
      </c>
      <c r="G110" s="61" t="str">
        <f t="shared" si="39"/>
        <v/>
      </c>
      <c r="H110" s="61">
        <v>4</v>
      </c>
      <c r="I110" s="184" t="s">
        <v>752</v>
      </c>
      <c r="J110" s="184" t="str">
        <f t="shared" si="36"/>
        <v>Weakness Potion (4:00)</v>
      </c>
      <c r="K110" s="61">
        <f t="shared" si="40"/>
        <v>182</v>
      </c>
      <c r="L110" s="61">
        <v>4</v>
      </c>
      <c r="M110" s="184"/>
      <c r="N110" s="184" t="str">
        <f t="shared" si="37"/>
        <v/>
      </c>
      <c r="O110" s="61" t="str">
        <f t="shared" si="41"/>
        <v/>
      </c>
      <c r="P110" s="61">
        <v>4</v>
      </c>
    </row>
    <row r="111" spans="1:16" x14ac:dyDescent="0.25">
      <c r="A111" s="184">
        <v>330</v>
      </c>
      <c r="B111" s="184" t="str">
        <f t="shared" si="34"/>
        <v>Iron Door</v>
      </c>
      <c r="C111" s="61">
        <f t="shared" si="38"/>
        <v>167</v>
      </c>
      <c r="D111" s="61">
        <v>4</v>
      </c>
      <c r="E111" s="184"/>
      <c r="F111" s="184" t="str">
        <f t="shared" si="35"/>
        <v/>
      </c>
      <c r="G111" s="61" t="str">
        <f t="shared" si="39"/>
        <v/>
      </c>
      <c r="H111" s="61">
        <v>4</v>
      </c>
      <c r="I111" s="184" t="s">
        <v>716</v>
      </c>
      <c r="J111" s="184" t="str">
        <f t="shared" si="36"/>
        <v>Weakness Potion (1:30)</v>
      </c>
      <c r="K111" s="61">
        <f t="shared" si="40"/>
        <v>184</v>
      </c>
      <c r="L111" s="61">
        <v>4</v>
      </c>
      <c r="M111" s="184"/>
      <c r="N111" s="184" t="str">
        <f t="shared" si="37"/>
        <v/>
      </c>
      <c r="O111" s="61" t="str">
        <f t="shared" si="41"/>
        <v/>
      </c>
      <c r="P111" s="61">
        <v>4</v>
      </c>
    </row>
    <row r="112" spans="1:16" x14ac:dyDescent="0.25">
      <c r="A112" s="184">
        <v>380</v>
      </c>
      <c r="B112" s="184" t="str">
        <f t="shared" si="34"/>
        <v>Cauldron</v>
      </c>
      <c r="C112" s="61">
        <f t="shared" si="38"/>
        <v>168</v>
      </c>
      <c r="D112" s="61">
        <v>4</v>
      </c>
      <c r="E112" s="184"/>
      <c r="F112" s="184" t="str">
        <f t="shared" si="35"/>
        <v/>
      </c>
      <c r="G112" s="61" t="str">
        <f t="shared" si="39"/>
        <v/>
      </c>
      <c r="H112" s="61">
        <v>4</v>
      </c>
      <c r="I112" s="184"/>
      <c r="J112" s="184" t="str">
        <f t="shared" si="36"/>
        <v/>
      </c>
      <c r="K112" s="61" t="str">
        <f t="shared" si="40"/>
        <v/>
      </c>
      <c r="L112" s="61">
        <v>4</v>
      </c>
      <c r="M112" s="184"/>
      <c r="N112" s="184" t="str">
        <f t="shared" si="37"/>
        <v/>
      </c>
      <c r="O112" s="61" t="str">
        <f t="shared" si="41"/>
        <v/>
      </c>
      <c r="P112" s="61">
        <v>4</v>
      </c>
    </row>
    <row r="113" spans="1:16" x14ac:dyDescent="0.25">
      <c r="A113" s="184">
        <v>33</v>
      </c>
      <c r="B113" s="184" t="str">
        <f t="shared" si="34"/>
        <v>Piston</v>
      </c>
      <c r="C113" s="61">
        <f t="shared" si="38"/>
        <v>169</v>
      </c>
      <c r="D113" s="61">
        <v>4</v>
      </c>
      <c r="E113" s="184"/>
      <c r="F113" s="184" t="str">
        <f t="shared" si="35"/>
        <v/>
      </c>
      <c r="G113" s="61" t="str">
        <f t="shared" si="39"/>
        <v/>
      </c>
      <c r="H113" s="61">
        <v>4</v>
      </c>
      <c r="I113" s="184"/>
      <c r="J113" s="184" t="str">
        <f t="shared" si="36"/>
        <v/>
      </c>
      <c r="K113" s="61" t="str">
        <f t="shared" si="40"/>
        <v/>
      </c>
      <c r="L113" s="61">
        <v>4</v>
      </c>
      <c r="M113" s="184"/>
      <c r="N113" s="184" t="str">
        <f t="shared" si="37"/>
        <v/>
      </c>
      <c r="O113" s="61" t="str">
        <f t="shared" si="41"/>
        <v/>
      </c>
      <c r="P113" s="61">
        <v>4</v>
      </c>
    </row>
    <row r="114" spans="1:16" x14ac:dyDescent="0.25">
      <c r="A114" s="184">
        <v>29</v>
      </c>
      <c r="B114" s="184" t="str">
        <f t="shared" si="34"/>
        <v>Sticky Piston</v>
      </c>
      <c r="C114" s="61">
        <f t="shared" si="38"/>
        <v>170</v>
      </c>
      <c r="D114" s="61">
        <v>4</v>
      </c>
      <c r="E114" s="184"/>
      <c r="F114" s="184" t="str">
        <f t="shared" si="35"/>
        <v/>
      </c>
      <c r="G114" s="61" t="str">
        <f t="shared" si="39"/>
        <v/>
      </c>
      <c r="H114" s="61">
        <v>4</v>
      </c>
      <c r="I114" s="184"/>
      <c r="J114" s="184" t="str">
        <f t="shared" si="36"/>
        <v/>
      </c>
      <c r="K114" s="61" t="str">
        <f t="shared" si="40"/>
        <v/>
      </c>
      <c r="L114" s="61">
        <v>4</v>
      </c>
      <c r="M114" s="184"/>
      <c r="N114" s="184" t="str">
        <f t="shared" si="37"/>
        <v/>
      </c>
      <c r="O114" s="61" t="str">
        <f t="shared" si="41"/>
        <v/>
      </c>
      <c r="P114" s="61">
        <v>4</v>
      </c>
    </row>
    <row r="115" spans="1:16" x14ac:dyDescent="0.25">
      <c r="A115" s="184">
        <v>154</v>
      </c>
      <c r="B115" s="184" t="str">
        <f t="shared" si="34"/>
        <v>Hopper</v>
      </c>
      <c r="C115" s="61">
        <f t="shared" si="38"/>
        <v>171</v>
      </c>
      <c r="D115" s="61">
        <v>4</v>
      </c>
      <c r="E115" s="184"/>
      <c r="F115" s="184" t="str">
        <f t="shared" si="35"/>
        <v/>
      </c>
      <c r="G115" s="61" t="str">
        <f t="shared" si="39"/>
        <v/>
      </c>
      <c r="H115" s="61">
        <v>4</v>
      </c>
      <c r="I115" s="184"/>
      <c r="J115" s="184" t="str">
        <f t="shared" si="36"/>
        <v/>
      </c>
      <c r="K115" s="61" t="str">
        <f t="shared" si="40"/>
        <v/>
      </c>
      <c r="L115" s="61">
        <v>4</v>
      </c>
      <c r="M115" s="184"/>
      <c r="N115" s="184" t="str">
        <f t="shared" si="37"/>
        <v/>
      </c>
      <c r="O115" s="61" t="str">
        <f t="shared" si="41"/>
        <v/>
      </c>
      <c r="P115" s="61">
        <v>4</v>
      </c>
    </row>
    <row r="116" spans="1:16" x14ac:dyDescent="0.25">
      <c r="A116" s="184">
        <v>408</v>
      </c>
      <c r="B116" s="184" t="str">
        <f t="shared" si="34"/>
        <v>Hopper Minecart</v>
      </c>
      <c r="C116" s="61">
        <f t="shared" si="38"/>
        <v>172</v>
      </c>
      <c r="D116" s="61">
        <v>4</v>
      </c>
      <c r="E116" s="184"/>
      <c r="F116" s="184" t="str">
        <f t="shared" si="35"/>
        <v/>
      </c>
      <c r="G116" s="61" t="str">
        <f t="shared" si="39"/>
        <v/>
      </c>
      <c r="H116" s="61">
        <v>4</v>
      </c>
      <c r="I116" s="184"/>
      <c r="J116" s="184" t="str">
        <f t="shared" si="36"/>
        <v/>
      </c>
      <c r="K116" s="61" t="str">
        <f t="shared" si="40"/>
        <v/>
      </c>
      <c r="L116" s="61">
        <v>4</v>
      </c>
      <c r="M116" s="184"/>
      <c r="N116" s="184" t="str">
        <f t="shared" si="37"/>
        <v/>
      </c>
      <c r="O116" s="61" t="str">
        <f t="shared" si="41"/>
        <v/>
      </c>
      <c r="P116" s="61">
        <v>4</v>
      </c>
    </row>
    <row r="117" spans="1:16" x14ac:dyDescent="0.25">
      <c r="A117" s="184">
        <v>158</v>
      </c>
      <c r="B117" s="184" t="str">
        <f t="shared" si="34"/>
        <v>Dropper</v>
      </c>
      <c r="C117" s="61">
        <f>IF(ISBLANK(A117),"",ROUNDDOWN(C116+$C$91,0))</f>
        <v>173</v>
      </c>
      <c r="D117" s="61">
        <v>4</v>
      </c>
      <c r="E117" s="184"/>
      <c r="F117" s="184" t="str">
        <f t="shared" si="35"/>
        <v/>
      </c>
      <c r="G117" s="61" t="str">
        <f t="shared" si="39"/>
        <v/>
      </c>
      <c r="H117" s="61">
        <v>4</v>
      </c>
      <c r="I117" s="184"/>
      <c r="J117" s="184" t="str">
        <f t="shared" si="36"/>
        <v/>
      </c>
      <c r="K117" s="61" t="str">
        <f t="shared" si="40"/>
        <v/>
      </c>
      <c r="L117" s="61">
        <v>4</v>
      </c>
      <c r="M117" s="184"/>
      <c r="N117" s="184" t="str">
        <f t="shared" si="37"/>
        <v/>
      </c>
      <c r="O117" s="61" t="str">
        <f t="shared" si="41"/>
        <v/>
      </c>
      <c r="P117" s="61">
        <v>4</v>
      </c>
    </row>
    <row r="118" spans="1:16" s="181" customFormat="1" x14ac:dyDescent="0.25">
      <c r="A118" s="184">
        <v>66</v>
      </c>
      <c r="B118" s="184" t="str">
        <f t="shared" si="34"/>
        <v>Rail</v>
      </c>
      <c r="C118" s="61">
        <f t="shared" ref="C118:C124" si="42">IF(ISBLANK(A118),"",ROUNDDOWN(C117+$C$91,0))</f>
        <v>174</v>
      </c>
      <c r="D118" s="61">
        <v>4</v>
      </c>
      <c r="E118" s="184"/>
      <c r="F118" s="184" t="str">
        <f t="shared" si="35"/>
        <v/>
      </c>
      <c r="G118" s="61" t="str">
        <f t="shared" si="39"/>
        <v/>
      </c>
      <c r="H118" s="61">
        <v>4</v>
      </c>
      <c r="I118" s="184"/>
      <c r="J118" s="184" t="str">
        <f t="shared" si="36"/>
        <v/>
      </c>
      <c r="K118" s="61" t="str">
        <f t="shared" si="40"/>
        <v/>
      </c>
      <c r="L118" s="61">
        <v>4</v>
      </c>
      <c r="M118" s="184"/>
      <c r="N118" s="184" t="str">
        <f t="shared" si="37"/>
        <v/>
      </c>
      <c r="O118" s="61" t="str">
        <f t="shared" si="41"/>
        <v/>
      </c>
      <c r="P118" s="61">
        <v>4</v>
      </c>
    </row>
    <row r="119" spans="1:16" s="181" customFormat="1" x14ac:dyDescent="0.25">
      <c r="A119" s="184">
        <v>157</v>
      </c>
      <c r="B119" s="184" t="str">
        <f t="shared" si="34"/>
        <v>Activator Rail</v>
      </c>
      <c r="C119" s="61">
        <f t="shared" si="42"/>
        <v>175</v>
      </c>
      <c r="D119" s="61">
        <v>4</v>
      </c>
      <c r="E119" s="184"/>
      <c r="F119" s="184" t="str">
        <f t="shared" si="35"/>
        <v/>
      </c>
      <c r="G119" s="61" t="str">
        <f t="shared" si="39"/>
        <v/>
      </c>
      <c r="H119" s="61">
        <v>4</v>
      </c>
      <c r="I119" s="184"/>
      <c r="J119" s="184" t="str">
        <f t="shared" si="36"/>
        <v/>
      </c>
      <c r="K119" s="61" t="str">
        <f t="shared" si="40"/>
        <v/>
      </c>
      <c r="L119" s="61">
        <v>4</v>
      </c>
      <c r="M119" s="184"/>
      <c r="N119" s="184" t="str">
        <f t="shared" si="37"/>
        <v/>
      </c>
      <c r="O119" s="61" t="str">
        <f t="shared" si="41"/>
        <v/>
      </c>
      <c r="P119" s="61">
        <v>4</v>
      </c>
    </row>
    <row r="120" spans="1:16" s="181" customFormat="1" x14ac:dyDescent="0.25">
      <c r="A120" s="184">
        <v>28</v>
      </c>
      <c r="B120" s="184" t="str">
        <f t="shared" si="34"/>
        <v>Detector Rail</v>
      </c>
      <c r="C120" s="61">
        <f t="shared" si="42"/>
        <v>176</v>
      </c>
      <c r="D120" s="61">
        <v>4</v>
      </c>
      <c r="E120" s="184"/>
      <c r="F120" s="184" t="str">
        <f t="shared" si="35"/>
        <v/>
      </c>
      <c r="G120" s="61" t="str">
        <f t="shared" si="39"/>
        <v/>
      </c>
      <c r="H120" s="61">
        <v>4</v>
      </c>
      <c r="I120" s="184"/>
      <c r="J120" s="184" t="str">
        <f t="shared" si="36"/>
        <v/>
      </c>
      <c r="K120" s="61" t="str">
        <f t="shared" si="40"/>
        <v/>
      </c>
      <c r="L120" s="61">
        <v>4</v>
      </c>
      <c r="M120" s="184"/>
      <c r="N120" s="184" t="str">
        <f t="shared" si="37"/>
        <v/>
      </c>
      <c r="O120" s="61" t="str">
        <f t="shared" si="41"/>
        <v/>
      </c>
      <c r="P120" s="61">
        <v>4</v>
      </c>
    </row>
    <row r="121" spans="1:16" s="181" customFormat="1" x14ac:dyDescent="0.25">
      <c r="A121" s="184">
        <v>27</v>
      </c>
      <c r="B121" s="184" t="str">
        <f t="shared" si="34"/>
        <v>Powered Rail</v>
      </c>
      <c r="C121" s="61">
        <f>IF(ISBLANK(A121),"",ROUNDDOWN(C120+$C$91,0))</f>
        <v>177</v>
      </c>
      <c r="D121" s="61">
        <v>4</v>
      </c>
      <c r="E121" s="184"/>
      <c r="F121" s="184" t="str">
        <f t="shared" si="35"/>
        <v/>
      </c>
      <c r="G121" s="61" t="str">
        <f t="shared" si="39"/>
        <v/>
      </c>
      <c r="H121" s="61">
        <v>4</v>
      </c>
      <c r="I121" s="184"/>
      <c r="J121" s="184" t="str">
        <f t="shared" si="36"/>
        <v/>
      </c>
      <c r="K121" s="61" t="str">
        <f t="shared" si="40"/>
        <v/>
      </c>
      <c r="L121" s="61">
        <v>4</v>
      </c>
      <c r="M121" s="184"/>
      <c r="N121" s="184" t="str">
        <f t="shared" si="37"/>
        <v/>
      </c>
      <c r="O121" s="61" t="str">
        <f t="shared" si="41"/>
        <v/>
      </c>
      <c r="P121" s="61">
        <v>4</v>
      </c>
    </row>
    <row r="122" spans="1:16" s="181" customFormat="1" x14ac:dyDescent="0.25">
      <c r="A122" s="184">
        <v>82</v>
      </c>
      <c r="B122" s="184" t="str">
        <f t="shared" si="34"/>
        <v>Clay Block</v>
      </c>
      <c r="C122" s="61">
        <f t="shared" si="42"/>
        <v>178</v>
      </c>
      <c r="D122" s="61">
        <v>4</v>
      </c>
      <c r="E122" s="184"/>
      <c r="F122" s="184" t="str">
        <f t="shared" si="35"/>
        <v/>
      </c>
      <c r="G122" s="61" t="str">
        <f t="shared" si="39"/>
        <v/>
      </c>
      <c r="H122" s="61">
        <v>4</v>
      </c>
      <c r="I122" s="184"/>
      <c r="J122" s="184" t="str">
        <f t="shared" si="36"/>
        <v/>
      </c>
      <c r="K122" s="61" t="str">
        <f t="shared" si="40"/>
        <v/>
      </c>
      <c r="L122" s="61">
        <v>4</v>
      </c>
      <c r="M122" s="184"/>
      <c r="N122" s="184" t="str">
        <f t="shared" si="37"/>
        <v/>
      </c>
      <c r="O122" s="61" t="str">
        <f t="shared" si="41"/>
        <v/>
      </c>
      <c r="P122" s="61">
        <v>4</v>
      </c>
    </row>
    <row r="123" spans="1:16" s="181" customFormat="1" x14ac:dyDescent="0.25">
      <c r="A123" s="184">
        <v>172</v>
      </c>
      <c r="B123" s="184" t="str">
        <f t="shared" si="34"/>
        <v>Hardend Clay</v>
      </c>
      <c r="C123" s="61">
        <f t="shared" si="42"/>
        <v>179</v>
      </c>
      <c r="D123" s="61">
        <v>4</v>
      </c>
      <c r="E123" s="184"/>
      <c r="F123" s="184" t="str">
        <f t="shared" si="35"/>
        <v/>
      </c>
      <c r="G123" s="61" t="str">
        <f t="shared" si="39"/>
        <v/>
      </c>
      <c r="H123" s="61">
        <v>4</v>
      </c>
      <c r="I123" s="184"/>
      <c r="J123" s="184" t="str">
        <f t="shared" si="36"/>
        <v/>
      </c>
      <c r="K123" s="61" t="str">
        <f t="shared" si="40"/>
        <v/>
      </c>
      <c r="L123" s="61">
        <v>4</v>
      </c>
      <c r="M123" s="184"/>
      <c r="N123" s="184" t="str">
        <f t="shared" si="37"/>
        <v/>
      </c>
      <c r="O123" s="61" t="str">
        <f t="shared" si="41"/>
        <v/>
      </c>
      <c r="P123" s="61">
        <v>4</v>
      </c>
    </row>
    <row r="124" spans="1:16" s="181" customFormat="1" x14ac:dyDescent="0.25">
      <c r="A124" s="184">
        <v>159</v>
      </c>
      <c r="B124" s="184" t="str">
        <f t="shared" si="34"/>
        <v>White Stained Clay</v>
      </c>
      <c r="C124" s="61">
        <f t="shared" si="42"/>
        <v>180</v>
      </c>
      <c r="D124" s="61">
        <v>4</v>
      </c>
      <c r="E124" s="184"/>
      <c r="F124" s="184" t="str">
        <f t="shared" si="35"/>
        <v/>
      </c>
      <c r="G124" s="61" t="str">
        <f t="shared" si="39"/>
        <v/>
      </c>
      <c r="H124" s="61">
        <v>4</v>
      </c>
      <c r="I124" s="184"/>
      <c r="J124" s="184" t="str">
        <f t="shared" si="36"/>
        <v/>
      </c>
      <c r="K124" s="61" t="str">
        <f t="shared" si="40"/>
        <v/>
      </c>
      <c r="L124" s="61">
        <v>4</v>
      </c>
      <c r="M124" s="184"/>
      <c r="N124" s="184" t="str">
        <f t="shared" si="37"/>
        <v/>
      </c>
      <c r="O124" s="61" t="str">
        <f t="shared" si="41"/>
        <v/>
      </c>
      <c r="P124" s="61">
        <v>4</v>
      </c>
    </row>
    <row r="125" spans="1:16" s="181" customFormat="1" x14ac:dyDescent="0.25">
      <c r="A125" s="184">
        <v>336</v>
      </c>
      <c r="B125" s="184" t="str">
        <f t="shared" si="34"/>
        <v>Clay Brick</v>
      </c>
      <c r="C125" s="61">
        <f t="shared" ref="C125:C129" si="43">IF(ISBLANK(A125),"",ROUNDDOWN(C124+$C$91,0))</f>
        <v>181</v>
      </c>
      <c r="D125" s="61">
        <v>4</v>
      </c>
      <c r="E125" s="184"/>
      <c r="F125" s="184" t="str">
        <f t="shared" si="35"/>
        <v/>
      </c>
      <c r="G125" s="61" t="str">
        <f t="shared" si="39"/>
        <v/>
      </c>
      <c r="H125" s="61">
        <v>4</v>
      </c>
      <c r="I125" s="184"/>
      <c r="J125" s="184" t="str">
        <f t="shared" si="36"/>
        <v/>
      </c>
      <c r="K125" s="61" t="str">
        <f t="shared" si="40"/>
        <v/>
      </c>
      <c r="L125" s="61">
        <v>4</v>
      </c>
      <c r="M125" s="184"/>
      <c r="N125" s="184" t="str">
        <f t="shared" si="37"/>
        <v/>
      </c>
      <c r="O125" s="61" t="str">
        <f t="shared" si="41"/>
        <v/>
      </c>
      <c r="P125" s="61">
        <v>4</v>
      </c>
    </row>
    <row r="126" spans="1:16" s="181" customFormat="1" x14ac:dyDescent="0.25">
      <c r="A126" s="184">
        <v>45</v>
      </c>
      <c r="B126" s="184" t="str">
        <f t="shared" si="34"/>
        <v>Brick</v>
      </c>
      <c r="C126" s="61">
        <f t="shared" si="43"/>
        <v>182</v>
      </c>
      <c r="D126" s="61">
        <v>4</v>
      </c>
      <c r="E126" s="184"/>
      <c r="F126" s="184" t="str">
        <f t="shared" si="35"/>
        <v/>
      </c>
      <c r="G126" s="61" t="str">
        <f t="shared" si="39"/>
        <v/>
      </c>
      <c r="H126" s="61">
        <v>4</v>
      </c>
      <c r="I126" s="184"/>
      <c r="J126" s="184" t="str">
        <f t="shared" si="36"/>
        <v/>
      </c>
      <c r="K126" s="61" t="str">
        <f t="shared" si="40"/>
        <v/>
      </c>
      <c r="L126" s="61">
        <v>4</v>
      </c>
      <c r="M126" s="184"/>
      <c r="N126" s="184" t="str">
        <f t="shared" si="37"/>
        <v/>
      </c>
      <c r="O126" s="61" t="str">
        <f t="shared" si="41"/>
        <v/>
      </c>
      <c r="P126" s="61">
        <v>4</v>
      </c>
    </row>
    <row r="127" spans="1:16" s="181" customFormat="1" x14ac:dyDescent="0.25">
      <c r="A127" s="184" t="s">
        <v>314</v>
      </c>
      <c r="B127" s="184" t="str">
        <f t="shared" si="34"/>
        <v>Brick Slab</v>
      </c>
      <c r="C127" s="61">
        <f t="shared" si="43"/>
        <v>183</v>
      </c>
      <c r="D127" s="61">
        <v>4</v>
      </c>
      <c r="E127" s="184"/>
      <c r="F127" s="184" t="str">
        <f t="shared" si="35"/>
        <v/>
      </c>
      <c r="G127" s="61" t="str">
        <f t="shared" si="39"/>
        <v/>
      </c>
      <c r="H127" s="61">
        <v>4</v>
      </c>
      <c r="I127" s="184"/>
      <c r="J127" s="184" t="str">
        <f t="shared" si="36"/>
        <v/>
      </c>
      <c r="K127" s="61" t="str">
        <f t="shared" si="40"/>
        <v/>
      </c>
      <c r="L127" s="61">
        <v>4</v>
      </c>
      <c r="M127" s="184"/>
      <c r="N127" s="184" t="str">
        <f t="shared" si="37"/>
        <v/>
      </c>
      <c r="O127" s="61" t="str">
        <f t="shared" si="41"/>
        <v/>
      </c>
      <c r="P127" s="61">
        <v>4</v>
      </c>
    </row>
    <row r="128" spans="1:16" s="181" customFormat="1" x14ac:dyDescent="0.25">
      <c r="A128" s="184">
        <v>108</v>
      </c>
      <c r="B128" s="184" t="str">
        <f t="shared" si="34"/>
        <v>Brick Stairs</v>
      </c>
      <c r="C128" s="61">
        <f t="shared" si="43"/>
        <v>184</v>
      </c>
      <c r="D128" s="61">
        <v>4</v>
      </c>
      <c r="E128" s="184"/>
      <c r="F128" s="184" t="str">
        <f t="shared" si="35"/>
        <v/>
      </c>
      <c r="G128" s="61" t="str">
        <f t="shared" si="39"/>
        <v/>
      </c>
      <c r="H128" s="61">
        <v>4</v>
      </c>
      <c r="I128" s="184"/>
      <c r="J128" s="184" t="str">
        <f t="shared" si="36"/>
        <v/>
      </c>
      <c r="K128" s="61" t="str">
        <f t="shared" si="40"/>
        <v/>
      </c>
      <c r="L128" s="61">
        <v>4</v>
      </c>
      <c r="M128" s="184"/>
      <c r="N128" s="184" t="str">
        <f t="shared" si="37"/>
        <v/>
      </c>
      <c r="O128" s="61" t="str">
        <f t="shared" si="41"/>
        <v/>
      </c>
      <c r="P128" s="61">
        <v>4</v>
      </c>
    </row>
    <row r="129" spans="1:16" s="181" customFormat="1" x14ac:dyDescent="0.25">
      <c r="A129" s="184">
        <v>284</v>
      </c>
      <c r="B129" s="184" t="str">
        <f t="shared" si="34"/>
        <v>Gold Shovel</v>
      </c>
      <c r="C129" s="61">
        <f t="shared" si="43"/>
        <v>185</v>
      </c>
      <c r="D129" s="61">
        <v>4</v>
      </c>
      <c r="E129" s="184"/>
      <c r="F129" s="184" t="str">
        <f t="shared" si="35"/>
        <v/>
      </c>
      <c r="G129" s="61" t="str">
        <f t="shared" si="39"/>
        <v/>
      </c>
      <c r="H129" s="61">
        <v>4</v>
      </c>
      <c r="I129" s="184"/>
      <c r="J129" s="184" t="str">
        <f t="shared" si="36"/>
        <v/>
      </c>
      <c r="K129" s="61" t="str">
        <f t="shared" si="40"/>
        <v/>
      </c>
      <c r="L129" s="61">
        <v>4</v>
      </c>
      <c r="M129" s="184"/>
      <c r="N129" s="184" t="str">
        <f t="shared" si="37"/>
        <v/>
      </c>
      <c r="O129" s="61" t="str">
        <f t="shared" si="41"/>
        <v/>
      </c>
      <c r="P129" s="61">
        <v>4</v>
      </c>
    </row>
    <row r="130" spans="1:16" x14ac:dyDescent="0.25">
      <c r="A130" s="257"/>
      <c r="B130" s="332" t="s">
        <v>1014</v>
      </c>
      <c r="C130" s="332"/>
      <c r="D130" s="333"/>
      <c r="E130" s="257"/>
      <c r="F130" s="332" t="s">
        <v>1014</v>
      </c>
      <c r="G130" s="332"/>
      <c r="H130" s="333"/>
      <c r="I130" s="257"/>
      <c r="J130" s="332" t="s">
        <v>1014</v>
      </c>
      <c r="K130" s="332"/>
      <c r="L130" s="333"/>
      <c r="M130" s="257"/>
      <c r="N130" s="332" t="s">
        <v>1014</v>
      </c>
      <c r="O130" s="332"/>
      <c r="P130" s="333"/>
    </row>
    <row r="131" spans="1:16" x14ac:dyDescent="0.25">
      <c r="A131" s="258"/>
      <c r="B131" s="258" t="s">
        <v>1008</v>
      </c>
      <c r="C131" s="336">
        <f>COUNTA(A136:A158)</f>
        <v>20</v>
      </c>
      <c r="D131" s="304"/>
      <c r="E131" s="258"/>
      <c r="F131" s="258" t="s">
        <v>1008</v>
      </c>
      <c r="G131" s="336">
        <f>COUNTA(E136:E158)</f>
        <v>7</v>
      </c>
      <c r="H131" s="304"/>
      <c r="I131" s="258"/>
      <c r="J131" s="258" t="s">
        <v>1008</v>
      </c>
      <c r="K131" s="336">
        <f>COUNTA(I136:I158)</f>
        <v>21</v>
      </c>
      <c r="L131" s="304"/>
      <c r="M131" s="258"/>
      <c r="N131" s="258" t="s">
        <v>1008</v>
      </c>
      <c r="O131" s="336">
        <f>COUNTA(M136:M158)</f>
        <v>2</v>
      </c>
      <c r="P131" s="304"/>
    </row>
    <row r="132" spans="1:16" x14ac:dyDescent="0.25">
      <c r="A132" s="258"/>
      <c r="B132" s="258" t="s">
        <v>1009</v>
      </c>
      <c r="C132" s="336">
        <f>ROUNDDOWN(C134/C131,1)</f>
        <v>2.5</v>
      </c>
      <c r="D132" s="304"/>
      <c r="E132" s="258"/>
      <c r="F132" s="258" t="s">
        <v>1009</v>
      </c>
      <c r="G132" s="336">
        <f>ROUNDDOWN(G134/G131,1)</f>
        <v>7.1</v>
      </c>
      <c r="H132" s="304"/>
      <c r="I132" s="258"/>
      <c r="J132" s="258" t="s">
        <v>1009</v>
      </c>
      <c r="K132" s="336">
        <f>ROUNDDOWN(K134/K131,1)</f>
        <v>2.2999999999999998</v>
      </c>
      <c r="L132" s="304"/>
      <c r="M132" s="258"/>
      <c r="N132" s="258" t="s">
        <v>1009</v>
      </c>
      <c r="O132" s="336">
        <f>ROUNDDOWN(O134/O131,1)</f>
        <v>25</v>
      </c>
      <c r="P132" s="304"/>
    </row>
    <row r="133" spans="1:16" x14ac:dyDescent="0.25">
      <c r="A133" s="258"/>
      <c r="B133" s="258" t="s">
        <v>1007</v>
      </c>
      <c r="C133" s="336">
        <v>200</v>
      </c>
      <c r="D133" s="304"/>
      <c r="E133" s="258"/>
      <c r="F133" s="258" t="s">
        <v>1007</v>
      </c>
      <c r="G133" s="336">
        <v>200</v>
      </c>
      <c r="H133" s="304"/>
      <c r="I133" s="258"/>
      <c r="J133" s="258" t="s">
        <v>1007</v>
      </c>
      <c r="K133" s="336">
        <v>200</v>
      </c>
      <c r="L133" s="304"/>
      <c r="M133" s="258"/>
      <c r="N133" s="258" t="s">
        <v>1007</v>
      </c>
      <c r="O133" s="336">
        <v>200</v>
      </c>
      <c r="P133" s="304"/>
    </row>
    <row r="134" spans="1:16" x14ac:dyDescent="0.25">
      <c r="A134" s="258"/>
      <c r="B134" s="258" t="s">
        <v>1016</v>
      </c>
      <c r="C134" s="334">
        <v>50</v>
      </c>
      <c r="D134" s="335"/>
      <c r="E134" s="258"/>
      <c r="F134" s="258" t="s">
        <v>1016</v>
      </c>
      <c r="G134" s="334">
        <v>50</v>
      </c>
      <c r="H134" s="335"/>
      <c r="I134" s="258"/>
      <c r="J134" s="258" t="s">
        <v>1016</v>
      </c>
      <c r="K134" s="334">
        <v>50</v>
      </c>
      <c r="L134" s="335"/>
      <c r="M134" s="258"/>
      <c r="N134" s="258" t="s">
        <v>1016</v>
      </c>
      <c r="O134" s="334">
        <v>50</v>
      </c>
      <c r="P134" s="335"/>
    </row>
    <row r="135" spans="1:16" x14ac:dyDescent="0.25">
      <c r="A135" s="185" t="s">
        <v>205</v>
      </c>
      <c r="B135" s="185" t="s">
        <v>203</v>
      </c>
      <c r="C135" s="186" t="s">
        <v>50</v>
      </c>
      <c r="D135" s="186" t="s">
        <v>19</v>
      </c>
      <c r="E135" s="185" t="s">
        <v>205</v>
      </c>
      <c r="F135" s="185" t="s">
        <v>203</v>
      </c>
      <c r="G135" s="186" t="s">
        <v>50</v>
      </c>
      <c r="H135" s="186" t="s">
        <v>19</v>
      </c>
      <c r="I135" s="185" t="s">
        <v>205</v>
      </c>
      <c r="J135" s="185" t="s">
        <v>203</v>
      </c>
      <c r="K135" s="186" t="s">
        <v>50</v>
      </c>
      <c r="L135" s="186" t="s">
        <v>19</v>
      </c>
      <c r="M135" s="185" t="s">
        <v>205</v>
      </c>
      <c r="N135" s="185" t="s">
        <v>203</v>
      </c>
      <c r="O135" s="186" t="s">
        <v>50</v>
      </c>
      <c r="P135" s="186" t="s">
        <v>19</v>
      </c>
    </row>
    <row r="136" spans="1:16" x14ac:dyDescent="0.25">
      <c r="A136" s="184">
        <v>235</v>
      </c>
      <c r="B136" s="184" t="str">
        <f t="shared" ref="B136:B158" si="44">IF(ISBLANK(A136),"",VLOOKUP(A136,LISTAITEMS,2,FALSE))</f>
        <v>White G Terracota</v>
      </c>
      <c r="C136" s="61">
        <f>IF(ISBLANK(A136),"",ROUNDDOWN(C133+C132,0))</f>
        <v>202</v>
      </c>
      <c r="D136" s="61">
        <v>5</v>
      </c>
      <c r="E136" s="184">
        <v>286</v>
      </c>
      <c r="F136" s="184" t="str">
        <f t="shared" ref="F136:F158" si="45">IF(ISBLANK(E136),"",VLOOKUP(E136,LISTAITEMS,2,FALSE))</f>
        <v>Gold Axe</v>
      </c>
      <c r="G136" s="61">
        <f>IF(ISBLANK(E136),"",ROUNDDOWN(G133+G132,0))</f>
        <v>207</v>
      </c>
      <c r="H136" s="61">
        <v>5</v>
      </c>
      <c r="I136" s="184">
        <v>294</v>
      </c>
      <c r="J136" s="184" t="str">
        <f t="shared" ref="J136:J158" si="46">IF(ISBLANK(I136),"",VLOOKUP(I136,LISTAITEMS,2,FALSE))</f>
        <v>Gold Hoe</v>
      </c>
      <c r="K136" s="61">
        <f>IF(ISBLANK(I136),"",ROUNDDOWN(K133+K132,0))</f>
        <v>202</v>
      </c>
      <c r="L136" s="61">
        <v>5</v>
      </c>
      <c r="M136" s="184">
        <v>412</v>
      </c>
      <c r="N136" s="184" t="str">
        <f t="shared" ref="N136:N158" si="47">IF(ISBLANK(M136),"",VLOOKUP(M136,LISTAITEMS,2,FALSE))</f>
        <v>Cooked Rabbit</v>
      </c>
      <c r="O136" s="61">
        <f>IF(ISBLANK(M136),"",ROUNDDOWN(O133+O132,0))</f>
        <v>225</v>
      </c>
      <c r="P136" s="61">
        <v>5</v>
      </c>
    </row>
    <row r="137" spans="1:16" x14ac:dyDescent="0.25">
      <c r="A137" s="184">
        <v>266</v>
      </c>
      <c r="B137" s="184" t="str">
        <f t="shared" si="44"/>
        <v>Gold Ingot</v>
      </c>
      <c r="C137" s="61">
        <f>IF(ISBLANK(A137),"",ROUNDDOWN(C136+$C$132,0))</f>
        <v>204</v>
      </c>
      <c r="D137" s="61">
        <v>5</v>
      </c>
      <c r="E137" s="184" t="s">
        <v>238</v>
      </c>
      <c r="F137" s="184" t="str">
        <f t="shared" si="45"/>
        <v>Acacia Planks</v>
      </c>
      <c r="G137" s="61">
        <f>IF(ISBLANK(E137),"",ROUNDDOWN(G136+$G$132,0))</f>
        <v>214</v>
      </c>
      <c r="H137" s="61">
        <v>5</v>
      </c>
      <c r="I137" s="184">
        <v>322</v>
      </c>
      <c r="J137" s="184" t="str">
        <f t="shared" si="46"/>
        <v>Golden Apple</v>
      </c>
      <c r="K137" s="61">
        <f>IF(ISBLANK(I137),"",ROUNDDOWN(K136+$K$132,0))</f>
        <v>204</v>
      </c>
      <c r="L137" s="61">
        <v>5</v>
      </c>
      <c r="M137" s="184">
        <v>35</v>
      </c>
      <c r="N137" s="184" t="str">
        <f t="shared" si="47"/>
        <v>Wool</v>
      </c>
      <c r="O137" s="61">
        <f>IF(ISBLANK(M137),"",ROUNDDOWN(O136+$O$132,0))</f>
        <v>250</v>
      </c>
      <c r="P137" s="61">
        <v>5</v>
      </c>
    </row>
    <row r="138" spans="1:16" x14ac:dyDescent="0.25">
      <c r="A138" s="184">
        <v>285</v>
      </c>
      <c r="B138" s="184" t="str">
        <f t="shared" si="44"/>
        <v>Gold Pickaxe</v>
      </c>
      <c r="C138" s="61">
        <f t="shared" ref="C138:C158" si="48">IF(ISBLANK(A138),"",ROUNDDOWN(C137+$C$132,0))</f>
        <v>206</v>
      </c>
      <c r="D138" s="61">
        <v>5</v>
      </c>
      <c r="E138" s="184" t="s">
        <v>401</v>
      </c>
      <c r="F138" s="184" t="str">
        <f t="shared" si="45"/>
        <v>Acacia Slab</v>
      </c>
      <c r="G138" s="61">
        <f t="shared" ref="G138:G158" si="49">IF(ISBLANK(E138),"",ROUNDDOWN(G137+$G$132,0))</f>
        <v>221</v>
      </c>
      <c r="H138" s="61">
        <v>5</v>
      </c>
      <c r="I138" s="184">
        <v>396</v>
      </c>
      <c r="J138" s="184" t="str">
        <f t="shared" si="46"/>
        <v>Golden Carrot</v>
      </c>
      <c r="K138" s="61">
        <f t="shared" ref="K138:K158" si="50">IF(ISBLANK(I138),"",ROUNDDOWN(K137+$K$132,0))</f>
        <v>206</v>
      </c>
      <c r="L138" s="61">
        <v>5</v>
      </c>
      <c r="M138" s="184"/>
      <c r="N138" s="184" t="str">
        <f t="shared" si="47"/>
        <v/>
      </c>
      <c r="O138" s="61" t="str">
        <f t="shared" ref="O138:O158" si="51">IF(ISBLANK(M138),"",ROUNDDOWN(O137+$O$132,0))</f>
        <v/>
      </c>
      <c r="P138" s="61">
        <v>5</v>
      </c>
    </row>
    <row r="139" spans="1:16" x14ac:dyDescent="0.25">
      <c r="A139" s="184">
        <v>42</v>
      </c>
      <c r="B139" s="184" t="str">
        <f t="shared" si="44"/>
        <v>Block of Iron</v>
      </c>
      <c r="C139" s="61">
        <f t="shared" si="48"/>
        <v>208</v>
      </c>
      <c r="D139" s="61">
        <v>5</v>
      </c>
      <c r="E139" s="184">
        <v>163</v>
      </c>
      <c r="F139" s="184" t="str">
        <f t="shared" si="45"/>
        <v>Acacia Stairs</v>
      </c>
      <c r="G139" s="61">
        <f t="shared" si="49"/>
        <v>228</v>
      </c>
      <c r="H139" s="61">
        <v>5</v>
      </c>
      <c r="I139" s="184" t="s">
        <v>616</v>
      </c>
      <c r="J139" s="184" t="str">
        <f t="shared" si="46"/>
        <v>Enchanted Golden Apple</v>
      </c>
      <c r="K139" s="61">
        <f t="shared" si="50"/>
        <v>208</v>
      </c>
      <c r="L139" s="61">
        <v>5</v>
      </c>
      <c r="M139" s="184"/>
      <c r="N139" s="184" t="str">
        <f t="shared" si="47"/>
        <v/>
      </c>
      <c r="O139" s="61" t="str">
        <f t="shared" si="51"/>
        <v/>
      </c>
      <c r="P139" s="61">
        <v>5</v>
      </c>
    </row>
    <row r="140" spans="1:16" x14ac:dyDescent="0.25">
      <c r="A140" s="184">
        <v>145</v>
      </c>
      <c r="B140" s="184" t="str">
        <f t="shared" si="44"/>
        <v>Anvil</v>
      </c>
      <c r="C140" s="61">
        <f t="shared" si="48"/>
        <v>210</v>
      </c>
      <c r="D140" s="61">
        <v>5</v>
      </c>
      <c r="E140" s="184">
        <v>192</v>
      </c>
      <c r="F140" s="184" t="str">
        <f t="shared" si="45"/>
        <v>Acacia Fence</v>
      </c>
      <c r="G140" s="61">
        <f t="shared" si="49"/>
        <v>235</v>
      </c>
      <c r="H140" s="61">
        <v>5</v>
      </c>
      <c r="I140" s="184">
        <v>436</v>
      </c>
      <c r="J140" s="184" t="str">
        <f t="shared" si="46"/>
        <v>Beetroot Soup</v>
      </c>
      <c r="K140" s="61">
        <f t="shared" si="50"/>
        <v>210</v>
      </c>
      <c r="L140" s="61">
        <v>5</v>
      </c>
      <c r="M140" s="184"/>
      <c r="N140" s="184" t="str">
        <f t="shared" si="47"/>
        <v/>
      </c>
      <c r="O140" s="61" t="str">
        <f t="shared" si="51"/>
        <v/>
      </c>
      <c r="P140" s="61">
        <v>5</v>
      </c>
    </row>
    <row r="141" spans="1:16" x14ac:dyDescent="0.25">
      <c r="A141" s="184">
        <v>406</v>
      </c>
      <c r="B141" s="184" t="str">
        <f t="shared" si="44"/>
        <v>Nether Quartz</v>
      </c>
      <c r="C141" s="61">
        <f t="shared" si="48"/>
        <v>212</v>
      </c>
      <c r="D141" s="61">
        <v>5</v>
      </c>
      <c r="E141" s="184">
        <v>187</v>
      </c>
      <c r="F141" s="184" t="str">
        <f t="shared" si="45"/>
        <v>Acacia Fence Gate</v>
      </c>
      <c r="G141" s="61">
        <f t="shared" si="49"/>
        <v>242</v>
      </c>
      <c r="H141" s="61">
        <v>5</v>
      </c>
      <c r="I141" s="184">
        <v>378</v>
      </c>
      <c r="J141" s="184" t="str">
        <f t="shared" si="46"/>
        <v>Magma Cream</v>
      </c>
      <c r="K141" s="61">
        <f t="shared" si="50"/>
        <v>212</v>
      </c>
      <c r="L141" s="61">
        <v>5</v>
      </c>
      <c r="M141" s="184"/>
      <c r="N141" s="184" t="str">
        <f t="shared" si="47"/>
        <v/>
      </c>
      <c r="O141" s="61" t="str">
        <f t="shared" si="51"/>
        <v/>
      </c>
      <c r="P141" s="61">
        <v>5</v>
      </c>
    </row>
    <row r="142" spans="1:16" x14ac:dyDescent="0.25">
      <c r="A142" s="184">
        <v>404</v>
      </c>
      <c r="B142" s="184" t="str">
        <f t="shared" si="44"/>
        <v>Resdtone Comparator</v>
      </c>
      <c r="C142" s="61">
        <f t="shared" si="48"/>
        <v>214</v>
      </c>
      <c r="D142" s="61">
        <v>5</v>
      </c>
      <c r="E142" s="184">
        <v>430</v>
      </c>
      <c r="F142" s="184" t="str">
        <f t="shared" si="45"/>
        <v>Acacia Door</v>
      </c>
      <c r="G142" s="61">
        <f t="shared" si="49"/>
        <v>249</v>
      </c>
      <c r="H142" s="61">
        <v>5</v>
      </c>
      <c r="I142" s="184">
        <v>213</v>
      </c>
      <c r="J142" s="184" t="str">
        <f t="shared" si="46"/>
        <v>Magma Block</v>
      </c>
      <c r="K142" s="61">
        <f t="shared" si="50"/>
        <v>214</v>
      </c>
      <c r="L142" s="61">
        <v>5</v>
      </c>
      <c r="M142" s="184"/>
      <c r="N142" s="184" t="str">
        <f t="shared" si="47"/>
        <v/>
      </c>
      <c r="O142" s="61" t="str">
        <f t="shared" si="51"/>
        <v/>
      </c>
      <c r="P142" s="61">
        <v>5</v>
      </c>
    </row>
    <row r="143" spans="1:16" x14ac:dyDescent="0.25">
      <c r="A143" s="184">
        <v>151</v>
      </c>
      <c r="B143" s="184" t="str">
        <f t="shared" si="44"/>
        <v>Daylight Sensor</v>
      </c>
      <c r="C143" s="61">
        <f t="shared" si="48"/>
        <v>216</v>
      </c>
      <c r="D143" s="61">
        <v>5</v>
      </c>
      <c r="E143" s="184"/>
      <c r="F143" s="184" t="str">
        <f t="shared" si="45"/>
        <v/>
      </c>
      <c r="G143" s="61" t="str">
        <f t="shared" si="49"/>
        <v/>
      </c>
      <c r="H143" s="61">
        <v>5</v>
      </c>
      <c r="I143" s="184" t="s">
        <v>722</v>
      </c>
      <c r="J143" s="184" t="str">
        <f t="shared" si="46"/>
        <v>Harming Potion</v>
      </c>
      <c r="K143" s="61">
        <f t="shared" si="50"/>
        <v>216</v>
      </c>
      <c r="L143" s="61">
        <v>5</v>
      </c>
      <c r="M143" s="184"/>
      <c r="N143" s="184" t="str">
        <f t="shared" si="47"/>
        <v/>
      </c>
      <c r="O143" s="61" t="str">
        <f t="shared" si="51"/>
        <v/>
      </c>
      <c r="P143" s="61">
        <v>5</v>
      </c>
    </row>
    <row r="144" spans="1:16" x14ac:dyDescent="0.25">
      <c r="A144" s="184">
        <v>155</v>
      </c>
      <c r="B144" s="184" t="str">
        <f t="shared" si="44"/>
        <v>Quartz Block</v>
      </c>
      <c r="C144" s="61">
        <f t="shared" si="48"/>
        <v>218</v>
      </c>
      <c r="D144" s="61">
        <v>5</v>
      </c>
      <c r="E144" s="184"/>
      <c r="F144" s="184" t="str">
        <f t="shared" si="45"/>
        <v/>
      </c>
      <c r="G144" s="61" t="str">
        <f t="shared" si="49"/>
        <v/>
      </c>
      <c r="H144" s="61">
        <v>5</v>
      </c>
      <c r="I144" s="184" t="s">
        <v>726</v>
      </c>
      <c r="J144" s="184" t="str">
        <f t="shared" si="46"/>
        <v>Invisibility Potion (3:00)</v>
      </c>
      <c r="K144" s="61">
        <f t="shared" si="50"/>
        <v>218</v>
      </c>
      <c r="L144" s="61">
        <v>5</v>
      </c>
      <c r="M144" s="184"/>
      <c r="N144" s="184" t="str">
        <f t="shared" si="47"/>
        <v/>
      </c>
      <c r="O144" s="61" t="str">
        <f t="shared" si="51"/>
        <v/>
      </c>
      <c r="P144" s="61">
        <v>5</v>
      </c>
    </row>
    <row r="145" spans="1:16" x14ac:dyDescent="0.25">
      <c r="A145" s="184" t="s">
        <v>425</v>
      </c>
      <c r="B145" s="184" t="str">
        <f t="shared" si="44"/>
        <v>Chiseled Quartz Block</v>
      </c>
      <c r="C145" s="61">
        <f t="shared" si="48"/>
        <v>220</v>
      </c>
      <c r="D145" s="61">
        <v>5</v>
      </c>
      <c r="E145" s="184"/>
      <c r="F145" s="184" t="str">
        <f t="shared" si="45"/>
        <v/>
      </c>
      <c r="G145" s="61" t="str">
        <f t="shared" si="49"/>
        <v/>
      </c>
      <c r="H145" s="61">
        <v>5</v>
      </c>
      <c r="I145" s="184" t="s">
        <v>720</v>
      </c>
      <c r="J145" s="184" t="str">
        <f t="shared" si="46"/>
        <v>Slowness Potion (1:30)</v>
      </c>
      <c r="K145" s="61">
        <f t="shared" si="50"/>
        <v>220</v>
      </c>
      <c r="L145" s="61">
        <v>5</v>
      </c>
      <c r="M145" s="184"/>
      <c r="N145" s="184" t="str">
        <f t="shared" si="47"/>
        <v/>
      </c>
      <c r="O145" s="61" t="str">
        <f t="shared" si="51"/>
        <v/>
      </c>
      <c r="P145" s="61">
        <v>5</v>
      </c>
    </row>
    <row r="146" spans="1:16" x14ac:dyDescent="0.25">
      <c r="A146" s="184" t="s">
        <v>427</v>
      </c>
      <c r="B146" s="184" t="str">
        <f t="shared" si="44"/>
        <v>Pillar Quartz Block</v>
      </c>
      <c r="C146" s="61">
        <f t="shared" si="48"/>
        <v>222</v>
      </c>
      <c r="D146" s="61">
        <v>5</v>
      </c>
      <c r="E146" s="184"/>
      <c r="F146" s="184" t="str">
        <f t="shared" si="45"/>
        <v/>
      </c>
      <c r="G146" s="61" t="str">
        <f t="shared" si="49"/>
        <v/>
      </c>
      <c r="H146" s="61">
        <v>5</v>
      </c>
      <c r="I146" s="184" t="s">
        <v>714</v>
      </c>
      <c r="J146" s="184" t="str">
        <f t="shared" si="46"/>
        <v>Night Vision Potion (3:00)</v>
      </c>
      <c r="K146" s="61">
        <f t="shared" si="50"/>
        <v>222</v>
      </c>
      <c r="L146" s="61">
        <v>5</v>
      </c>
      <c r="M146" s="184"/>
      <c r="N146" s="184" t="str">
        <f t="shared" si="47"/>
        <v/>
      </c>
      <c r="O146" s="61" t="str">
        <f t="shared" si="51"/>
        <v/>
      </c>
      <c r="P146" s="61">
        <v>5</v>
      </c>
    </row>
    <row r="147" spans="1:16" x14ac:dyDescent="0.25">
      <c r="A147" s="184" t="s">
        <v>320</v>
      </c>
      <c r="B147" s="184" t="str">
        <f t="shared" si="44"/>
        <v>Quartz Slab</v>
      </c>
      <c r="C147" s="61">
        <f t="shared" si="48"/>
        <v>224</v>
      </c>
      <c r="D147" s="61">
        <v>5</v>
      </c>
      <c r="E147" s="184"/>
      <c r="F147" s="184" t="str">
        <f t="shared" si="45"/>
        <v/>
      </c>
      <c r="G147" s="61" t="str">
        <f t="shared" si="49"/>
        <v/>
      </c>
      <c r="H147" s="61">
        <v>5</v>
      </c>
      <c r="I147" s="184" t="s">
        <v>744</v>
      </c>
      <c r="J147" s="184" t="str">
        <f t="shared" si="46"/>
        <v>Swiftness Potion (8:00)</v>
      </c>
      <c r="K147" s="61">
        <f t="shared" si="50"/>
        <v>224</v>
      </c>
      <c r="L147" s="61">
        <v>5</v>
      </c>
      <c r="M147" s="184"/>
      <c r="N147" s="184" t="str">
        <f t="shared" si="47"/>
        <v/>
      </c>
      <c r="O147" s="61" t="str">
        <f t="shared" si="51"/>
        <v/>
      </c>
      <c r="P147" s="61">
        <v>5</v>
      </c>
    </row>
    <row r="148" spans="1:16" x14ac:dyDescent="0.25">
      <c r="A148" s="184">
        <v>156</v>
      </c>
      <c r="B148" s="184" t="str">
        <f t="shared" si="44"/>
        <v>Quartz Stairs</v>
      </c>
      <c r="C148" s="61">
        <f t="shared" si="48"/>
        <v>226</v>
      </c>
      <c r="D148" s="61">
        <v>5</v>
      </c>
      <c r="E148" s="184"/>
      <c r="F148" s="184" t="str">
        <f t="shared" si="45"/>
        <v/>
      </c>
      <c r="G148" s="61" t="str">
        <f t="shared" si="49"/>
        <v/>
      </c>
      <c r="H148" s="61">
        <v>5</v>
      </c>
      <c r="I148" s="184" t="s">
        <v>774</v>
      </c>
      <c r="J148" s="184" t="str">
        <f t="shared" si="46"/>
        <v>Swiftness Splash Potion (2:15)</v>
      </c>
      <c r="K148" s="61">
        <f t="shared" si="50"/>
        <v>226</v>
      </c>
      <c r="L148" s="61">
        <v>5</v>
      </c>
      <c r="M148" s="184"/>
      <c r="N148" s="184" t="str">
        <f t="shared" si="47"/>
        <v/>
      </c>
      <c r="O148" s="61" t="str">
        <f t="shared" si="51"/>
        <v/>
      </c>
      <c r="P148" s="61">
        <v>5</v>
      </c>
    </row>
    <row r="149" spans="1:16" x14ac:dyDescent="0.25">
      <c r="A149" s="184">
        <v>277</v>
      </c>
      <c r="B149" s="184" t="str">
        <f t="shared" si="44"/>
        <v>Diamond Shovel</v>
      </c>
      <c r="C149" s="61">
        <f t="shared" si="48"/>
        <v>228</v>
      </c>
      <c r="D149" s="61">
        <v>5</v>
      </c>
      <c r="E149" s="184"/>
      <c r="F149" s="184" t="str">
        <f t="shared" si="45"/>
        <v/>
      </c>
      <c r="G149" s="61" t="str">
        <f t="shared" si="49"/>
        <v/>
      </c>
      <c r="H149" s="61">
        <v>5</v>
      </c>
      <c r="I149" s="184" t="s">
        <v>756</v>
      </c>
      <c r="J149" s="184" t="str">
        <f t="shared" si="46"/>
        <v>Slowness Potion (4:00)</v>
      </c>
      <c r="K149" s="61">
        <f t="shared" si="50"/>
        <v>228</v>
      </c>
      <c r="L149" s="61">
        <v>5</v>
      </c>
      <c r="M149" s="184"/>
      <c r="N149" s="184" t="str">
        <f t="shared" si="47"/>
        <v/>
      </c>
      <c r="O149" s="61" t="str">
        <f t="shared" si="51"/>
        <v/>
      </c>
      <c r="P149" s="61">
        <v>5</v>
      </c>
    </row>
    <row r="150" spans="1:16" x14ac:dyDescent="0.25">
      <c r="A150" s="184">
        <v>168</v>
      </c>
      <c r="B150" s="184" t="str">
        <f t="shared" si="44"/>
        <v>Prismarine</v>
      </c>
      <c r="C150" s="61">
        <f t="shared" si="48"/>
        <v>230</v>
      </c>
      <c r="D150" s="61">
        <v>5</v>
      </c>
      <c r="E150" s="184"/>
      <c r="F150" s="184" t="str">
        <f t="shared" si="45"/>
        <v/>
      </c>
      <c r="G150" s="61" t="str">
        <f t="shared" si="49"/>
        <v/>
      </c>
      <c r="H150" s="61">
        <v>5</v>
      </c>
      <c r="I150" s="184" t="s">
        <v>784</v>
      </c>
      <c r="J150" s="184" t="str">
        <f t="shared" si="46"/>
        <v>Weakness Splash Potion (1:07)</v>
      </c>
      <c r="K150" s="61">
        <f t="shared" si="50"/>
        <v>230</v>
      </c>
      <c r="L150" s="61">
        <v>5</v>
      </c>
      <c r="M150" s="184"/>
      <c r="N150" s="184" t="str">
        <f t="shared" si="47"/>
        <v/>
      </c>
      <c r="O150" s="61" t="str">
        <f t="shared" si="51"/>
        <v/>
      </c>
      <c r="P150" s="61">
        <v>5</v>
      </c>
    </row>
    <row r="151" spans="1:16" x14ac:dyDescent="0.25">
      <c r="A151" s="184">
        <v>169</v>
      </c>
      <c r="B151" s="184" t="str">
        <f t="shared" si="44"/>
        <v>Sea Lantern</v>
      </c>
      <c r="C151" s="61">
        <f t="shared" si="48"/>
        <v>232</v>
      </c>
      <c r="D151" s="61">
        <v>5</v>
      </c>
      <c r="E151" s="184"/>
      <c r="F151" s="184" t="str">
        <f t="shared" si="45"/>
        <v/>
      </c>
      <c r="G151" s="61" t="str">
        <f t="shared" si="49"/>
        <v/>
      </c>
      <c r="H151" s="61">
        <v>5</v>
      </c>
      <c r="I151" s="184" t="s">
        <v>730</v>
      </c>
      <c r="J151" s="184" t="str">
        <f t="shared" si="46"/>
        <v>Swiftness Potion II (1:30)</v>
      </c>
      <c r="K151" s="61">
        <f t="shared" si="50"/>
        <v>232</v>
      </c>
      <c r="L151" s="61">
        <v>5</v>
      </c>
      <c r="M151" s="184"/>
      <c r="N151" s="184" t="str">
        <f t="shared" si="47"/>
        <v/>
      </c>
      <c r="O151" s="61" t="str">
        <f t="shared" si="51"/>
        <v/>
      </c>
      <c r="P151" s="61">
        <v>5</v>
      </c>
    </row>
    <row r="152" spans="1:16" x14ac:dyDescent="0.25">
      <c r="A152" s="184" t="s">
        <v>504</v>
      </c>
      <c r="B152" s="184" t="str">
        <f t="shared" si="44"/>
        <v>Dark Prismarine</v>
      </c>
      <c r="C152" s="61">
        <f t="shared" si="48"/>
        <v>234</v>
      </c>
      <c r="D152" s="61">
        <v>5</v>
      </c>
      <c r="E152" s="184"/>
      <c r="F152" s="184" t="str">
        <f t="shared" si="45"/>
        <v/>
      </c>
      <c r="G152" s="61" t="str">
        <f t="shared" si="49"/>
        <v/>
      </c>
      <c r="H152" s="61">
        <v>5</v>
      </c>
      <c r="I152" s="184" t="s">
        <v>820</v>
      </c>
      <c r="J152" s="184" t="str">
        <f t="shared" si="46"/>
        <v>Weakness Splash Potion (3:00)</v>
      </c>
      <c r="K152" s="61">
        <f t="shared" si="50"/>
        <v>234</v>
      </c>
      <c r="L152" s="61">
        <v>5</v>
      </c>
      <c r="M152" s="184"/>
      <c r="N152" s="184" t="str">
        <f t="shared" si="47"/>
        <v/>
      </c>
      <c r="O152" s="61" t="str">
        <f t="shared" si="51"/>
        <v/>
      </c>
      <c r="P152" s="61">
        <v>5</v>
      </c>
    </row>
    <row r="153" spans="1:16" x14ac:dyDescent="0.25">
      <c r="A153" s="184" t="s">
        <v>502</v>
      </c>
      <c r="B153" s="184" t="str">
        <f t="shared" si="44"/>
        <v>Prismarine Bricks</v>
      </c>
      <c r="C153" s="61">
        <f t="shared" si="48"/>
        <v>236</v>
      </c>
      <c r="D153" s="61">
        <v>5</v>
      </c>
      <c r="E153" s="184"/>
      <c r="F153" s="184" t="str">
        <f t="shared" si="45"/>
        <v/>
      </c>
      <c r="G153" s="61" t="str">
        <f t="shared" si="49"/>
        <v/>
      </c>
      <c r="H153" s="61">
        <v>5</v>
      </c>
      <c r="I153" s="184" t="s">
        <v>762</v>
      </c>
      <c r="J153" s="184" t="str">
        <f t="shared" si="46"/>
        <v>Invisibility Potion (8:00)</v>
      </c>
      <c r="K153" s="61">
        <f t="shared" si="50"/>
        <v>236</v>
      </c>
      <c r="L153" s="61">
        <v>5</v>
      </c>
      <c r="M153" s="184"/>
      <c r="N153" s="184" t="str">
        <f t="shared" si="47"/>
        <v/>
      </c>
      <c r="O153" s="61" t="str">
        <f t="shared" si="51"/>
        <v/>
      </c>
      <c r="P153" s="61">
        <v>5</v>
      </c>
    </row>
    <row r="154" spans="1:16" x14ac:dyDescent="0.25">
      <c r="A154" s="184">
        <v>165</v>
      </c>
      <c r="B154" s="184" t="str">
        <f t="shared" si="44"/>
        <v>Slime Block</v>
      </c>
      <c r="C154" s="61">
        <f t="shared" si="48"/>
        <v>238</v>
      </c>
      <c r="D154" s="61">
        <v>5</v>
      </c>
      <c r="E154" s="184"/>
      <c r="F154" s="184" t="str">
        <f t="shared" si="45"/>
        <v/>
      </c>
      <c r="G154" s="61" t="str">
        <f t="shared" si="49"/>
        <v/>
      </c>
      <c r="H154" s="61">
        <v>5</v>
      </c>
      <c r="I154" s="184" t="s">
        <v>740</v>
      </c>
      <c r="J154" s="184" t="str">
        <f t="shared" si="46"/>
        <v>Harming Potion II</v>
      </c>
      <c r="K154" s="61">
        <f t="shared" si="50"/>
        <v>238</v>
      </c>
      <c r="L154" s="61">
        <v>5</v>
      </c>
      <c r="M154" s="184"/>
      <c r="N154" s="184" t="str">
        <f t="shared" si="47"/>
        <v/>
      </c>
      <c r="O154" s="61" t="str">
        <f t="shared" si="51"/>
        <v/>
      </c>
      <c r="P154" s="61">
        <v>5</v>
      </c>
    </row>
    <row r="155" spans="1:16" x14ac:dyDescent="0.25">
      <c r="A155" s="184">
        <v>133</v>
      </c>
      <c r="B155" s="184" t="str">
        <f t="shared" si="44"/>
        <v>Emerald block</v>
      </c>
      <c r="C155" s="61">
        <f t="shared" si="48"/>
        <v>240</v>
      </c>
      <c r="D155" s="61">
        <v>5</v>
      </c>
      <c r="E155" s="184"/>
      <c r="F155" s="184" t="str">
        <f t="shared" si="45"/>
        <v/>
      </c>
      <c r="G155" s="61" t="str">
        <f t="shared" si="49"/>
        <v/>
      </c>
      <c r="H155" s="61">
        <v>5</v>
      </c>
      <c r="I155" s="184">
        <v>91</v>
      </c>
      <c r="J155" s="184" t="str">
        <f t="shared" si="46"/>
        <v>Jack-O-Lantern</v>
      </c>
      <c r="K155" s="61">
        <f t="shared" si="50"/>
        <v>240</v>
      </c>
      <c r="L155" s="61">
        <v>5</v>
      </c>
      <c r="M155" s="184"/>
      <c r="N155" s="184" t="str">
        <f t="shared" si="47"/>
        <v/>
      </c>
      <c r="O155" s="61" t="str">
        <f t="shared" si="51"/>
        <v/>
      </c>
      <c r="P155" s="61">
        <v>5</v>
      </c>
    </row>
    <row r="156" spans="1:16" x14ac:dyDescent="0.25">
      <c r="A156" s="184"/>
      <c r="B156" s="184" t="str">
        <f t="shared" si="44"/>
        <v/>
      </c>
      <c r="C156" s="61" t="str">
        <f t="shared" si="48"/>
        <v/>
      </c>
      <c r="D156" s="61">
        <v>5</v>
      </c>
      <c r="E156" s="184"/>
      <c r="F156" s="184" t="str">
        <f t="shared" si="45"/>
        <v/>
      </c>
      <c r="G156" s="61" t="str">
        <f t="shared" si="49"/>
        <v/>
      </c>
      <c r="H156" s="61">
        <v>5</v>
      </c>
      <c r="I156" s="184">
        <v>413</v>
      </c>
      <c r="J156" s="184" t="str">
        <f t="shared" si="46"/>
        <v>Rabbit Stew</v>
      </c>
      <c r="K156" s="61">
        <f t="shared" si="50"/>
        <v>242</v>
      </c>
      <c r="L156" s="61">
        <v>5</v>
      </c>
      <c r="M156" s="184"/>
      <c r="N156" s="184" t="str">
        <f t="shared" si="47"/>
        <v/>
      </c>
      <c r="O156" s="61" t="str">
        <f t="shared" si="51"/>
        <v/>
      </c>
      <c r="P156" s="61">
        <v>5</v>
      </c>
    </row>
    <row r="157" spans="1:16" x14ac:dyDescent="0.25">
      <c r="A157" s="184"/>
      <c r="B157" s="184" t="str">
        <f t="shared" si="44"/>
        <v/>
      </c>
      <c r="C157" s="61" t="str">
        <f t="shared" si="48"/>
        <v/>
      </c>
      <c r="D157" s="61">
        <v>5</v>
      </c>
      <c r="E157" s="184"/>
      <c r="F157" s="184" t="str">
        <f t="shared" si="45"/>
        <v/>
      </c>
      <c r="G157" s="61" t="str">
        <f t="shared" si="49"/>
        <v/>
      </c>
      <c r="H157" s="61">
        <v>5</v>
      </c>
      <c r="I157" s="184"/>
      <c r="J157" s="184" t="str">
        <f t="shared" si="46"/>
        <v/>
      </c>
      <c r="K157" s="61" t="str">
        <f t="shared" si="50"/>
        <v/>
      </c>
      <c r="L157" s="61">
        <v>5</v>
      </c>
      <c r="M157" s="184"/>
      <c r="N157" s="184" t="str">
        <f t="shared" si="47"/>
        <v/>
      </c>
      <c r="O157" s="61" t="str">
        <f t="shared" si="51"/>
        <v/>
      </c>
      <c r="P157" s="61">
        <v>5</v>
      </c>
    </row>
    <row r="158" spans="1:16" x14ac:dyDescent="0.25">
      <c r="A158" s="184"/>
      <c r="B158" s="184" t="str">
        <f t="shared" si="44"/>
        <v/>
      </c>
      <c r="C158" s="61" t="str">
        <f t="shared" si="48"/>
        <v/>
      </c>
      <c r="D158" s="61">
        <v>5</v>
      </c>
      <c r="E158" s="184"/>
      <c r="F158" s="184" t="str">
        <f t="shared" si="45"/>
        <v/>
      </c>
      <c r="G158" s="61" t="str">
        <f t="shared" si="49"/>
        <v/>
      </c>
      <c r="H158" s="61">
        <v>5</v>
      </c>
      <c r="I158" s="184"/>
      <c r="J158" s="184" t="str">
        <f t="shared" si="46"/>
        <v/>
      </c>
      <c r="K158" s="61" t="str">
        <f t="shared" si="50"/>
        <v/>
      </c>
      <c r="L158" s="61">
        <v>5</v>
      </c>
      <c r="M158" s="184"/>
      <c r="N158" s="184" t="str">
        <f t="shared" si="47"/>
        <v/>
      </c>
      <c r="O158" s="61" t="str">
        <f t="shared" si="51"/>
        <v/>
      </c>
      <c r="P158" s="61">
        <v>5</v>
      </c>
    </row>
    <row r="159" spans="1:16" x14ac:dyDescent="0.25">
      <c r="A159" s="257"/>
      <c r="B159" s="339" t="s">
        <v>1015</v>
      </c>
      <c r="C159" s="332"/>
      <c r="D159" s="333"/>
      <c r="E159" s="257"/>
      <c r="F159" s="339" t="s">
        <v>1015</v>
      </c>
      <c r="G159" s="332"/>
      <c r="H159" s="333"/>
      <c r="I159" s="257"/>
      <c r="J159" s="339" t="s">
        <v>1015</v>
      </c>
      <c r="K159" s="332"/>
      <c r="L159" s="333"/>
      <c r="M159" s="257"/>
      <c r="N159" s="339" t="s">
        <v>1015</v>
      </c>
      <c r="O159" s="332"/>
      <c r="P159" s="333"/>
    </row>
    <row r="160" spans="1:16" x14ac:dyDescent="0.25">
      <c r="A160" s="258"/>
      <c r="B160" s="258" t="s">
        <v>1008</v>
      </c>
      <c r="C160" s="336">
        <f>COUNTA(A165:A187)</f>
        <v>12</v>
      </c>
      <c r="D160" s="337"/>
      <c r="E160" s="258"/>
      <c r="F160" s="258" t="s">
        <v>1008</v>
      </c>
      <c r="G160" s="336">
        <f>COUNTA(E165:E187)</f>
        <v>7</v>
      </c>
      <c r="H160" s="337"/>
      <c r="I160" s="258"/>
      <c r="J160" s="258" t="s">
        <v>1008</v>
      </c>
      <c r="K160" s="336">
        <f>COUNTA(I165:I187)</f>
        <v>22</v>
      </c>
      <c r="L160" s="337"/>
      <c r="M160" s="258"/>
      <c r="N160" s="258" t="s">
        <v>1008</v>
      </c>
      <c r="O160" s="336">
        <f>COUNTA(M165:M187)</f>
        <v>4</v>
      </c>
      <c r="P160" s="337"/>
    </row>
    <row r="161" spans="1:16" x14ac:dyDescent="0.25">
      <c r="A161" s="258"/>
      <c r="B161" s="258" t="s">
        <v>1009</v>
      </c>
      <c r="C161" s="336">
        <f>ROUNDDOWN(C163/C160,1)</f>
        <v>4.0999999999999996</v>
      </c>
      <c r="D161" s="337"/>
      <c r="E161" s="258"/>
      <c r="F161" s="258" t="s">
        <v>1009</v>
      </c>
      <c r="G161" s="336">
        <f>ROUNDDOWN(G163/G160,1)</f>
        <v>7.1</v>
      </c>
      <c r="H161" s="337"/>
      <c r="I161" s="258"/>
      <c r="J161" s="258" t="s">
        <v>1009</v>
      </c>
      <c r="K161" s="336">
        <f>ROUNDDOWN(K163/K160,1)</f>
        <v>2.2000000000000002</v>
      </c>
      <c r="L161" s="337"/>
      <c r="M161" s="258"/>
      <c r="N161" s="258" t="s">
        <v>1009</v>
      </c>
      <c r="O161" s="336">
        <f>ROUNDDOWN(O163/O160,1)</f>
        <v>12.5</v>
      </c>
      <c r="P161" s="337"/>
    </row>
    <row r="162" spans="1:16" x14ac:dyDescent="0.25">
      <c r="A162" s="258"/>
      <c r="B162" s="258" t="s">
        <v>1007</v>
      </c>
      <c r="C162" s="336">
        <v>250</v>
      </c>
      <c r="D162" s="337"/>
      <c r="E162" s="258"/>
      <c r="F162" s="258" t="s">
        <v>1007</v>
      </c>
      <c r="G162" s="336">
        <v>250</v>
      </c>
      <c r="H162" s="337"/>
      <c r="I162" s="258"/>
      <c r="J162" s="258" t="s">
        <v>1007</v>
      </c>
      <c r="K162" s="336">
        <v>250</v>
      </c>
      <c r="L162" s="337"/>
      <c r="M162" s="258"/>
      <c r="N162" s="258" t="s">
        <v>1007</v>
      </c>
      <c r="O162" s="336">
        <v>250</v>
      </c>
      <c r="P162" s="337"/>
    </row>
    <row r="163" spans="1:16" x14ac:dyDescent="0.25">
      <c r="A163" s="258"/>
      <c r="B163" s="258" t="s">
        <v>1016</v>
      </c>
      <c r="C163" s="334">
        <v>50</v>
      </c>
      <c r="D163" s="338"/>
      <c r="E163" s="258"/>
      <c r="F163" s="258" t="s">
        <v>1016</v>
      </c>
      <c r="G163" s="334">
        <v>50</v>
      </c>
      <c r="H163" s="338"/>
      <c r="I163" s="258"/>
      <c r="J163" s="258" t="s">
        <v>1016</v>
      </c>
      <c r="K163" s="334">
        <v>50</v>
      </c>
      <c r="L163" s="338"/>
      <c r="M163" s="258"/>
      <c r="N163" s="258" t="s">
        <v>1016</v>
      </c>
      <c r="O163" s="334">
        <v>50</v>
      </c>
      <c r="P163" s="338"/>
    </row>
    <row r="164" spans="1:16" x14ac:dyDescent="0.25">
      <c r="A164" s="185" t="s">
        <v>205</v>
      </c>
      <c r="B164" s="185" t="s">
        <v>203</v>
      </c>
      <c r="C164" s="186" t="s">
        <v>50</v>
      </c>
      <c r="D164" s="186" t="s">
        <v>19</v>
      </c>
      <c r="E164" s="185" t="s">
        <v>205</v>
      </c>
      <c r="F164" s="185" t="s">
        <v>203</v>
      </c>
      <c r="G164" s="186" t="s">
        <v>50</v>
      </c>
      <c r="H164" s="186" t="s">
        <v>19</v>
      </c>
      <c r="I164" s="185" t="s">
        <v>205</v>
      </c>
      <c r="J164" s="185" t="s">
        <v>203</v>
      </c>
      <c r="K164" s="186" t="s">
        <v>50</v>
      </c>
      <c r="L164" s="186" t="s">
        <v>19</v>
      </c>
      <c r="M164" s="185" t="s">
        <v>205</v>
      </c>
      <c r="N164" s="185" t="s">
        <v>203</v>
      </c>
      <c r="O164" s="186" t="s">
        <v>50</v>
      </c>
      <c r="P164" s="186" t="s">
        <v>19</v>
      </c>
    </row>
    <row r="165" spans="1:16" x14ac:dyDescent="0.25">
      <c r="A165" s="184">
        <v>278</v>
      </c>
      <c r="B165" s="184" t="str">
        <f t="shared" ref="B165:B187" si="52">IF(ISBLANK(A165),"",VLOOKUP(A165,LISTAITEMS,2,FALSE))</f>
        <v>Diamond Pickaxe</v>
      </c>
      <c r="C165" s="61">
        <f>IF(ISBLANK(A165),"",ROUNDDOWN(C162+C161,0))</f>
        <v>254</v>
      </c>
      <c r="D165" s="61">
        <v>6</v>
      </c>
      <c r="E165" s="184">
        <v>279</v>
      </c>
      <c r="F165" s="184" t="str">
        <f t="shared" ref="F165:F187" si="53">IF(ISBLANK(E165),"",VLOOKUP(E165,LISTAITEMS,2,FALSE))</f>
        <v>Diamond Axe</v>
      </c>
      <c r="G165" s="61">
        <f>IF(ISBLANK(E165),"",ROUNDDOWN(G162+G161,0))</f>
        <v>257</v>
      </c>
      <c r="H165" s="61">
        <v>6</v>
      </c>
      <c r="I165" s="184">
        <v>293</v>
      </c>
      <c r="J165" s="184" t="str">
        <f t="shared" ref="J165" si="54">IF(ISBLANK(I165),"",VLOOKUP(I165,LISTAITEMS,2,FALSE))</f>
        <v>Diamond Hoe</v>
      </c>
      <c r="K165" s="61">
        <f>IF(ISBLANK(I165),"",ROUNDDOWN(K162+K161,0))</f>
        <v>252</v>
      </c>
      <c r="L165" s="61">
        <v>6</v>
      </c>
      <c r="M165" s="184">
        <v>424</v>
      </c>
      <c r="N165" s="184" t="str">
        <f t="shared" ref="N165:N187" si="55">IF(ISBLANK(M165),"",VLOOKUP(M165,LISTAITEMS,2,FALSE))</f>
        <v>Cooked Mutton</v>
      </c>
      <c r="O165" s="61">
        <f>IF(ISBLANK(M165),"",ROUNDDOWN(O162+O161,0))</f>
        <v>262</v>
      </c>
      <c r="P165" s="61">
        <v>6</v>
      </c>
    </row>
    <row r="166" spans="1:16" x14ac:dyDescent="0.25">
      <c r="A166" s="184">
        <v>405</v>
      </c>
      <c r="B166" s="184" t="str">
        <f t="shared" si="52"/>
        <v>Nether Brick (Item)</v>
      </c>
      <c r="C166" s="61">
        <f>IF(ISBLANK(A166),"",ROUNDDOWN(C165+$C$161,0))</f>
        <v>258</v>
      </c>
      <c r="D166" s="61">
        <v>6</v>
      </c>
      <c r="E166" s="184" t="s">
        <v>240</v>
      </c>
      <c r="F166" s="184" t="str">
        <f t="shared" si="53"/>
        <v>Dark Oak Planks</v>
      </c>
      <c r="G166" s="61">
        <f>IF(ISBLANK(E166),"",ROUNDDOWN(G165+$G$161,0))</f>
        <v>264</v>
      </c>
      <c r="H166" s="61">
        <v>6</v>
      </c>
      <c r="I166" s="184">
        <v>400</v>
      </c>
      <c r="J166" s="184" t="str">
        <f t="shared" ref="J166:J187" si="56">IF(ISBLANK(I166),"",VLOOKUP(I166,LISTAITEMS,2,FALSE))</f>
        <v>Pumpkin Pie</v>
      </c>
      <c r="K166" s="61">
        <f t="shared" ref="K166:K187" si="57">IF(ISBLANK(I166),"",ROUNDDOWN(K165+$K$161,0))</f>
        <v>254</v>
      </c>
      <c r="L166" s="61">
        <v>6</v>
      </c>
      <c r="M166" s="184">
        <v>171</v>
      </c>
      <c r="N166" s="184" t="str">
        <f t="shared" si="55"/>
        <v>White Carpet</v>
      </c>
      <c r="O166" s="61">
        <f>IF(ISBLANK(M166),"",ROUNDDOWN(O165+$O$161,0))</f>
        <v>274</v>
      </c>
      <c r="P166" s="61">
        <v>6</v>
      </c>
    </row>
    <row r="167" spans="1:16" x14ac:dyDescent="0.25">
      <c r="A167" s="184">
        <v>112</v>
      </c>
      <c r="B167" s="184" t="str">
        <f t="shared" si="52"/>
        <v>Nether Brick</v>
      </c>
      <c r="C167" s="61">
        <f t="shared" ref="C167:C187" si="58">IF(ISBLANK(A167),"",ROUNDDOWN(C166+$C$161,0))</f>
        <v>262</v>
      </c>
      <c r="D167" s="61">
        <v>6</v>
      </c>
      <c r="E167" s="184" t="s">
        <v>403</v>
      </c>
      <c r="F167" s="184" t="str">
        <f t="shared" si="53"/>
        <v>Dark Oak Slab</v>
      </c>
      <c r="G167" s="61">
        <f t="shared" ref="G167:G187" si="59">IF(ISBLANK(E167),"",ROUNDDOWN(G166+$G$161,0))</f>
        <v>271</v>
      </c>
      <c r="H167" s="61">
        <v>6</v>
      </c>
      <c r="I167" s="184">
        <v>282</v>
      </c>
      <c r="J167" s="184" t="str">
        <f t="shared" si="56"/>
        <v>Mushroom Stew</v>
      </c>
      <c r="K167" s="61">
        <f t="shared" si="57"/>
        <v>256</v>
      </c>
      <c r="L167" s="61">
        <v>6</v>
      </c>
      <c r="M167" s="184">
        <v>321</v>
      </c>
      <c r="N167" s="184" t="str">
        <f t="shared" si="55"/>
        <v>Painting</v>
      </c>
      <c r="O167" s="61">
        <f t="shared" ref="O167:O187" si="60">IF(ISBLANK(M167),"",ROUNDDOWN(O166+$O$161,0))</f>
        <v>286</v>
      </c>
      <c r="P167" s="61">
        <v>6</v>
      </c>
    </row>
    <row r="168" spans="1:16" x14ac:dyDescent="0.25">
      <c r="A168" s="184" t="s">
        <v>318</v>
      </c>
      <c r="B168" s="184" t="str">
        <f t="shared" si="52"/>
        <v>Nether Brick Slab</v>
      </c>
      <c r="C168" s="61">
        <f t="shared" si="58"/>
        <v>266</v>
      </c>
      <c r="D168" s="61">
        <v>6</v>
      </c>
      <c r="E168" s="184">
        <v>164</v>
      </c>
      <c r="F168" s="184" t="str">
        <f t="shared" si="53"/>
        <v>Dark Oak Stairs</v>
      </c>
      <c r="G168" s="61">
        <f t="shared" si="59"/>
        <v>278</v>
      </c>
      <c r="H168" s="61">
        <v>6</v>
      </c>
      <c r="I168" s="184">
        <v>381</v>
      </c>
      <c r="J168" s="184" t="str">
        <f t="shared" si="56"/>
        <v>Eye of Ender</v>
      </c>
      <c r="K168" s="61">
        <f t="shared" si="57"/>
        <v>258</v>
      </c>
      <c r="L168" s="61">
        <v>6</v>
      </c>
      <c r="M168" s="184">
        <v>355</v>
      </c>
      <c r="N168" s="184" t="str">
        <f t="shared" si="55"/>
        <v>Bed White</v>
      </c>
      <c r="O168" s="61">
        <f t="shared" si="60"/>
        <v>298</v>
      </c>
      <c r="P168" s="61">
        <v>6</v>
      </c>
    </row>
    <row r="169" spans="1:16" x14ac:dyDescent="0.25">
      <c r="A169" s="184">
        <v>114</v>
      </c>
      <c r="B169" s="184" t="str">
        <f t="shared" si="52"/>
        <v>Nether Brick Stairs</v>
      </c>
      <c r="C169" s="61">
        <f t="shared" si="58"/>
        <v>270</v>
      </c>
      <c r="D169" s="61">
        <v>6</v>
      </c>
      <c r="E169" s="184">
        <v>191</v>
      </c>
      <c r="F169" s="184" t="str">
        <f t="shared" si="53"/>
        <v>Dark Oak Fence</v>
      </c>
      <c r="G169" s="61">
        <f t="shared" si="59"/>
        <v>285</v>
      </c>
      <c r="H169" s="61">
        <v>6</v>
      </c>
      <c r="I169" s="184">
        <v>130</v>
      </c>
      <c r="J169" s="184" t="str">
        <f t="shared" si="56"/>
        <v>Ender Chest</v>
      </c>
      <c r="K169" s="61">
        <f t="shared" si="57"/>
        <v>260</v>
      </c>
      <c r="L169" s="61">
        <v>6</v>
      </c>
      <c r="M169" s="184"/>
      <c r="N169" s="184" t="str">
        <f t="shared" si="55"/>
        <v/>
      </c>
      <c r="O169" s="61" t="str">
        <f t="shared" si="60"/>
        <v/>
      </c>
      <c r="P169" s="61">
        <v>6</v>
      </c>
    </row>
    <row r="170" spans="1:16" x14ac:dyDescent="0.25">
      <c r="A170" s="184">
        <v>113</v>
      </c>
      <c r="B170" s="184" t="str">
        <f t="shared" si="52"/>
        <v>Nether Brick Fence</v>
      </c>
      <c r="C170" s="61">
        <f t="shared" si="58"/>
        <v>274</v>
      </c>
      <c r="D170" s="61">
        <v>6</v>
      </c>
      <c r="E170" s="184">
        <v>186</v>
      </c>
      <c r="F170" s="184" t="str">
        <f t="shared" si="53"/>
        <v>Dark Oak Fence Gate</v>
      </c>
      <c r="G170" s="61">
        <f t="shared" si="59"/>
        <v>292</v>
      </c>
      <c r="H170" s="61">
        <v>6</v>
      </c>
      <c r="I170" s="184">
        <v>138</v>
      </c>
      <c r="J170" s="184" t="str">
        <f t="shared" si="56"/>
        <v>Beacon</v>
      </c>
      <c r="K170" s="61">
        <f t="shared" si="57"/>
        <v>262</v>
      </c>
      <c r="L170" s="61">
        <v>6</v>
      </c>
      <c r="M170" s="184"/>
      <c r="N170" s="184" t="str">
        <f t="shared" si="55"/>
        <v/>
      </c>
      <c r="O170" s="61" t="str">
        <f t="shared" si="60"/>
        <v/>
      </c>
      <c r="P170" s="61">
        <v>6</v>
      </c>
    </row>
    <row r="171" spans="1:16" x14ac:dyDescent="0.25">
      <c r="A171" s="184">
        <v>201</v>
      </c>
      <c r="B171" s="184" t="str">
        <f t="shared" si="52"/>
        <v>Purpur Block</v>
      </c>
      <c r="C171" s="61">
        <f t="shared" si="58"/>
        <v>278</v>
      </c>
      <c r="D171" s="61">
        <v>6</v>
      </c>
      <c r="E171" s="184">
        <v>431</v>
      </c>
      <c r="F171" s="184" t="str">
        <f t="shared" si="53"/>
        <v>Dark Oak Door</v>
      </c>
      <c r="G171" s="61">
        <f t="shared" si="59"/>
        <v>299</v>
      </c>
      <c r="H171" s="61">
        <v>6</v>
      </c>
      <c r="I171" s="228">
        <v>229</v>
      </c>
      <c r="J171" s="184" t="str">
        <f t="shared" si="56"/>
        <v>Purple Shulker</v>
      </c>
      <c r="K171" s="61">
        <f t="shared" si="57"/>
        <v>264</v>
      </c>
      <c r="L171" s="61">
        <v>6</v>
      </c>
      <c r="M171" s="184"/>
      <c r="N171" s="184" t="str">
        <f t="shared" si="55"/>
        <v/>
      </c>
      <c r="O171" s="61" t="str">
        <f t="shared" si="60"/>
        <v/>
      </c>
      <c r="P171" s="61">
        <v>6</v>
      </c>
    </row>
    <row r="172" spans="1:16" x14ac:dyDescent="0.25">
      <c r="A172" s="184">
        <v>198</v>
      </c>
      <c r="B172" s="184" t="str">
        <f t="shared" si="52"/>
        <v>End rod</v>
      </c>
      <c r="C172" s="61">
        <f t="shared" si="58"/>
        <v>282</v>
      </c>
      <c r="D172" s="61">
        <v>6</v>
      </c>
      <c r="E172" s="184"/>
      <c r="F172" s="184" t="str">
        <f t="shared" si="53"/>
        <v/>
      </c>
      <c r="G172" s="61" t="str">
        <f t="shared" si="59"/>
        <v/>
      </c>
      <c r="H172" s="61">
        <v>6</v>
      </c>
      <c r="I172" s="184" t="s">
        <v>790</v>
      </c>
      <c r="J172" s="184" t="str">
        <f t="shared" si="56"/>
        <v>Harming Splash Potion</v>
      </c>
      <c r="K172" s="61">
        <f t="shared" si="57"/>
        <v>266</v>
      </c>
      <c r="L172" s="61">
        <v>6</v>
      </c>
      <c r="M172" s="184"/>
      <c r="N172" s="184" t="str">
        <f t="shared" si="55"/>
        <v/>
      </c>
      <c r="O172" s="61" t="str">
        <f t="shared" si="60"/>
        <v/>
      </c>
      <c r="P172" s="61">
        <v>6</v>
      </c>
    </row>
    <row r="173" spans="1:16" x14ac:dyDescent="0.25">
      <c r="A173" s="184">
        <v>205</v>
      </c>
      <c r="B173" s="184" t="str">
        <f t="shared" si="52"/>
        <v>Purpur Slab</v>
      </c>
      <c r="C173" s="61">
        <f t="shared" si="58"/>
        <v>286</v>
      </c>
      <c r="D173" s="61">
        <v>6</v>
      </c>
      <c r="E173" s="184"/>
      <c r="F173" s="184" t="str">
        <f t="shared" si="53"/>
        <v/>
      </c>
      <c r="G173" s="61" t="str">
        <f t="shared" si="59"/>
        <v/>
      </c>
      <c r="H173" s="61">
        <v>6</v>
      </c>
      <c r="I173" s="184" t="s">
        <v>794</v>
      </c>
      <c r="J173" s="184" t="str">
        <f t="shared" si="56"/>
        <v>Invisibility Splash Potion (2:15)</v>
      </c>
      <c r="K173" s="61">
        <f t="shared" si="57"/>
        <v>268</v>
      </c>
      <c r="L173" s="61">
        <v>6</v>
      </c>
      <c r="M173" s="184"/>
      <c r="N173" s="184" t="str">
        <f t="shared" si="55"/>
        <v/>
      </c>
      <c r="O173" s="61" t="str">
        <f t="shared" si="60"/>
        <v/>
      </c>
      <c r="P173" s="61">
        <v>6</v>
      </c>
    </row>
    <row r="174" spans="1:16" x14ac:dyDescent="0.25">
      <c r="A174" s="184">
        <v>203</v>
      </c>
      <c r="B174" s="184" t="str">
        <f t="shared" si="52"/>
        <v>Purpur Stairs</v>
      </c>
      <c r="C174" s="61">
        <f t="shared" si="58"/>
        <v>290</v>
      </c>
      <c r="D174" s="61">
        <v>6</v>
      </c>
      <c r="E174" s="184"/>
      <c r="F174" s="184" t="str">
        <f t="shared" si="53"/>
        <v/>
      </c>
      <c r="G174" s="61" t="str">
        <f t="shared" si="59"/>
        <v/>
      </c>
      <c r="H174" s="61">
        <v>6</v>
      </c>
      <c r="I174" s="184" t="s">
        <v>788</v>
      </c>
      <c r="J174" s="184" t="str">
        <f t="shared" si="56"/>
        <v>Slowness Splash Potion (1:07)</v>
      </c>
      <c r="K174" s="61">
        <f t="shared" si="57"/>
        <v>270</v>
      </c>
      <c r="L174" s="61">
        <v>6</v>
      </c>
      <c r="M174" s="184"/>
      <c r="N174" s="184" t="str">
        <f t="shared" si="55"/>
        <v/>
      </c>
      <c r="O174" s="61" t="str">
        <f t="shared" si="60"/>
        <v/>
      </c>
      <c r="P174" s="61">
        <v>6</v>
      </c>
    </row>
    <row r="175" spans="1:16" x14ac:dyDescent="0.25">
      <c r="A175" s="184">
        <v>202</v>
      </c>
      <c r="B175" s="184" t="str">
        <f t="shared" si="52"/>
        <v>Purpur Pillar</v>
      </c>
      <c r="C175" s="61">
        <f t="shared" si="58"/>
        <v>294</v>
      </c>
      <c r="D175" s="61">
        <v>6</v>
      </c>
      <c r="E175" s="184"/>
      <c r="F175" s="184" t="str">
        <f t="shared" si="53"/>
        <v/>
      </c>
      <c r="G175" s="61" t="str">
        <f t="shared" si="59"/>
        <v/>
      </c>
      <c r="H175" s="61">
        <v>6</v>
      </c>
      <c r="I175" s="184" t="s">
        <v>750</v>
      </c>
      <c r="J175" s="184" t="str">
        <f t="shared" si="56"/>
        <v>Night Vision Potion (8:00)</v>
      </c>
      <c r="K175" s="61">
        <f t="shared" si="57"/>
        <v>272</v>
      </c>
      <c r="L175" s="61">
        <v>6</v>
      </c>
      <c r="M175" s="184"/>
      <c r="N175" s="184" t="str">
        <f t="shared" si="55"/>
        <v/>
      </c>
      <c r="O175" s="61" t="str">
        <f t="shared" si="60"/>
        <v/>
      </c>
      <c r="P175" s="61">
        <v>6</v>
      </c>
    </row>
    <row r="176" spans="1:16" x14ac:dyDescent="0.25">
      <c r="A176" s="184">
        <v>206</v>
      </c>
      <c r="B176" s="184" t="str">
        <f t="shared" si="52"/>
        <v>End Stone Bricks</v>
      </c>
      <c r="C176" s="61">
        <f t="shared" si="58"/>
        <v>298</v>
      </c>
      <c r="D176" s="61">
        <v>6</v>
      </c>
      <c r="E176" s="184"/>
      <c r="F176" s="184" t="str">
        <f t="shared" si="53"/>
        <v/>
      </c>
      <c r="G176" s="61" t="str">
        <f t="shared" si="59"/>
        <v/>
      </c>
      <c r="H176" s="61">
        <v>6</v>
      </c>
      <c r="I176" s="184" t="s">
        <v>782</v>
      </c>
      <c r="J176" s="184" t="str">
        <f t="shared" si="56"/>
        <v>Night Vision Splash Potion (2:15)</v>
      </c>
      <c r="K176" s="61">
        <f t="shared" si="57"/>
        <v>274</v>
      </c>
      <c r="L176" s="61">
        <v>6</v>
      </c>
      <c r="M176" s="184"/>
      <c r="N176" s="184" t="str">
        <f t="shared" si="55"/>
        <v/>
      </c>
      <c r="O176" s="61" t="str">
        <f t="shared" si="60"/>
        <v/>
      </c>
      <c r="P176" s="61">
        <v>6</v>
      </c>
    </row>
    <row r="177" spans="1:16" x14ac:dyDescent="0.25">
      <c r="A177" s="184"/>
      <c r="B177" s="184" t="str">
        <f t="shared" si="52"/>
        <v/>
      </c>
      <c r="C177" s="61" t="str">
        <f t="shared" si="58"/>
        <v/>
      </c>
      <c r="D177" s="61">
        <v>6</v>
      </c>
      <c r="E177" s="184"/>
      <c r="F177" s="184" t="str">
        <f t="shared" si="53"/>
        <v/>
      </c>
      <c r="G177" s="61" t="str">
        <f t="shared" si="59"/>
        <v/>
      </c>
      <c r="H177" s="61">
        <v>6</v>
      </c>
      <c r="I177" s="184" t="s">
        <v>812</v>
      </c>
      <c r="J177" s="184" t="str">
        <f t="shared" si="56"/>
        <v>Swiftness Splash Potion (6:00)</v>
      </c>
      <c r="K177" s="61">
        <f t="shared" si="57"/>
        <v>276</v>
      </c>
      <c r="L177" s="61">
        <v>6</v>
      </c>
      <c r="M177" s="184"/>
      <c r="N177" s="184" t="str">
        <f t="shared" si="55"/>
        <v/>
      </c>
      <c r="O177" s="61" t="str">
        <f t="shared" si="60"/>
        <v/>
      </c>
      <c r="P177" s="61">
        <v>6</v>
      </c>
    </row>
    <row r="178" spans="1:16" x14ac:dyDescent="0.25">
      <c r="A178" s="184"/>
      <c r="B178" s="184" t="str">
        <f t="shared" si="52"/>
        <v/>
      </c>
      <c r="C178" s="61" t="str">
        <f t="shared" si="58"/>
        <v/>
      </c>
      <c r="D178" s="61">
        <v>6</v>
      </c>
      <c r="E178" s="184"/>
      <c r="F178" s="184" t="str">
        <f t="shared" si="53"/>
        <v/>
      </c>
      <c r="G178" s="61" t="str">
        <f t="shared" si="59"/>
        <v/>
      </c>
      <c r="H178" s="61">
        <v>6</v>
      </c>
      <c r="I178" s="184" t="s">
        <v>824</v>
      </c>
      <c r="J178" s="184" t="str">
        <f t="shared" si="56"/>
        <v>Slowness Splash Potion (3:00)</v>
      </c>
      <c r="K178" s="61">
        <f t="shared" si="57"/>
        <v>278</v>
      </c>
      <c r="L178" s="61">
        <v>6</v>
      </c>
      <c r="M178" s="184"/>
      <c r="N178" s="184" t="str">
        <f t="shared" si="55"/>
        <v/>
      </c>
      <c r="O178" s="61" t="str">
        <f t="shared" si="60"/>
        <v/>
      </c>
      <c r="P178" s="61">
        <v>6</v>
      </c>
    </row>
    <row r="179" spans="1:16" x14ac:dyDescent="0.25">
      <c r="A179" s="184"/>
      <c r="B179" s="184" t="str">
        <f t="shared" si="52"/>
        <v/>
      </c>
      <c r="C179" s="61" t="str">
        <f t="shared" si="58"/>
        <v/>
      </c>
      <c r="D179" s="61">
        <v>6</v>
      </c>
      <c r="E179" s="184"/>
      <c r="F179" s="184" t="str">
        <f t="shared" si="53"/>
        <v/>
      </c>
      <c r="G179" s="61" t="str">
        <f t="shared" si="59"/>
        <v/>
      </c>
      <c r="H179" s="61">
        <v>6</v>
      </c>
      <c r="I179" s="184" t="s">
        <v>766</v>
      </c>
      <c r="J179" s="184" t="str">
        <f t="shared" si="56"/>
        <v>Swiftness Potion II (4:00)</v>
      </c>
      <c r="K179" s="61">
        <f t="shared" si="57"/>
        <v>280</v>
      </c>
      <c r="L179" s="61">
        <v>6</v>
      </c>
      <c r="M179" s="184"/>
      <c r="N179" s="184" t="str">
        <f t="shared" si="55"/>
        <v/>
      </c>
      <c r="O179" s="61" t="str">
        <f t="shared" si="60"/>
        <v/>
      </c>
      <c r="P179" s="61">
        <v>6</v>
      </c>
    </row>
    <row r="180" spans="1:16" x14ac:dyDescent="0.25">
      <c r="A180" s="184"/>
      <c r="B180" s="184" t="str">
        <f t="shared" si="52"/>
        <v/>
      </c>
      <c r="C180" s="61" t="str">
        <f t="shared" si="58"/>
        <v/>
      </c>
      <c r="D180" s="61">
        <v>6</v>
      </c>
      <c r="E180" s="184"/>
      <c r="F180" s="184" t="str">
        <f t="shared" si="53"/>
        <v/>
      </c>
      <c r="G180" s="61" t="str">
        <f t="shared" si="59"/>
        <v/>
      </c>
      <c r="H180" s="61">
        <v>6</v>
      </c>
      <c r="I180" s="184" t="s">
        <v>798</v>
      </c>
      <c r="J180" s="184" t="str">
        <f t="shared" si="56"/>
        <v>Swiftness Splash Potion II (1:07)</v>
      </c>
      <c r="K180" s="61">
        <f t="shared" si="57"/>
        <v>282</v>
      </c>
      <c r="L180" s="61">
        <v>6</v>
      </c>
      <c r="M180" s="184"/>
      <c r="N180" s="184" t="str">
        <f t="shared" si="55"/>
        <v/>
      </c>
      <c r="O180" s="61" t="str">
        <f t="shared" si="60"/>
        <v/>
      </c>
      <c r="P180" s="61">
        <v>6</v>
      </c>
    </row>
    <row r="181" spans="1:16" x14ac:dyDescent="0.25">
      <c r="A181" s="184"/>
      <c r="B181" s="184" t="str">
        <f t="shared" si="52"/>
        <v/>
      </c>
      <c r="C181" s="61" t="str">
        <f t="shared" si="58"/>
        <v/>
      </c>
      <c r="D181" s="61">
        <v>6</v>
      </c>
      <c r="E181" s="184"/>
      <c r="F181" s="184" t="str">
        <f t="shared" si="53"/>
        <v/>
      </c>
      <c r="G181" s="61" t="str">
        <f t="shared" si="59"/>
        <v/>
      </c>
      <c r="H181" s="61">
        <v>6</v>
      </c>
      <c r="I181" s="184" t="s">
        <v>738</v>
      </c>
      <c r="J181" s="184" t="str">
        <f t="shared" si="56"/>
        <v>Leaping Potion II (1:30)</v>
      </c>
      <c r="K181" s="61">
        <f t="shared" si="57"/>
        <v>284</v>
      </c>
      <c r="L181" s="61">
        <v>6</v>
      </c>
      <c r="M181" s="184"/>
      <c r="N181" s="184" t="str">
        <f t="shared" si="55"/>
        <v/>
      </c>
      <c r="O181" s="61" t="str">
        <f t="shared" si="60"/>
        <v/>
      </c>
      <c r="P181" s="61">
        <v>6</v>
      </c>
    </row>
    <row r="182" spans="1:16" x14ac:dyDescent="0.25">
      <c r="A182" s="184"/>
      <c r="B182" s="184" t="str">
        <f t="shared" si="52"/>
        <v/>
      </c>
      <c r="C182" s="61" t="str">
        <f t="shared" si="58"/>
        <v/>
      </c>
      <c r="D182" s="61">
        <v>6</v>
      </c>
      <c r="E182" s="184"/>
      <c r="F182" s="184" t="str">
        <f t="shared" si="53"/>
        <v/>
      </c>
      <c r="G182" s="61" t="str">
        <f t="shared" si="59"/>
        <v/>
      </c>
      <c r="H182" s="61">
        <v>6</v>
      </c>
      <c r="I182" s="184" t="s">
        <v>830</v>
      </c>
      <c r="J182" s="184" t="str">
        <f t="shared" si="56"/>
        <v>Invisibility Splash Potion (6:00)</v>
      </c>
      <c r="K182" s="61">
        <f t="shared" si="57"/>
        <v>286</v>
      </c>
      <c r="L182" s="61">
        <v>6</v>
      </c>
      <c r="M182" s="184"/>
      <c r="N182" s="184" t="str">
        <f t="shared" si="55"/>
        <v/>
      </c>
      <c r="O182" s="61" t="str">
        <f t="shared" si="60"/>
        <v/>
      </c>
      <c r="P182" s="61">
        <v>6</v>
      </c>
    </row>
    <row r="183" spans="1:16" x14ac:dyDescent="0.25">
      <c r="A183" s="184"/>
      <c r="B183" s="184" t="str">
        <f t="shared" si="52"/>
        <v/>
      </c>
      <c r="C183" s="61" t="str">
        <f t="shared" si="58"/>
        <v/>
      </c>
      <c r="D183" s="61">
        <v>6</v>
      </c>
      <c r="E183" s="184"/>
      <c r="F183" s="184" t="str">
        <f t="shared" si="53"/>
        <v/>
      </c>
      <c r="G183" s="61" t="str">
        <f t="shared" si="59"/>
        <v/>
      </c>
      <c r="H183" s="61">
        <v>6</v>
      </c>
      <c r="I183" s="184" t="s">
        <v>808</v>
      </c>
      <c r="J183" s="184" t="str">
        <f t="shared" si="56"/>
        <v>Harming Splash Potion II</v>
      </c>
      <c r="K183" s="61">
        <f t="shared" si="57"/>
        <v>288</v>
      </c>
      <c r="L183" s="61">
        <v>6</v>
      </c>
      <c r="M183" s="184"/>
      <c r="N183" s="184" t="str">
        <f t="shared" si="55"/>
        <v/>
      </c>
      <c r="O183" s="61" t="str">
        <f t="shared" si="60"/>
        <v/>
      </c>
      <c r="P183" s="61">
        <v>6</v>
      </c>
    </row>
    <row r="184" spans="1:16" x14ac:dyDescent="0.25">
      <c r="A184" s="184"/>
      <c r="B184" s="184" t="str">
        <f t="shared" si="52"/>
        <v/>
      </c>
      <c r="C184" s="61" t="str">
        <f t="shared" si="58"/>
        <v/>
      </c>
      <c r="D184" s="61">
        <v>6</v>
      </c>
      <c r="E184" s="184"/>
      <c r="F184" s="184" t="str">
        <f t="shared" si="53"/>
        <v/>
      </c>
      <c r="G184" s="61" t="str">
        <f t="shared" si="59"/>
        <v/>
      </c>
      <c r="H184" s="61">
        <v>6</v>
      </c>
      <c r="I184" s="184" t="s">
        <v>818</v>
      </c>
      <c r="J184" s="184" t="str">
        <f t="shared" si="56"/>
        <v>Night Vision Splash Potion (6:00)</v>
      </c>
      <c r="K184" s="61">
        <f t="shared" si="57"/>
        <v>290</v>
      </c>
      <c r="L184" s="61">
        <v>6</v>
      </c>
      <c r="M184" s="184"/>
      <c r="N184" s="184" t="str">
        <f t="shared" si="55"/>
        <v/>
      </c>
      <c r="O184" s="61" t="str">
        <f t="shared" si="60"/>
        <v/>
      </c>
      <c r="P184" s="61">
        <v>6</v>
      </c>
    </row>
    <row r="185" spans="1:16" x14ac:dyDescent="0.25">
      <c r="A185" s="184"/>
      <c r="B185" s="184" t="str">
        <f t="shared" si="52"/>
        <v/>
      </c>
      <c r="C185" s="61" t="str">
        <f t="shared" si="58"/>
        <v/>
      </c>
      <c r="D185" s="61">
        <v>6</v>
      </c>
      <c r="E185" s="184"/>
      <c r="F185" s="184" t="str">
        <f t="shared" si="53"/>
        <v/>
      </c>
      <c r="G185" s="61" t="str">
        <f t="shared" si="59"/>
        <v/>
      </c>
      <c r="H185" s="61">
        <v>6</v>
      </c>
      <c r="I185" s="184" t="s">
        <v>834</v>
      </c>
      <c r="J185" s="184" t="str">
        <f t="shared" si="56"/>
        <v>Swiftness Splash Potion II (3:00)</v>
      </c>
      <c r="K185" s="61">
        <f t="shared" si="57"/>
        <v>292</v>
      </c>
      <c r="L185" s="61">
        <v>6</v>
      </c>
      <c r="M185" s="184"/>
      <c r="N185" s="184" t="str">
        <f t="shared" si="55"/>
        <v/>
      </c>
      <c r="O185" s="61" t="str">
        <f t="shared" si="60"/>
        <v/>
      </c>
      <c r="P185" s="61">
        <v>6</v>
      </c>
    </row>
    <row r="186" spans="1:16" x14ac:dyDescent="0.25">
      <c r="A186" s="184"/>
      <c r="B186" s="184" t="str">
        <f t="shared" si="52"/>
        <v/>
      </c>
      <c r="C186" s="61" t="str">
        <f t="shared" si="58"/>
        <v/>
      </c>
      <c r="D186" s="61">
        <v>6</v>
      </c>
      <c r="E186" s="184"/>
      <c r="F186" s="184" t="str">
        <f t="shared" si="53"/>
        <v/>
      </c>
      <c r="G186" s="61" t="str">
        <f t="shared" si="59"/>
        <v/>
      </c>
      <c r="H186" s="61">
        <v>6</v>
      </c>
      <c r="I186" s="184" t="s">
        <v>806</v>
      </c>
      <c r="J186" s="184" t="str">
        <f t="shared" si="56"/>
        <v>Leaping Splash Potion (1:07)</v>
      </c>
      <c r="K186" s="61">
        <f t="shared" si="57"/>
        <v>294</v>
      </c>
      <c r="L186" s="61">
        <v>6</v>
      </c>
      <c r="M186" s="184"/>
      <c r="N186" s="184" t="str">
        <f t="shared" si="55"/>
        <v/>
      </c>
      <c r="O186" s="61" t="str">
        <f t="shared" si="60"/>
        <v/>
      </c>
      <c r="P186" s="61">
        <v>6</v>
      </c>
    </row>
    <row r="187" spans="1:16" x14ac:dyDescent="0.25">
      <c r="A187" s="184"/>
      <c r="B187" s="184" t="str">
        <f t="shared" si="52"/>
        <v/>
      </c>
      <c r="C187" s="61" t="str">
        <f t="shared" si="58"/>
        <v/>
      </c>
      <c r="D187" s="61">
        <v>6</v>
      </c>
      <c r="E187" s="184"/>
      <c r="F187" s="184" t="str">
        <f t="shared" si="53"/>
        <v/>
      </c>
      <c r="G187" s="61" t="str">
        <f t="shared" si="59"/>
        <v/>
      </c>
      <c r="H187" s="61">
        <v>6</v>
      </c>
      <c r="I187" s="184"/>
      <c r="J187" s="184" t="str">
        <f t="shared" si="56"/>
        <v/>
      </c>
      <c r="K187" s="61" t="str">
        <f t="shared" si="57"/>
        <v/>
      </c>
      <c r="L187" s="61">
        <v>6</v>
      </c>
      <c r="M187" s="184"/>
      <c r="N187" s="184" t="str">
        <f t="shared" si="55"/>
        <v/>
      </c>
      <c r="O187" s="61" t="str">
        <f t="shared" si="60"/>
        <v/>
      </c>
      <c r="P187" s="61">
        <v>6</v>
      </c>
    </row>
  </sheetData>
  <mergeCells count="140">
    <mergeCell ref="A4:B4"/>
    <mergeCell ref="C32:D32"/>
    <mergeCell ref="C33:D33"/>
    <mergeCell ref="C34:D34"/>
    <mergeCell ref="A3:B3"/>
    <mergeCell ref="A5:B5"/>
    <mergeCell ref="E1:H1"/>
    <mergeCell ref="E2:H2"/>
    <mergeCell ref="E3:F3"/>
    <mergeCell ref="G3:H3"/>
    <mergeCell ref="E4:F4"/>
    <mergeCell ref="G4:H4"/>
    <mergeCell ref="E5:F5"/>
    <mergeCell ref="A1:D1"/>
    <mergeCell ref="C3:D3"/>
    <mergeCell ref="C4:D4"/>
    <mergeCell ref="A6:B6"/>
    <mergeCell ref="B31:D31"/>
    <mergeCell ref="A2:D2"/>
    <mergeCell ref="G5:H5"/>
    <mergeCell ref="E6:F6"/>
    <mergeCell ref="G6:H6"/>
    <mergeCell ref="G32:H32"/>
    <mergeCell ref="C5:D5"/>
    <mergeCell ref="C6:D6"/>
    <mergeCell ref="I6:J6"/>
    <mergeCell ref="B130:D130"/>
    <mergeCell ref="F130:H130"/>
    <mergeCell ref="B159:D159"/>
    <mergeCell ref="F159:H159"/>
    <mergeCell ref="F31:H31"/>
    <mergeCell ref="B60:D60"/>
    <mergeCell ref="F60:H60"/>
    <mergeCell ref="C131:D131"/>
    <mergeCell ref="C132:D132"/>
    <mergeCell ref="C90:D90"/>
    <mergeCell ref="C91:D91"/>
    <mergeCell ref="C92:D92"/>
    <mergeCell ref="C93:D93"/>
    <mergeCell ref="C35:D35"/>
    <mergeCell ref="C61:D61"/>
    <mergeCell ref="C62:D62"/>
    <mergeCell ref="C63:D63"/>
    <mergeCell ref="C64:D64"/>
    <mergeCell ref="G33:H33"/>
    <mergeCell ref="G34:H34"/>
    <mergeCell ref="G35:H35"/>
    <mergeCell ref="G90:H90"/>
    <mergeCell ref="K163:L163"/>
    <mergeCell ref="K133:L133"/>
    <mergeCell ref="C161:D161"/>
    <mergeCell ref="C162:D162"/>
    <mergeCell ref="C163:D163"/>
    <mergeCell ref="C133:D133"/>
    <mergeCell ref="C134:D134"/>
    <mergeCell ref="C160:D160"/>
    <mergeCell ref="G163:H163"/>
    <mergeCell ref="G160:H160"/>
    <mergeCell ref="G161:H161"/>
    <mergeCell ref="G162:H162"/>
    <mergeCell ref="K161:L161"/>
    <mergeCell ref="K162:L162"/>
    <mergeCell ref="J159:L159"/>
    <mergeCell ref="K134:L134"/>
    <mergeCell ref="K160:L160"/>
    <mergeCell ref="N60:P60"/>
    <mergeCell ref="G91:H91"/>
    <mergeCell ref="G61:H61"/>
    <mergeCell ref="G132:H132"/>
    <mergeCell ref="G133:H133"/>
    <mergeCell ref="G134:H134"/>
    <mergeCell ref="G92:H92"/>
    <mergeCell ref="G93:H93"/>
    <mergeCell ref="G131:H131"/>
    <mergeCell ref="G64:H64"/>
    <mergeCell ref="G62:H62"/>
    <mergeCell ref="G63:H63"/>
    <mergeCell ref="K93:L93"/>
    <mergeCell ref="K131:L131"/>
    <mergeCell ref="K132:L132"/>
    <mergeCell ref="K90:L90"/>
    <mergeCell ref="K91:L91"/>
    <mergeCell ref="K92:L92"/>
    <mergeCell ref="M1:P1"/>
    <mergeCell ref="M2:P2"/>
    <mergeCell ref="M3:N3"/>
    <mergeCell ref="O3:P3"/>
    <mergeCell ref="M4:N4"/>
    <mergeCell ref="O4:P4"/>
    <mergeCell ref="O33:P33"/>
    <mergeCell ref="O34:P34"/>
    <mergeCell ref="O35:P35"/>
    <mergeCell ref="M5:N5"/>
    <mergeCell ref="O5:P5"/>
    <mergeCell ref="M6:N6"/>
    <mergeCell ref="O6:P6"/>
    <mergeCell ref="O32:P32"/>
    <mergeCell ref="N31:P31"/>
    <mergeCell ref="I1:L1"/>
    <mergeCell ref="I2:L2"/>
    <mergeCell ref="I3:J3"/>
    <mergeCell ref="K3:L3"/>
    <mergeCell ref="I4:J4"/>
    <mergeCell ref="K4:L4"/>
    <mergeCell ref="I5:J5"/>
    <mergeCell ref="K5:L5"/>
    <mergeCell ref="J130:L130"/>
    <mergeCell ref="J31:L31"/>
    <mergeCell ref="J60:L60"/>
    <mergeCell ref="K62:L62"/>
    <mergeCell ref="K63:L63"/>
    <mergeCell ref="K34:L34"/>
    <mergeCell ref="K35:L35"/>
    <mergeCell ref="K61:L61"/>
    <mergeCell ref="K6:L6"/>
    <mergeCell ref="K32:L32"/>
    <mergeCell ref="K33:L33"/>
    <mergeCell ref="O163:P163"/>
    <mergeCell ref="O160:P160"/>
    <mergeCell ref="O161:P161"/>
    <mergeCell ref="O162:P162"/>
    <mergeCell ref="O132:P132"/>
    <mergeCell ref="O133:P133"/>
    <mergeCell ref="O134:P134"/>
    <mergeCell ref="O92:P92"/>
    <mergeCell ref="O93:P93"/>
    <mergeCell ref="O131:P131"/>
    <mergeCell ref="N130:P130"/>
    <mergeCell ref="N159:P159"/>
    <mergeCell ref="B89:D89"/>
    <mergeCell ref="F89:H89"/>
    <mergeCell ref="J89:L89"/>
    <mergeCell ref="N89:P89"/>
    <mergeCell ref="O64:P64"/>
    <mergeCell ref="O90:P90"/>
    <mergeCell ref="O91:P91"/>
    <mergeCell ref="O61:P61"/>
    <mergeCell ref="O62:P62"/>
    <mergeCell ref="K64:L64"/>
    <mergeCell ref="O63:P63"/>
  </mergeCells>
  <dataValidations count="1">
    <dataValidation type="list" allowBlank="1" showInputMessage="1" showErrorMessage="1" sqref="M95:M129 A165:A187 A37:A59 I8:I30 A66:A88 A95:A129 E8:E30 A8:A30 E136:E158 E37:E59 I165:I187 E95:E129 M165:M187 I136:I158 I95:I129 E165:E187 I37:I59 E66:E88 M8:M30 I66:I88 M136:M158 M37:M59 M66:M88 A136:A158">
      <formula1>IDS</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31"/>
  <sheetViews>
    <sheetView topLeftCell="A181" workbookViewId="0">
      <selection activeCell="D196" sqref="D196"/>
    </sheetView>
  </sheetViews>
  <sheetFormatPr baseColWidth="10" defaultRowHeight="15" x14ac:dyDescent="0.25"/>
  <cols>
    <col min="1" max="16" width="14.7109375" customWidth="1"/>
    <col min="20" max="20" width="15.85546875" customWidth="1"/>
    <col min="21" max="21" width="14.28515625" customWidth="1"/>
    <col min="22" max="24" width="15.28515625" customWidth="1"/>
  </cols>
  <sheetData>
    <row r="1" spans="1:32" ht="15" customHeight="1" x14ac:dyDescent="0.25">
      <c r="A1" s="347" t="s">
        <v>151</v>
      </c>
      <c r="B1" s="347"/>
      <c r="C1" s="347"/>
      <c r="D1" s="347"/>
      <c r="E1" s="347" t="s">
        <v>160</v>
      </c>
      <c r="F1" s="347"/>
      <c r="G1" s="347"/>
      <c r="H1" s="347"/>
      <c r="I1" s="347" t="s">
        <v>152</v>
      </c>
      <c r="J1" s="347"/>
      <c r="K1" s="347"/>
      <c r="L1" s="347"/>
      <c r="M1" s="347" t="s">
        <v>150</v>
      </c>
      <c r="N1" s="347"/>
      <c r="O1" s="347"/>
      <c r="P1" s="347"/>
      <c r="R1" s="275"/>
      <c r="S1" s="275"/>
      <c r="T1" s="29" t="s">
        <v>117</v>
      </c>
      <c r="U1" s="287" t="s">
        <v>1173</v>
      </c>
      <c r="V1" s="287" t="s">
        <v>1174</v>
      </c>
      <c r="W1" s="287" t="s">
        <v>149</v>
      </c>
      <c r="X1" s="287" t="s">
        <v>202</v>
      </c>
      <c r="Y1" s="287" t="s">
        <v>1190</v>
      </c>
      <c r="Z1" s="287" t="s">
        <v>149</v>
      </c>
      <c r="AA1" s="287" t="s">
        <v>202</v>
      </c>
      <c r="AC1" s="30" t="s">
        <v>118</v>
      </c>
      <c r="AD1" s="29" t="s">
        <v>83</v>
      </c>
      <c r="AE1" s="30" t="s">
        <v>84</v>
      </c>
      <c r="AF1" s="29" t="s">
        <v>85</v>
      </c>
    </row>
    <row r="2" spans="1:32" ht="15" customHeight="1" x14ac:dyDescent="0.25">
      <c r="A2" s="348" t="s">
        <v>1111</v>
      </c>
      <c r="B2" s="348"/>
      <c r="C2" s="348" t="s">
        <v>1112</v>
      </c>
      <c r="D2" s="348"/>
      <c r="E2" s="348" t="s">
        <v>1122</v>
      </c>
      <c r="F2" s="348"/>
      <c r="G2" s="348" t="s">
        <v>1126</v>
      </c>
      <c r="H2" s="348"/>
      <c r="I2" s="348" t="s">
        <v>1129</v>
      </c>
      <c r="J2" s="348"/>
      <c r="K2" s="348" t="s">
        <v>1130</v>
      </c>
      <c r="L2" s="348"/>
      <c r="M2" s="348" t="s">
        <v>1132</v>
      </c>
      <c r="N2" s="348"/>
      <c r="O2" s="348" t="s">
        <v>1133</v>
      </c>
      <c r="P2" s="348"/>
      <c r="R2" s="323" t="s">
        <v>108</v>
      </c>
      <c r="S2" s="31" t="s">
        <v>6</v>
      </c>
      <c r="T2" s="34">
        <f>'ECONOMIA &amp; PROFESIONES'!$N$5</f>
        <v>900</v>
      </c>
      <c r="U2" s="53">
        <f>(X2*W2)+(AA2*Z2)</f>
        <v>0</v>
      </c>
      <c r="V2" s="283" t="s">
        <v>926</v>
      </c>
      <c r="W2" s="288">
        <v>0</v>
      </c>
      <c r="X2" s="280">
        <f t="shared" ref="X2:X26" si="0">VLOOKUP(V2,craftedesp,3,FALSE)</f>
        <v>0</v>
      </c>
      <c r="Y2" s="283" t="s">
        <v>926</v>
      </c>
      <c r="Z2" s="288">
        <v>0</v>
      </c>
      <c r="AA2" s="280">
        <f t="shared" ref="AA2:AA26" si="1">VLOOKUP(Y2,craftedesp,3,FALSE)</f>
        <v>0</v>
      </c>
      <c r="AC2" s="35">
        <f>'ECONOMIA &amp; PROFESIONES'!$O$5</f>
        <v>1300</v>
      </c>
      <c r="AD2" s="34">
        <f>'ECONOMIA &amp; PROFESIONES'!$P$5</f>
        <v>2100</v>
      </c>
      <c r="AE2" s="35">
        <f>'ECONOMIA &amp; PROFESIONES'!$Q$5</f>
        <v>3700</v>
      </c>
      <c r="AF2" s="34">
        <f>'ECONOMIA &amp; PROFESIONES'!$R$5</f>
        <v>6900</v>
      </c>
    </row>
    <row r="3" spans="1:32" ht="15" customHeight="1" x14ac:dyDescent="0.25">
      <c r="A3" s="346" t="s">
        <v>1113</v>
      </c>
      <c r="B3" s="346"/>
      <c r="C3" s="346" t="s">
        <v>1118</v>
      </c>
      <c r="D3" s="346"/>
      <c r="E3" s="346" t="s">
        <v>1123</v>
      </c>
      <c r="F3" s="346"/>
      <c r="G3" s="346" t="s">
        <v>1127</v>
      </c>
      <c r="H3" s="346"/>
      <c r="I3" s="346" t="s">
        <v>1131</v>
      </c>
      <c r="J3" s="346"/>
      <c r="K3" s="346" t="s">
        <v>38</v>
      </c>
      <c r="L3" s="346"/>
      <c r="M3" s="346" t="s">
        <v>1134</v>
      </c>
      <c r="N3" s="346"/>
      <c r="O3" s="346" t="s">
        <v>1138</v>
      </c>
      <c r="P3" s="346"/>
      <c r="R3" s="324"/>
      <c r="S3" s="32" t="s">
        <v>113</v>
      </c>
      <c r="T3" s="34">
        <f>'ECONOMIA &amp; PROFESIONES'!$N$6</f>
        <v>1500</v>
      </c>
      <c r="U3" s="53">
        <f>(X3*W3)+(AA3*Z3)</f>
        <v>1403.5</v>
      </c>
      <c r="V3" s="283" t="s">
        <v>1189</v>
      </c>
      <c r="W3" s="288">
        <v>1</v>
      </c>
      <c r="X3" s="280">
        <f t="shared" si="0"/>
        <v>385.5</v>
      </c>
      <c r="Y3" s="283" t="s">
        <v>1177</v>
      </c>
      <c r="Z3" s="288">
        <v>2</v>
      </c>
      <c r="AA3" s="280">
        <f t="shared" si="1"/>
        <v>509</v>
      </c>
      <c r="AC3" s="35">
        <f>'ECONOMIA &amp; PROFESIONES'!$O$6</f>
        <v>2500</v>
      </c>
      <c r="AD3" s="34">
        <f>'ECONOMIA &amp; PROFESIONES'!$P$6</f>
        <v>4500</v>
      </c>
      <c r="AE3" s="35">
        <f>'ECONOMIA &amp; PROFESIONES'!$Q$6</f>
        <v>8500</v>
      </c>
      <c r="AF3" s="34">
        <f>'ECONOMIA &amp; PROFESIONES'!$R$6</f>
        <v>16500</v>
      </c>
    </row>
    <row r="4" spans="1:32" ht="15" customHeight="1" x14ac:dyDescent="0.25">
      <c r="A4" s="346" t="s">
        <v>1114</v>
      </c>
      <c r="B4" s="346"/>
      <c r="C4" s="346" t="s">
        <v>1117</v>
      </c>
      <c r="D4" s="346"/>
      <c r="E4" s="346" t="s">
        <v>1124</v>
      </c>
      <c r="F4" s="346"/>
      <c r="G4" s="346" t="s">
        <v>1128</v>
      </c>
      <c r="H4" s="346"/>
      <c r="I4" s="346"/>
      <c r="J4" s="346"/>
      <c r="K4" s="346"/>
      <c r="L4" s="346"/>
      <c r="M4" s="346" t="s">
        <v>7</v>
      </c>
      <c r="N4" s="346"/>
      <c r="O4" s="346" t="s">
        <v>1155</v>
      </c>
      <c r="P4" s="346"/>
      <c r="R4" s="324"/>
      <c r="S4" s="31" t="s">
        <v>114</v>
      </c>
      <c r="T4" s="34">
        <f>'ECONOMIA &amp; PROFESIONES'!$N$7</f>
        <v>2100</v>
      </c>
      <c r="U4" s="53">
        <f t="shared" ref="U4:U26" si="2">(X4*W4)+(AA4*Z4)</f>
        <v>2051</v>
      </c>
      <c r="V4" s="283" t="s">
        <v>1189</v>
      </c>
      <c r="W4" s="288">
        <v>4</v>
      </c>
      <c r="X4" s="280">
        <f t="shared" si="0"/>
        <v>385.5</v>
      </c>
      <c r="Y4" s="283" t="s">
        <v>1177</v>
      </c>
      <c r="Z4" s="288">
        <v>1</v>
      </c>
      <c r="AA4" s="280">
        <f t="shared" si="1"/>
        <v>509</v>
      </c>
      <c r="AC4" s="35">
        <f>'ECONOMIA &amp; PROFESIONES'!$O$7</f>
        <v>3700</v>
      </c>
      <c r="AD4" s="34">
        <f>'ECONOMIA &amp; PROFESIONES'!$P$7</f>
        <v>6900</v>
      </c>
      <c r="AE4" s="35">
        <f>'ECONOMIA &amp; PROFESIONES'!$Q$7</f>
        <v>13300</v>
      </c>
      <c r="AF4" s="34">
        <f>'ECONOMIA &amp; PROFESIONES'!$R$7</f>
        <v>26100</v>
      </c>
    </row>
    <row r="5" spans="1:32" ht="15" customHeight="1" x14ac:dyDescent="0.25">
      <c r="A5" s="346" t="s">
        <v>1115</v>
      </c>
      <c r="B5" s="346"/>
      <c r="C5" s="346" t="s">
        <v>1119</v>
      </c>
      <c r="D5" s="346"/>
      <c r="E5" s="346" t="s">
        <v>1125</v>
      </c>
      <c r="F5" s="346"/>
      <c r="G5" s="349"/>
      <c r="H5" s="349"/>
      <c r="I5" s="346"/>
      <c r="J5" s="346"/>
      <c r="K5" s="349"/>
      <c r="L5" s="349"/>
      <c r="M5" s="346" t="s">
        <v>1135</v>
      </c>
      <c r="N5" s="346"/>
      <c r="O5" s="350" t="s">
        <v>1140</v>
      </c>
      <c r="P5" s="350"/>
      <c r="R5" s="324"/>
      <c r="S5" s="32" t="s">
        <v>115</v>
      </c>
      <c r="T5" s="34">
        <f>'ECONOMIA &amp; PROFESIONES'!$N$8</f>
        <v>1900</v>
      </c>
      <c r="U5" s="53">
        <f t="shared" si="2"/>
        <v>2174.5</v>
      </c>
      <c r="V5" s="283" t="s">
        <v>1189</v>
      </c>
      <c r="W5" s="288">
        <v>3</v>
      </c>
      <c r="X5" s="280">
        <f t="shared" si="0"/>
        <v>385.5</v>
      </c>
      <c r="Y5" s="283" t="s">
        <v>1177</v>
      </c>
      <c r="Z5" s="288">
        <v>2</v>
      </c>
      <c r="AA5" s="280">
        <f t="shared" si="1"/>
        <v>509</v>
      </c>
      <c r="AC5" s="35">
        <f>'ECONOMIA &amp; PROFESIONES'!$O$8</f>
        <v>3300</v>
      </c>
      <c r="AD5" s="34">
        <f>'ECONOMIA &amp; PROFESIONES'!$P$8</f>
        <v>6100</v>
      </c>
      <c r="AE5" s="35">
        <f>'ECONOMIA &amp; PROFESIONES'!$Q$8</f>
        <v>11700</v>
      </c>
      <c r="AF5" s="34">
        <f>'ECONOMIA &amp; PROFESIONES'!$R$8</f>
        <v>22900</v>
      </c>
    </row>
    <row r="6" spans="1:32" ht="15" customHeight="1" x14ac:dyDescent="0.25">
      <c r="A6" s="346" t="s">
        <v>1145</v>
      </c>
      <c r="B6" s="346"/>
      <c r="C6" s="346" t="s">
        <v>1120</v>
      </c>
      <c r="D6" s="346"/>
      <c r="E6" s="346"/>
      <c r="F6" s="346"/>
      <c r="G6" s="346"/>
      <c r="H6" s="346"/>
      <c r="I6" s="346"/>
      <c r="J6" s="346"/>
      <c r="K6" s="346"/>
      <c r="L6" s="346"/>
      <c r="M6" s="346" t="s">
        <v>1136</v>
      </c>
      <c r="N6" s="346"/>
      <c r="O6" s="346" t="s">
        <v>1156</v>
      </c>
      <c r="P6" s="346"/>
      <c r="R6" s="325"/>
      <c r="S6" s="31" t="s">
        <v>116</v>
      </c>
      <c r="T6" s="34">
        <f>'ECONOMIA &amp; PROFESIONES'!$N$9</f>
        <v>1300</v>
      </c>
      <c r="U6" s="53">
        <f t="shared" si="2"/>
        <v>1280</v>
      </c>
      <c r="V6" s="283" t="s">
        <v>1189</v>
      </c>
      <c r="W6" s="288">
        <v>2</v>
      </c>
      <c r="X6" s="280">
        <f t="shared" si="0"/>
        <v>385.5</v>
      </c>
      <c r="Y6" s="283" t="s">
        <v>1177</v>
      </c>
      <c r="Z6" s="288">
        <v>1</v>
      </c>
      <c r="AA6" s="280">
        <f t="shared" si="1"/>
        <v>509</v>
      </c>
      <c r="AC6" s="35">
        <f>'ECONOMIA &amp; PROFESIONES'!$O$9</f>
        <v>2100</v>
      </c>
      <c r="AD6" s="34">
        <f>'ECONOMIA &amp; PROFESIONES'!$P$9</f>
        <v>3700</v>
      </c>
      <c r="AE6" s="35">
        <f>'ECONOMIA &amp; PROFESIONES'!$Q$9</f>
        <v>6900</v>
      </c>
      <c r="AF6" s="34">
        <f>'ECONOMIA &amp; PROFESIONES'!$R$9</f>
        <v>13300</v>
      </c>
    </row>
    <row r="7" spans="1:32" ht="15" customHeight="1" x14ac:dyDescent="0.25">
      <c r="A7" s="346" t="s">
        <v>1116</v>
      </c>
      <c r="B7" s="346"/>
      <c r="C7" s="346" t="s">
        <v>1121</v>
      </c>
      <c r="D7" s="346"/>
      <c r="E7" s="346"/>
      <c r="F7" s="346"/>
      <c r="G7" s="346"/>
      <c r="H7" s="346"/>
      <c r="I7" s="346"/>
      <c r="J7" s="346"/>
      <c r="K7" s="346"/>
      <c r="L7" s="346"/>
      <c r="M7" s="346" t="s">
        <v>1137</v>
      </c>
      <c r="N7" s="346"/>
      <c r="O7" s="346" t="s">
        <v>1139</v>
      </c>
      <c r="P7" s="346"/>
      <c r="R7" s="326" t="s">
        <v>109</v>
      </c>
      <c r="S7" s="32" t="s">
        <v>6</v>
      </c>
      <c r="T7" s="34">
        <f>'ECONOMIA &amp; PROFESIONES'!$N$10</f>
        <v>2450</v>
      </c>
      <c r="U7" s="53">
        <f t="shared" si="2"/>
        <v>0</v>
      </c>
      <c r="V7" s="283" t="s">
        <v>926</v>
      </c>
      <c r="W7" s="288">
        <v>0</v>
      </c>
      <c r="X7" s="280">
        <f t="shared" si="0"/>
        <v>0</v>
      </c>
      <c r="Y7" s="283" t="s">
        <v>926</v>
      </c>
      <c r="Z7" s="288">
        <v>0</v>
      </c>
      <c r="AA7" s="280">
        <f t="shared" si="1"/>
        <v>0</v>
      </c>
      <c r="AC7" s="35">
        <f>'ECONOMIA &amp; PROFESIONES'!$O$10</f>
        <v>2850</v>
      </c>
      <c r="AD7" s="34">
        <f>'ECONOMIA &amp; PROFESIONES'!$P$10</f>
        <v>3650</v>
      </c>
      <c r="AE7" s="35">
        <f>'ECONOMIA &amp; PROFESIONES'!$Q$10</f>
        <v>5250</v>
      </c>
      <c r="AF7" s="34">
        <f>'ECONOMIA &amp; PROFESIONES'!$R$10</f>
        <v>8450</v>
      </c>
    </row>
    <row r="8" spans="1:32" ht="15" customHeight="1" x14ac:dyDescent="0.25">
      <c r="O8" s="275"/>
      <c r="P8" s="275"/>
      <c r="R8" s="313"/>
      <c r="S8" s="31" t="s">
        <v>113</v>
      </c>
      <c r="T8" s="34">
        <f>'ECONOMIA &amp; PROFESIONES'!$N$11</f>
        <v>3125</v>
      </c>
      <c r="U8" s="53">
        <f t="shared" si="2"/>
        <v>2725</v>
      </c>
      <c r="V8" s="283" t="s">
        <v>1189</v>
      </c>
      <c r="W8" s="288">
        <v>4</v>
      </c>
      <c r="X8" s="280">
        <f t="shared" si="0"/>
        <v>385.5</v>
      </c>
      <c r="Y8" s="283" t="s">
        <v>1175</v>
      </c>
      <c r="Z8" s="288">
        <v>2</v>
      </c>
      <c r="AA8" s="280">
        <f t="shared" si="1"/>
        <v>591.5</v>
      </c>
      <c r="AC8" s="35">
        <f>'ECONOMIA &amp; PROFESIONES'!$O$11</f>
        <v>4125</v>
      </c>
      <c r="AD8" s="34">
        <f>'ECONOMIA &amp; PROFESIONES'!$P$11</f>
        <v>6125</v>
      </c>
      <c r="AE8" s="35">
        <f>'ECONOMIA &amp; PROFESIONES'!$Q$11</f>
        <v>10125</v>
      </c>
      <c r="AF8" s="34">
        <f>'ECONOMIA &amp; PROFESIONES'!$R$11</f>
        <v>18125</v>
      </c>
    </row>
    <row r="9" spans="1:32" x14ac:dyDescent="0.25">
      <c r="R9" s="313"/>
      <c r="S9" s="32" t="s">
        <v>114</v>
      </c>
      <c r="T9" s="34">
        <f>'ECONOMIA &amp; PROFESIONES'!$N$12</f>
        <v>3800</v>
      </c>
      <c r="U9" s="53">
        <f t="shared" si="2"/>
        <v>3702</v>
      </c>
      <c r="V9" s="283" t="s">
        <v>1189</v>
      </c>
      <c r="W9" s="288">
        <v>5</v>
      </c>
      <c r="X9" s="280">
        <f t="shared" si="0"/>
        <v>385.5</v>
      </c>
      <c r="Y9" s="283" t="s">
        <v>1175</v>
      </c>
      <c r="Z9" s="288">
        <v>3</v>
      </c>
      <c r="AA9" s="280">
        <f t="shared" si="1"/>
        <v>591.5</v>
      </c>
      <c r="AC9" s="35">
        <f>'ECONOMIA &amp; PROFESIONES'!$O$12</f>
        <v>5400</v>
      </c>
      <c r="AD9" s="34">
        <f>'ECONOMIA &amp; PROFESIONES'!$P$12</f>
        <v>8600</v>
      </c>
      <c r="AE9" s="35">
        <f>'ECONOMIA &amp; PROFESIONES'!$Q$12</f>
        <v>15000</v>
      </c>
      <c r="AF9" s="34">
        <f>'ECONOMIA &amp; PROFESIONES'!$R$12</f>
        <v>27800</v>
      </c>
    </row>
    <row r="10" spans="1:32" ht="15" customHeight="1" x14ac:dyDescent="0.25">
      <c r="A10" s="345" t="s">
        <v>1113</v>
      </c>
      <c r="B10" s="345"/>
      <c r="C10" s="345" t="s">
        <v>1118</v>
      </c>
      <c r="D10" s="345"/>
      <c r="E10" s="345" t="s">
        <v>1123</v>
      </c>
      <c r="F10" s="345"/>
      <c r="G10" s="345" t="s">
        <v>1127</v>
      </c>
      <c r="H10" s="345"/>
      <c r="I10" s="345" t="s">
        <v>35</v>
      </c>
      <c r="J10" s="345"/>
      <c r="K10" s="345" t="s">
        <v>35</v>
      </c>
      <c r="L10" s="345"/>
      <c r="M10" s="345" t="s">
        <v>1134</v>
      </c>
      <c r="N10" s="345"/>
      <c r="O10" s="345" t="s">
        <v>1138</v>
      </c>
      <c r="P10" s="345"/>
      <c r="R10" s="313"/>
      <c r="S10" s="31" t="s">
        <v>115</v>
      </c>
      <c r="T10" s="34">
        <f>'ECONOMIA &amp; PROFESIONES'!$N$13</f>
        <v>3575</v>
      </c>
      <c r="U10" s="53">
        <f t="shared" si="2"/>
        <v>3316.5</v>
      </c>
      <c r="V10" s="283" t="s">
        <v>1189</v>
      </c>
      <c r="W10" s="288">
        <v>4</v>
      </c>
      <c r="X10" s="280">
        <f t="shared" si="0"/>
        <v>385.5</v>
      </c>
      <c r="Y10" s="283" t="s">
        <v>1175</v>
      </c>
      <c r="Z10" s="288">
        <v>3</v>
      </c>
      <c r="AA10" s="280">
        <f t="shared" si="1"/>
        <v>591.5</v>
      </c>
      <c r="AC10" s="35">
        <f>'ECONOMIA &amp; PROFESIONES'!$O$13</f>
        <v>4975</v>
      </c>
      <c r="AD10" s="34">
        <f>'ECONOMIA &amp; PROFESIONES'!$P$13</f>
        <v>7775</v>
      </c>
      <c r="AE10" s="35">
        <f>'ECONOMIA &amp; PROFESIONES'!$Q$13</f>
        <v>13375</v>
      </c>
      <c r="AF10" s="34">
        <f>'ECONOMIA &amp; PROFESIONES'!$R$13</f>
        <v>24575</v>
      </c>
    </row>
    <row r="11" spans="1:32" ht="15" customHeight="1" x14ac:dyDescent="0.25">
      <c r="A11" t="s">
        <v>1141</v>
      </c>
      <c r="C11" s="275" t="s">
        <v>1147</v>
      </c>
      <c r="D11" s="275"/>
      <c r="E11" s="275" t="s">
        <v>1149</v>
      </c>
      <c r="F11" s="275"/>
      <c r="G11" s="275" t="s">
        <v>1150</v>
      </c>
      <c r="H11" s="275"/>
      <c r="I11" s="345" t="s">
        <v>51</v>
      </c>
      <c r="J11" s="345"/>
      <c r="K11" s="345" t="s">
        <v>51</v>
      </c>
      <c r="L11" s="345"/>
      <c r="M11" s="275" t="s">
        <v>7</v>
      </c>
      <c r="N11" s="275"/>
      <c r="O11" s="275" t="s">
        <v>1138</v>
      </c>
      <c r="P11" s="275"/>
      <c r="R11" s="327"/>
      <c r="S11" s="32" t="s">
        <v>116</v>
      </c>
      <c r="T11" s="34">
        <f>'ECONOMIA &amp; PROFESIONES'!$N$14</f>
        <v>2900</v>
      </c>
      <c r="U11" s="53">
        <f t="shared" si="2"/>
        <v>2339.5</v>
      </c>
      <c r="V11" s="283" t="s">
        <v>1189</v>
      </c>
      <c r="W11" s="288">
        <v>3</v>
      </c>
      <c r="X11" s="280">
        <f t="shared" si="0"/>
        <v>385.5</v>
      </c>
      <c r="Y11" s="283" t="s">
        <v>1175</v>
      </c>
      <c r="Z11" s="288">
        <v>2</v>
      </c>
      <c r="AA11" s="280">
        <f t="shared" si="1"/>
        <v>591.5</v>
      </c>
      <c r="AC11" s="35">
        <f>'ECONOMIA &amp; PROFESIONES'!$O$14</f>
        <v>3700</v>
      </c>
      <c r="AD11" s="34">
        <f>'ECONOMIA &amp; PROFESIONES'!$P$14</f>
        <v>5300</v>
      </c>
      <c r="AE11" s="35">
        <f>'ECONOMIA &amp; PROFESIONES'!$Q$14</f>
        <v>8500</v>
      </c>
      <c r="AF11" s="34">
        <f>'ECONOMIA &amp; PROFESIONES'!$R$14</f>
        <v>14900</v>
      </c>
    </row>
    <row r="12" spans="1:32" ht="15" customHeight="1" x14ac:dyDescent="0.25">
      <c r="C12" s="275"/>
      <c r="D12" s="275"/>
      <c r="E12" s="275"/>
      <c r="F12" s="275"/>
      <c r="G12" s="275"/>
      <c r="H12" s="275"/>
      <c r="I12" s="345" t="s">
        <v>52</v>
      </c>
      <c r="J12" s="345"/>
      <c r="K12" s="345" t="s">
        <v>52</v>
      </c>
      <c r="L12" s="345"/>
      <c r="M12" s="275" t="s">
        <v>1113</v>
      </c>
      <c r="N12" s="275"/>
      <c r="O12" s="275" t="s">
        <v>1147</v>
      </c>
      <c r="P12" s="275"/>
      <c r="R12" s="307" t="s">
        <v>110</v>
      </c>
      <c r="S12" s="31" t="s">
        <v>6</v>
      </c>
      <c r="T12" s="34">
        <f>'ECONOMIA &amp; PROFESIONES'!$N$15</f>
        <v>4050</v>
      </c>
      <c r="U12" s="53">
        <f t="shared" si="2"/>
        <v>0</v>
      </c>
      <c r="V12" s="283" t="s">
        <v>926</v>
      </c>
      <c r="W12" s="288">
        <v>0</v>
      </c>
      <c r="X12" s="280">
        <f t="shared" si="0"/>
        <v>0</v>
      </c>
      <c r="Y12" s="283" t="s">
        <v>926</v>
      </c>
      <c r="Z12" s="288">
        <v>0</v>
      </c>
      <c r="AA12" s="280">
        <f t="shared" si="1"/>
        <v>0</v>
      </c>
      <c r="AC12" s="35">
        <f>'ECONOMIA &amp; PROFESIONES'!$O$15</f>
        <v>4450</v>
      </c>
      <c r="AD12" s="34">
        <f>'ECONOMIA &amp; PROFESIONES'!$P$15</f>
        <v>5250</v>
      </c>
      <c r="AE12" s="35">
        <f>'ECONOMIA &amp; PROFESIONES'!$Q$15</f>
        <v>6850</v>
      </c>
      <c r="AF12" s="34">
        <f>'ECONOMIA &amp; PROFESIONES'!$R$15</f>
        <v>10050</v>
      </c>
    </row>
    <row r="13" spans="1:32" ht="15" customHeight="1" x14ac:dyDescent="0.25">
      <c r="C13" s="275"/>
      <c r="D13" s="275"/>
      <c r="E13" s="275"/>
      <c r="F13" s="275"/>
      <c r="G13" s="275"/>
      <c r="H13" s="275"/>
      <c r="I13" s="345" t="s">
        <v>53</v>
      </c>
      <c r="J13" s="345"/>
      <c r="K13" s="345" t="s">
        <v>53</v>
      </c>
      <c r="L13" s="345"/>
      <c r="M13" s="275" t="s">
        <v>1152</v>
      </c>
      <c r="N13" s="275"/>
      <c r="O13" s="275" t="s">
        <v>1124</v>
      </c>
      <c r="P13" s="275"/>
      <c r="R13" s="315"/>
      <c r="S13" s="32" t="s">
        <v>113</v>
      </c>
      <c r="T13" s="34">
        <f>'ECONOMIA &amp; PROFESIONES'!$N$16</f>
        <v>4875</v>
      </c>
      <c r="U13" s="53">
        <f t="shared" si="2"/>
        <v>0</v>
      </c>
      <c r="V13" s="283" t="s">
        <v>1189</v>
      </c>
      <c r="W13" s="288">
        <v>0</v>
      </c>
      <c r="X13" s="280">
        <f t="shared" si="0"/>
        <v>385.5</v>
      </c>
      <c r="Y13" s="283" t="s">
        <v>1177</v>
      </c>
      <c r="Z13" s="288">
        <v>0</v>
      </c>
      <c r="AA13" s="280">
        <f t="shared" si="1"/>
        <v>509</v>
      </c>
      <c r="AC13" s="35">
        <f>'ECONOMIA &amp; PROFESIONES'!$O$16</f>
        <v>5875</v>
      </c>
      <c r="AD13" s="34">
        <f>'ECONOMIA &amp; PROFESIONES'!$P$16</f>
        <v>7875</v>
      </c>
      <c r="AE13" s="35">
        <f>'ECONOMIA &amp; PROFESIONES'!$Q$16</f>
        <v>11875</v>
      </c>
      <c r="AF13" s="34">
        <f>'ECONOMIA &amp; PROFESIONES'!$R$16</f>
        <v>19875</v>
      </c>
    </row>
    <row r="14" spans="1:32" ht="15" customHeight="1" x14ac:dyDescent="0.25">
      <c r="C14" s="275"/>
      <c r="D14" s="275"/>
      <c r="E14" s="275"/>
      <c r="F14" s="275"/>
      <c r="G14" s="275"/>
      <c r="H14" s="275"/>
      <c r="I14" s="345" t="s">
        <v>54</v>
      </c>
      <c r="J14" s="345"/>
      <c r="K14" s="345" t="s">
        <v>54</v>
      </c>
      <c r="L14" s="345"/>
      <c r="M14" s="275"/>
      <c r="N14" s="275"/>
      <c r="O14" s="275"/>
      <c r="P14" s="275"/>
      <c r="R14" s="315"/>
      <c r="S14" s="31" t="s">
        <v>114</v>
      </c>
      <c r="T14" s="34">
        <f>'ECONOMIA &amp; PROFESIONES'!$N$17</f>
        <v>5700</v>
      </c>
      <c r="U14" s="53">
        <f t="shared" si="2"/>
        <v>0</v>
      </c>
      <c r="V14" s="283" t="s">
        <v>1189</v>
      </c>
      <c r="W14" s="288">
        <v>0</v>
      </c>
      <c r="X14" s="280">
        <f t="shared" si="0"/>
        <v>385.5</v>
      </c>
      <c r="Y14" s="283" t="s">
        <v>1177</v>
      </c>
      <c r="Z14" s="288">
        <v>0</v>
      </c>
      <c r="AA14" s="280">
        <f t="shared" si="1"/>
        <v>509</v>
      </c>
      <c r="AC14" s="35">
        <f>'ECONOMIA &amp; PROFESIONES'!$O$17</f>
        <v>7300</v>
      </c>
      <c r="AD14" s="34">
        <f>'ECONOMIA &amp; PROFESIONES'!$P$17</f>
        <v>10500</v>
      </c>
      <c r="AE14" s="35">
        <f>'ECONOMIA &amp; PROFESIONES'!$Q$17</f>
        <v>16900</v>
      </c>
      <c r="AF14" s="34">
        <f>'ECONOMIA &amp; PROFESIONES'!$R$17</f>
        <v>29700</v>
      </c>
    </row>
    <row r="15" spans="1:32" ht="15" customHeight="1" x14ac:dyDescent="0.25">
      <c r="A15" s="345" t="s">
        <v>1115</v>
      </c>
      <c r="B15" s="345"/>
      <c r="C15" s="345" t="s">
        <v>1117</v>
      </c>
      <c r="D15" s="345"/>
      <c r="E15" s="345" t="s">
        <v>1124</v>
      </c>
      <c r="F15" s="345"/>
      <c r="G15" s="345" t="s">
        <v>1151</v>
      </c>
      <c r="H15" s="345"/>
      <c r="I15" s="275"/>
      <c r="J15" s="275"/>
      <c r="K15" s="275"/>
      <c r="L15" s="275"/>
      <c r="M15" s="345" t="s">
        <v>7</v>
      </c>
      <c r="N15" s="345"/>
      <c r="O15" s="345" t="s">
        <v>1155</v>
      </c>
      <c r="P15" s="345"/>
      <c r="R15" s="307"/>
      <c r="S15" s="32" t="s">
        <v>115</v>
      </c>
      <c r="T15" s="34">
        <f>'ECONOMIA &amp; PROFESIONES'!$N$18</f>
        <v>5425</v>
      </c>
      <c r="U15" s="53">
        <f t="shared" si="2"/>
        <v>0</v>
      </c>
      <c r="V15" s="283" t="s">
        <v>1189</v>
      </c>
      <c r="W15" s="288">
        <v>0</v>
      </c>
      <c r="X15" s="280">
        <f t="shared" si="0"/>
        <v>385.5</v>
      </c>
      <c r="Y15" s="283" t="s">
        <v>1177</v>
      </c>
      <c r="Z15" s="288">
        <v>0</v>
      </c>
      <c r="AA15" s="280">
        <f t="shared" si="1"/>
        <v>509</v>
      </c>
      <c r="AC15" s="35">
        <f>'ECONOMIA &amp; PROFESIONES'!$O$18</f>
        <v>6825</v>
      </c>
      <c r="AD15" s="34">
        <f>'ECONOMIA &amp; PROFESIONES'!$P$18</f>
        <v>9625</v>
      </c>
      <c r="AE15" s="35">
        <f>'ECONOMIA &amp; PROFESIONES'!$Q$18</f>
        <v>15225</v>
      </c>
      <c r="AF15" s="34">
        <f>'ECONOMIA &amp; PROFESIONES'!$R$18</f>
        <v>26425</v>
      </c>
    </row>
    <row r="16" spans="1:32" ht="15" customHeight="1" x14ac:dyDescent="0.25">
      <c r="A16" s="275" t="s">
        <v>1113</v>
      </c>
      <c r="B16" s="2" t="s">
        <v>1152</v>
      </c>
      <c r="C16" s="275" t="s">
        <v>1147</v>
      </c>
      <c r="D16" s="275" t="s">
        <v>1138</v>
      </c>
      <c r="E16" s="275" t="s">
        <v>1124</v>
      </c>
      <c r="F16" s="275"/>
      <c r="G16" s="275" t="s">
        <v>1115</v>
      </c>
      <c r="H16" s="275" t="s">
        <v>1143</v>
      </c>
      <c r="I16" s="275"/>
      <c r="J16" s="275"/>
      <c r="K16" s="275"/>
      <c r="L16" s="275"/>
      <c r="M16" s="275" t="s">
        <v>1134</v>
      </c>
      <c r="N16" s="275"/>
      <c r="O16" s="275" t="s">
        <v>1138</v>
      </c>
      <c r="P16" s="275" t="s">
        <v>1157</v>
      </c>
      <c r="R16" s="307"/>
      <c r="S16" s="31" t="s">
        <v>116</v>
      </c>
      <c r="T16" s="34">
        <f>'ECONOMIA &amp; PROFESIONES'!$N$19</f>
        <v>4600</v>
      </c>
      <c r="U16" s="53">
        <f t="shared" si="2"/>
        <v>0</v>
      </c>
      <c r="V16" s="283" t="s">
        <v>1189</v>
      </c>
      <c r="W16" s="288">
        <v>0</v>
      </c>
      <c r="X16" s="280">
        <f t="shared" si="0"/>
        <v>385.5</v>
      </c>
      <c r="Y16" s="283" t="s">
        <v>1177</v>
      </c>
      <c r="Z16" s="288">
        <v>0</v>
      </c>
      <c r="AA16" s="280">
        <f t="shared" si="1"/>
        <v>509</v>
      </c>
      <c r="AC16" s="35">
        <f>'ECONOMIA &amp; PROFESIONES'!$O$19</f>
        <v>5400</v>
      </c>
      <c r="AD16" s="34">
        <f>'ECONOMIA &amp; PROFESIONES'!$P$19</f>
        <v>7000</v>
      </c>
      <c r="AE16" s="35">
        <f>'ECONOMIA &amp; PROFESIONES'!$Q$19</f>
        <v>10200</v>
      </c>
      <c r="AF16" s="34">
        <f>'ECONOMIA &amp; PROFESIONES'!$R$19</f>
        <v>16600</v>
      </c>
    </row>
    <row r="17" spans="1:32" ht="15" customHeight="1" x14ac:dyDescent="0.25">
      <c r="A17" s="275" t="s">
        <v>1143</v>
      </c>
      <c r="C17" s="275" t="s">
        <v>1118</v>
      </c>
      <c r="D17" s="276"/>
      <c r="E17" s="275" t="s">
        <v>1115</v>
      </c>
      <c r="F17" s="275"/>
      <c r="G17" s="275" t="s">
        <v>1113</v>
      </c>
      <c r="H17" s="275"/>
      <c r="I17" s="275"/>
      <c r="J17" s="275"/>
      <c r="K17" s="275"/>
      <c r="L17" s="275"/>
      <c r="M17" s="275" t="s">
        <v>1124</v>
      </c>
      <c r="N17" s="275"/>
      <c r="O17" s="275" t="s">
        <v>1147</v>
      </c>
      <c r="P17" s="275" t="s">
        <v>1158</v>
      </c>
      <c r="R17" s="311" t="s">
        <v>111</v>
      </c>
      <c r="S17" s="32" t="s">
        <v>6</v>
      </c>
      <c r="T17" s="34">
        <f>'ECONOMIA &amp; PROFESIONES'!$N$20</f>
        <v>5650</v>
      </c>
      <c r="U17" s="53">
        <f t="shared" si="2"/>
        <v>0</v>
      </c>
      <c r="V17" s="283" t="s">
        <v>1189</v>
      </c>
      <c r="W17" s="288">
        <v>0</v>
      </c>
      <c r="X17" s="280">
        <f t="shared" si="0"/>
        <v>385.5</v>
      </c>
      <c r="Y17" s="283" t="s">
        <v>1177</v>
      </c>
      <c r="Z17" s="288">
        <v>0</v>
      </c>
      <c r="AA17" s="280">
        <f t="shared" si="1"/>
        <v>509</v>
      </c>
      <c r="AC17" s="35">
        <f>'ECONOMIA &amp; PROFESIONES'!$O$20</f>
        <v>6050</v>
      </c>
      <c r="AD17" s="34">
        <f>'ECONOMIA &amp; PROFESIONES'!$P$20</f>
        <v>6850</v>
      </c>
      <c r="AE17" s="35">
        <f>'ECONOMIA &amp; PROFESIONES'!$Q$20</f>
        <v>8450</v>
      </c>
      <c r="AF17" s="34">
        <f>'ECONOMIA &amp; PROFESIONES'!$R$20</f>
        <v>11650</v>
      </c>
    </row>
    <row r="18" spans="1:32" ht="15" customHeight="1" x14ac:dyDescent="0.25">
      <c r="A18" s="275" t="s">
        <v>1134</v>
      </c>
      <c r="C18" s="275" t="s">
        <v>1143</v>
      </c>
      <c r="D18" s="275"/>
      <c r="E18" s="275" t="s">
        <v>1147</v>
      </c>
      <c r="F18" s="275"/>
      <c r="G18" s="275" t="s">
        <v>1118</v>
      </c>
      <c r="H18" s="275"/>
      <c r="M18" s="275" t="s">
        <v>1115</v>
      </c>
      <c r="N18" s="275"/>
      <c r="O18" s="275" t="s">
        <v>1124</v>
      </c>
      <c r="P18" s="275" t="s">
        <v>1115</v>
      </c>
      <c r="R18" s="312"/>
      <c r="S18" s="31" t="s">
        <v>113</v>
      </c>
      <c r="T18" s="34">
        <f>'ECONOMIA &amp; PROFESIONES'!$N$21</f>
        <v>6625</v>
      </c>
      <c r="U18" s="53">
        <f t="shared" si="2"/>
        <v>0</v>
      </c>
      <c r="V18" s="283" t="s">
        <v>1189</v>
      </c>
      <c r="W18" s="288">
        <v>0</v>
      </c>
      <c r="X18" s="280">
        <f t="shared" si="0"/>
        <v>385.5</v>
      </c>
      <c r="Y18" s="283" t="s">
        <v>1177</v>
      </c>
      <c r="Z18" s="288">
        <v>0</v>
      </c>
      <c r="AA18" s="280">
        <f t="shared" si="1"/>
        <v>509</v>
      </c>
      <c r="AC18" s="35">
        <f>'ECONOMIA &amp; PROFESIONES'!$O$21</f>
        <v>7625</v>
      </c>
      <c r="AD18" s="34">
        <f>'ECONOMIA &amp; PROFESIONES'!$P$21</f>
        <v>9625</v>
      </c>
      <c r="AE18" s="35">
        <f>'ECONOMIA &amp; PROFESIONES'!$Q$21</f>
        <v>13625</v>
      </c>
      <c r="AF18" s="34">
        <f>'ECONOMIA &amp; PROFESIONES'!$R$21</f>
        <v>21625</v>
      </c>
    </row>
    <row r="19" spans="1:32" ht="15" customHeight="1" x14ac:dyDescent="0.25">
      <c r="A19" s="2" t="s">
        <v>1153</v>
      </c>
      <c r="B19" s="275"/>
      <c r="C19" s="275"/>
      <c r="D19" s="275"/>
      <c r="E19" s="275" t="s">
        <v>1143</v>
      </c>
      <c r="F19" s="275"/>
      <c r="G19" s="275" t="s">
        <v>1138</v>
      </c>
      <c r="H19" s="275"/>
      <c r="M19" s="275" t="s">
        <v>1117</v>
      </c>
      <c r="N19" s="275"/>
      <c r="O19" s="275" t="s">
        <v>1143</v>
      </c>
      <c r="P19" s="275"/>
      <c r="R19" s="312"/>
      <c r="S19" s="32" t="s">
        <v>114</v>
      </c>
      <c r="T19" s="34">
        <f>'ECONOMIA &amp; PROFESIONES'!$N$22</f>
        <v>7600</v>
      </c>
      <c r="U19" s="53">
        <f t="shared" si="2"/>
        <v>0</v>
      </c>
      <c r="V19" s="283" t="s">
        <v>1189</v>
      </c>
      <c r="W19" s="288">
        <v>0</v>
      </c>
      <c r="X19" s="280">
        <f t="shared" si="0"/>
        <v>385.5</v>
      </c>
      <c r="Y19" s="283" t="s">
        <v>1177</v>
      </c>
      <c r="Z19" s="288">
        <v>0</v>
      </c>
      <c r="AA19" s="280">
        <f t="shared" si="1"/>
        <v>509</v>
      </c>
      <c r="AC19" s="35">
        <f>'ECONOMIA &amp; PROFESIONES'!$O$22</f>
        <v>9200</v>
      </c>
      <c r="AD19" s="34">
        <f>'ECONOMIA &amp; PROFESIONES'!$P$22</f>
        <v>12400</v>
      </c>
      <c r="AE19" s="35">
        <f>'ECONOMIA &amp; PROFESIONES'!$Q$22</f>
        <v>18800</v>
      </c>
      <c r="AF19" s="34">
        <f>'ECONOMIA &amp; PROFESIONES'!$R$22</f>
        <v>31600</v>
      </c>
    </row>
    <row r="20" spans="1:32" ht="15" customHeight="1" x14ac:dyDescent="0.25">
      <c r="A20" s="345" t="s">
        <v>1142</v>
      </c>
      <c r="B20" s="345"/>
      <c r="C20" s="345" t="s">
        <v>1119</v>
      </c>
      <c r="D20" s="345"/>
      <c r="E20" s="345" t="s">
        <v>1154</v>
      </c>
      <c r="F20" s="345"/>
      <c r="G20" s="345" t="s">
        <v>1159</v>
      </c>
      <c r="H20" s="345"/>
      <c r="M20" s="345" t="s">
        <v>1135</v>
      </c>
      <c r="N20" s="345"/>
      <c r="O20" s="345" t="s">
        <v>1156</v>
      </c>
      <c r="P20" s="345"/>
      <c r="R20" s="313"/>
      <c r="S20" s="31" t="s">
        <v>115</v>
      </c>
      <c r="T20" s="34">
        <f>'ECONOMIA &amp; PROFESIONES'!$N$23</f>
        <v>7275</v>
      </c>
      <c r="U20" s="53">
        <f t="shared" si="2"/>
        <v>0</v>
      </c>
      <c r="V20" s="283" t="s">
        <v>1189</v>
      </c>
      <c r="W20" s="288">
        <v>0</v>
      </c>
      <c r="X20" s="280">
        <f t="shared" si="0"/>
        <v>385.5</v>
      </c>
      <c r="Y20" s="283" t="s">
        <v>1177</v>
      </c>
      <c r="Z20" s="288">
        <v>0</v>
      </c>
      <c r="AA20" s="280">
        <f t="shared" si="1"/>
        <v>509</v>
      </c>
      <c r="AC20" s="35">
        <f>'ECONOMIA &amp; PROFESIONES'!$O$23</f>
        <v>8675</v>
      </c>
      <c r="AD20" s="34">
        <f>'ECONOMIA &amp; PROFESIONES'!$P$23</f>
        <v>11475</v>
      </c>
      <c r="AE20" s="35">
        <f>'ECONOMIA &amp; PROFESIONES'!$Q$23</f>
        <v>17075</v>
      </c>
      <c r="AF20" s="34">
        <f>'ECONOMIA &amp; PROFESIONES'!$R$23</f>
        <v>28275</v>
      </c>
    </row>
    <row r="21" spans="1:32" ht="15" customHeight="1" x14ac:dyDescent="0.25">
      <c r="A21" s="275" t="s">
        <v>1115</v>
      </c>
      <c r="B21" s="275"/>
      <c r="C21" s="275" t="s">
        <v>1147</v>
      </c>
      <c r="D21" s="275"/>
      <c r="E21" s="345" t="s">
        <v>51</v>
      </c>
      <c r="F21" s="345"/>
      <c r="G21" s="275" t="s">
        <v>1157</v>
      </c>
      <c r="H21" s="275" t="s">
        <v>1156</v>
      </c>
      <c r="M21" s="275" t="s">
        <v>1115</v>
      </c>
      <c r="N21" s="275"/>
      <c r="O21" s="275" t="s">
        <v>1119</v>
      </c>
      <c r="P21" s="275"/>
      <c r="R21" s="314"/>
      <c r="S21" s="32" t="s">
        <v>116</v>
      </c>
      <c r="T21" s="34">
        <f>'ECONOMIA &amp; PROFESIONES'!$N$24</f>
        <v>6300</v>
      </c>
      <c r="U21" s="53">
        <f t="shared" si="2"/>
        <v>0</v>
      </c>
      <c r="V21" s="283" t="s">
        <v>1189</v>
      </c>
      <c r="W21" s="288">
        <v>0</v>
      </c>
      <c r="X21" s="280">
        <f t="shared" si="0"/>
        <v>385.5</v>
      </c>
      <c r="Y21" s="283" t="s">
        <v>1177</v>
      </c>
      <c r="Z21" s="288">
        <v>0</v>
      </c>
      <c r="AA21" s="280">
        <f t="shared" si="1"/>
        <v>509</v>
      </c>
      <c r="AC21" s="35">
        <f>'ECONOMIA &amp; PROFESIONES'!$O$24</f>
        <v>7100</v>
      </c>
      <c r="AD21" s="34">
        <f>'ECONOMIA &amp; PROFESIONES'!$P$24</f>
        <v>8700</v>
      </c>
      <c r="AE21" s="35">
        <f>'ECONOMIA &amp; PROFESIONES'!$Q$24</f>
        <v>11900</v>
      </c>
      <c r="AF21" s="34">
        <f>'ECONOMIA &amp; PROFESIONES'!$R$24</f>
        <v>18300</v>
      </c>
    </row>
    <row r="22" spans="1:32" ht="15" customHeight="1" x14ac:dyDescent="0.25">
      <c r="A22" s="275" t="s">
        <v>1113</v>
      </c>
      <c r="B22" s="275"/>
      <c r="C22" s="275" t="s">
        <v>1118</v>
      </c>
      <c r="D22" s="275"/>
      <c r="E22" s="345" t="s">
        <v>52</v>
      </c>
      <c r="F22" s="345"/>
      <c r="G22" s="275" t="s">
        <v>1119</v>
      </c>
      <c r="H22" s="275"/>
      <c r="M22" s="275" t="s">
        <v>1142</v>
      </c>
      <c r="N22" s="275"/>
      <c r="O22" s="275" t="s">
        <v>1160</v>
      </c>
      <c r="P22" s="275"/>
      <c r="R22" s="307" t="s">
        <v>112</v>
      </c>
      <c r="S22" s="31" t="s">
        <v>6</v>
      </c>
      <c r="T22" s="34">
        <f>'ECONOMIA &amp; PROFESIONES'!$N$25</f>
        <v>7250</v>
      </c>
      <c r="U22" s="53">
        <f t="shared" si="2"/>
        <v>0</v>
      </c>
      <c r="V22" s="283" t="s">
        <v>1189</v>
      </c>
      <c r="W22" s="288">
        <v>0</v>
      </c>
      <c r="X22" s="280">
        <f t="shared" si="0"/>
        <v>385.5</v>
      </c>
      <c r="Y22" s="283" t="s">
        <v>1177</v>
      </c>
      <c r="Z22" s="288">
        <v>0</v>
      </c>
      <c r="AA22" s="280">
        <f t="shared" si="1"/>
        <v>509</v>
      </c>
      <c r="AC22" s="35">
        <f>'ECONOMIA &amp; PROFESIONES'!$O$25</f>
        <v>7650</v>
      </c>
      <c r="AD22" s="34">
        <f>'ECONOMIA &amp; PROFESIONES'!$P$25</f>
        <v>8450</v>
      </c>
      <c r="AE22" s="35">
        <f>'ECONOMIA &amp; PROFESIONES'!$Q$25</f>
        <v>10050</v>
      </c>
      <c r="AF22" s="34">
        <f>'ECONOMIA &amp; PROFESIONES'!$R$25</f>
        <v>13250</v>
      </c>
    </row>
    <row r="23" spans="1:32" ht="15" customHeight="1" x14ac:dyDescent="0.25">
      <c r="A23" s="275" t="s">
        <v>1157</v>
      </c>
      <c r="B23" s="275"/>
      <c r="C23" s="275" t="s">
        <v>1117</v>
      </c>
      <c r="D23" s="275"/>
      <c r="E23" s="345" t="s">
        <v>53</v>
      </c>
      <c r="F23" s="345"/>
      <c r="G23" s="275" t="s">
        <v>1142</v>
      </c>
      <c r="H23" s="275"/>
      <c r="M23" s="275" t="s">
        <v>1113</v>
      </c>
      <c r="N23" s="275"/>
      <c r="O23" s="275" t="s">
        <v>1155</v>
      </c>
      <c r="P23" s="275"/>
      <c r="R23" s="307"/>
      <c r="S23" s="32" t="s">
        <v>113</v>
      </c>
      <c r="T23" s="34">
        <f>'ECONOMIA &amp; PROFESIONES'!$N$26</f>
        <v>8375</v>
      </c>
      <c r="U23" s="53">
        <f t="shared" si="2"/>
        <v>0</v>
      </c>
      <c r="V23" s="283" t="s">
        <v>1189</v>
      </c>
      <c r="W23" s="288">
        <v>0</v>
      </c>
      <c r="X23" s="280">
        <f t="shared" si="0"/>
        <v>385.5</v>
      </c>
      <c r="Y23" s="283" t="s">
        <v>1177</v>
      </c>
      <c r="Z23" s="288">
        <v>0</v>
      </c>
      <c r="AA23" s="280">
        <f t="shared" si="1"/>
        <v>509</v>
      </c>
      <c r="AC23" s="35">
        <f>'ECONOMIA &amp; PROFESIONES'!$O$26</f>
        <v>9375</v>
      </c>
      <c r="AD23" s="34">
        <f>'ECONOMIA &amp; PROFESIONES'!$P$26</f>
        <v>11375</v>
      </c>
      <c r="AE23" s="35">
        <f>'ECONOMIA &amp; PROFESIONES'!$Q$26</f>
        <v>15375</v>
      </c>
      <c r="AF23" s="34">
        <f>'ECONOMIA &amp; PROFESIONES'!$R$26</f>
        <v>23375</v>
      </c>
    </row>
    <row r="24" spans="1:32" ht="15" customHeight="1" x14ac:dyDescent="0.25">
      <c r="A24" s="275" t="s">
        <v>1134</v>
      </c>
      <c r="B24" s="275"/>
      <c r="C24" s="275" t="s">
        <v>1155</v>
      </c>
      <c r="D24" s="275"/>
      <c r="E24" s="345" t="s">
        <v>54</v>
      </c>
      <c r="F24" s="345"/>
      <c r="G24" s="275" t="s">
        <v>1135</v>
      </c>
      <c r="H24" s="275"/>
      <c r="M24" s="275" t="s">
        <v>1160</v>
      </c>
      <c r="N24" s="275"/>
      <c r="O24" s="275" t="s">
        <v>1138</v>
      </c>
      <c r="P24" s="275"/>
      <c r="R24" s="307"/>
      <c r="S24" s="31" t="s">
        <v>114</v>
      </c>
      <c r="T24" s="34">
        <f>'ECONOMIA &amp; PROFESIONES'!$N$27</f>
        <v>9500</v>
      </c>
      <c r="U24" s="53">
        <f t="shared" si="2"/>
        <v>0</v>
      </c>
      <c r="V24" s="283" t="s">
        <v>1189</v>
      </c>
      <c r="W24" s="288">
        <v>0</v>
      </c>
      <c r="X24" s="280">
        <f t="shared" si="0"/>
        <v>385.5</v>
      </c>
      <c r="Y24" s="283" t="s">
        <v>1177</v>
      </c>
      <c r="Z24" s="288">
        <v>0</v>
      </c>
      <c r="AA24" s="280">
        <f t="shared" si="1"/>
        <v>509</v>
      </c>
      <c r="AC24" s="35">
        <f>'ECONOMIA &amp; PROFESIONES'!$O$27</f>
        <v>11100</v>
      </c>
      <c r="AD24" s="34">
        <f>'ECONOMIA &amp; PROFESIONES'!$P$27</f>
        <v>14300</v>
      </c>
      <c r="AE24" s="35">
        <f>'ECONOMIA &amp; PROFESIONES'!$Q$27</f>
        <v>20700</v>
      </c>
      <c r="AF24" s="34">
        <f>'ECONOMIA &amp; PROFESIONES'!$R$27</f>
        <v>33500</v>
      </c>
    </row>
    <row r="25" spans="1:32" ht="15" customHeight="1" x14ac:dyDescent="0.25">
      <c r="A25" s="345" t="s">
        <v>1145</v>
      </c>
      <c r="B25" s="345"/>
      <c r="C25" s="345" t="s">
        <v>1120</v>
      </c>
      <c r="D25" s="345"/>
      <c r="G25" s="345" t="s">
        <v>1161</v>
      </c>
      <c r="H25" s="345"/>
      <c r="M25" s="345" t="s">
        <v>1136</v>
      </c>
      <c r="N25" s="345"/>
      <c r="O25" s="345" t="s">
        <v>1140</v>
      </c>
      <c r="P25" s="345"/>
      <c r="R25" s="307"/>
      <c r="S25" s="32" t="s">
        <v>115</v>
      </c>
      <c r="T25" s="34">
        <f>'ECONOMIA &amp; PROFESIONES'!$N$28</f>
        <v>9125</v>
      </c>
      <c r="U25" s="53">
        <f t="shared" si="2"/>
        <v>0</v>
      </c>
      <c r="V25" s="283" t="s">
        <v>1189</v>
      </c>
      <c r="W25" s="288">
        <v>0</v>
      </c>
      <c r="X25" s="280">
        <f t="shared" si="0"/>
        <v>385.5</v>
      </c>
      <c r="Y25" s="283" t="s">
        <v>1177</v>
      </c>
      <c r="Z25" s="288">
        <v>0</v>
      </c>
      <c r="AA25" s="280">
        <f t="shared" si="1"/>
        <v>509</v>
      </c>
      <c r="AC25" s="35">
        <f>'ECONOMIA &amp; PROFESIONES'!$O$28</f>
        <v>10525</v>
      </c>
      <c r="AD25" s="34">
        <f>'ECONOMIA &amp; PROFESIONES'!$P$28</f>
        <v>13325</v>
      </c>
      <c r="AE25" s="35">
        <f>'ECONOMIA &amp; PROFESIONES'!$Q$28</f>
        <v>18925</v>
      </c>
      <c r="AF25" s="34">
        <f>'ECONOMIA &amp; PROFESIONES'!$R$28</f>
        <v>30125</v>
      </c>
    </row>
    <row r="26" spans="1:32" x14ac:dyDescent="0.25">
      <c r="A26" s="275" t="s">
        <v>1115</v>
      </c>
      <c r="B26" s="275" t="s">
        <v>1135</v>
      </c>
      <c r="C26" s="275" t="s">
        <v>1119</v>
      </c>
      <c r="D26" s="275"/>
      <c r="G26" s="275" t="s">
        <v>1145</v>
      </c>
      <c r="H26" s="275" t="s">
        <v>1155</v>
      </c>
      <c r="M26" s="275" t="s">
        <v>1124</v>
      </c>
      <c r="N26" s="275" t="s">
        <v>1143</v>
      </c>
      <c r="O26" s="275" t="s">
        <v>1156</v>
      </c>
      <c r="P26" s="275" t="s">
        <v>1119</v>
      </c>
      <c r="R26" s="307"/>
      <c r="S26" s="31" t="s">
        <v>116</v>
      </c>
      <c r="T26" s="34">
        <f>'ECONOMIA &amp; PROFESIONES'!$N$29</f>
        <v>8000</v>
      </c>
      <c r="U26" s="53">
        <f t="shared" si="2"/>
        <v>0</v>
      </c>
      <c r="V26" s="283" t="s">
        <v>1189</v>
      </c>
      <c r="W26" s="288">
        <v>0</v>
      </c>
      <c r="X26" s="280">
        <f t="shared" si="0"/>
        <v>385.5</v>
      </c>
      <c r="Y26" s="283" t="s">
        <v>1177</v>
      </c>
      <c r="Z26" s="288">
        <v>0</v>
      </c>
      <c r="AA26" s="280">
        <f t="shared" si="1"/>
        <v>509</v>
      </c>
      <c r="AC26" s="35">
        <f>'ECONOMIA &amp; PROFESIONES'!$O$29</f>
        <v>8800</v>
      </c>
      <c r="AD26" s="34">
        <f>'ECONOMIA &amp; PROFESIONES'!$P$29</f>
        <v>10400</v>
      </c>
      <c r="AE26" s="35">
        <f>'ECONOMIA &amp; PROFESIONES'!$Q$29</f>
        <v>13600</v>
      </c>
      <c r="AF26" s="34">
        <f>'ECONOMIA &amp; PROFESIONES'!$R$29</f>
        <v>20000</v>
      </c>
    </row>
    <row r="27" spans="1:32" x14ac:dyDescent="0.25">
      <c r="A27" s="275" t="s">
        <v>1142</v>
      </c>
      <c r="B27" s="275"/>
      <c r="C27" s="275" t="s">
        <v>1147</v>
      </c>
      <c r="D27" s="275"/>
      <c r="G27" s="275" t="s">
        <v>1120</v>
      </c>
      <c r="H27" s="275"/>
      <c r="M27" s="275" t="s">
        <v>1135</v>
      </c>
      <c r="N27" s="275"/>
      <c r="O27" s="275" t="s">
        <v>1155</v>
      </c>
      <c r="P27" s="275"/>
    </row>
    <row r="28" spans="1:32" x14ac:dyDescent="0.25">
      <c r="A28" s="275" t="s">
        <v>1143</v>
      </c>
      <c r="B28" s="275"/>
      <c r="C28" s="275" t="s">
        <v>1136</v>
      </c>
      <c r="D28" s="275"/>
      <c r="G28" s="275" t="s">
        <v>1136</v>
      </c>
      <c r="H28" s="275"/>
      <c r="M28" s="275" t="s">
        <v>1115</v>
      </c>
      <c r="N28" s="275"/>
      <c r="O28" s="275" t="s">
        <v>1136</v>
      </c>
      <c r="P28" s="275"/>
    </row>
    <row r="29" spans="1:32" x14ac:dyDescent="0.25">
      <c r="A29" t="s">
        <v>1160</v>
      </c>
      <c r="C29" s="275" t="s">
        <v>1140</v>
      </c>
      <c r="D29" s="275"/>
      <c r="G29" s="275" t="s">
        <v>1140</v>
      </c>
      <c r="H29" s="275"/>
      <c r="M29" s="275" t="s">
        <v>1145</v>
      </c>
      <c r="N29" s="275"/>
      <c r="O29" s="275" t="s">
        <v>1120</v>
      </c>
      <c r="P29" s="275"/>
    </row>
    <row r="30" spans="1:32" x14ac:dyDescent="0.25">
      <c r="A30" s="345" t="s">
        <v>1146</v>
      </c>
      <c r="B30" s="345"/>
      <c r="C30" s="345" t="s">
        <v>1148</v>
      </c>
      <c r="D30" s="345"/>
      <c r="G30" s="345" t="s">
        <v>1162</v>
      </c>
      <c r="H30" s="345"/>
      <c r="M30" s="345" t="s">
        <v>1137</v>
      </c>
      <c r="N30" s="345"/>
      <c r="O30" s="345" t="s">
        <v>1139</v>
      </c>
      <c r="P30" s="345"/>
    </row>
    <row r="31" spans="1:32" x14ac:dyDescent="0.25">
      <c r="A31" s="275" t="s">
        <v>1145</v>
      </c>
      <c r="B31" s="275" t="s">
        <v>1136</v>
      </c>
      <c r="C31" s="275" t="s">
        <v>1120</v>
      </c>
      <c r="D31" s="275" t="s">
        <v>1136</v>
      </c>
      <c r="G31" s="275" t="s">
        <v>1163</v>
      </c>
      <c r="H31" s="275" t="s">
        <v>1140</v>
      </c>
      <c r="M31" s="275" t="s">
        <v>1124</v>
      </c>
      <c r="N31" s="275" t="s">
        <v>1136</v>
      </c>
      <c r="O31" s="275" t="s">
        <v>1137</v>
      </c>
      <c r="P31" s="275" t="s">
        <v>1162</v>
      </c>
    </row>
    <row r="32" spans="1:32" x14ac:dyDescent="0.25">
      <c r="A32" s="275" t="s">
        <v>1142</v>
      </c>
      <c r="B32" s="275" t="s">
        <v>1137</v>
      </c>
      <c r="C32" s="275" t="s">
        <v>1156</v>
      </c>
      <c r="D32" s="275"/>
      <c r="G32" s="275" t="s">
        <v>1121</v>
      </c>
      <c r="H32" s="275" t="s">
        <v>1156</v>
      </c>
      <c r="M32" s="275" t="s">
        <v>1135</v>
      </c>
      <c r="N32" s="275" t="s">
        <v>1140</v>
      </c>
      <c r="O32" s="275" t="s">
        <v>1140</v>
      </c>
      <c r="P32" s="275" t="s">
        <v>1121</v>
      </c>
    </row>
    <row r="33" spans="1:23" x14ac:dyDescent="0.25">
      <c r="A33" s="275" t="s">
        <v>1156</v>
      </c>
      <c r="B33" s="275" t="s">
        <v>1162</v>
      </c>
      <c r="C33" s="275" t="s">
        <v>1140</v>
      </c>
      <c r="D33" s="275"/>
      <c r="G33" s="275" t="s">
        <v>1116</v>
      </c>
      <c r="H33" s="275" t="s">
        <v>1155</v>
      </c>
      <c r="M33" s="275" t="s">
        <v>1116</v>
      </c>
      <c r="N33" s="275" t="s">
        <v>1155</v>
      </c>
      <c r="O33" s="275" t="s">
        <v>1156</v>
      </c>
      <c r="P33" s="275" t="s">
        <v>1164</v>
      </c>
    </row>
    <row r="34" spans="1:23" x14ac:dyDescent="0.25">
      <c r="A34" t="s">
        <v>1155</v>
      </c>
      <c r="B34" s="275"/>
      <c r="C34" s="275" t="s">
        <v>1137</v>
      </c>
      <c r="G34" t="s">
        <v>1137</v>
      </c>
      <c r="O34" t="s">
        <v>1155</v>
      </c>
    </row>
    <row r="35" spans="1:23" x14ac:dyDescent="0.25">
      <c r="B35" s="275"/>
      <c r="C35" s="275"/>
    </row>
    <row r="38" spans="1:23" x14ac:dyDescent="0.25">
      <c r="A38" s="277"/>
      <c r="B38" s="277" t="s">
        <v>1113</v>
      </c>
      <c r="C38" s="277"/>
      <c r="D38" s="277"/>
      <c r="E38" s="277"/>
      <c r="F38" s="277"/>
      <c r="G38" s="277"/>
      <c r="H38" s="277"/>
      <c r="I38" s="277"/>
      <c r="J38" s="277"/>
      <c r="K38" s="277"/>
      <c r="L38" s="277"/>
      <c r="M38" s="277"/>
      <c r="N38" s="277"/>
      <c r="O38" s="277"/>
      <c r="P38" s="277"/>
      <c r="Q38" s="277"/>
      <c r="R38" s="277"/>
      <c r="S38" s="277"/>
      <c r="T38" s="277"/>
      <c r="U38" s="277"/>
      <c r="V38" s="277"/>
      <c r="W38" s="277"/>
    </row>
    <row r="39" spans="1:23" x14ac:dyDescent="0.25">
      <c r="A39" s="277" t="s">
        <v>926</v>
      </c>
      <c r="B39" s="277"/>
      <c r="C39" s="277">
        <v>0</v>
      </c>
      <c r="D39" s="277"/>
      <c r="E39" s="277"/>
      <c r="F39" s="277"/>
      <c r="G39" s="277"/>
      <c r="H39" s="277"/>
      <c r="I39" s="277"/>
      <c r="J39" s="277"/>
      <c r="K39" s="277"/>
      <c r="L39" s="277"/>
      <c r="M39" s="277"/>
      <c r="N39" s="277"/>
      <c r="O39" s="277"/>
      <c r="P39" s="277"/>
      <c r="Q39" s="277"/>
      <c r="R39" s="277"/>
      <c r="S39" s="277"/>
      <c r="T39" s="277"/>
      <c r="U39" s="277"/>
      <c r="V39" s="277"/>
      <c r="W39" s="277"/>
    </row>
    <row r="40" spans="1:23" x14ac:dyDescent="0.25">
      <c r="A40" s="286"/>
      <c r="B40" s="286" t="s">
        <v>1010</v>
      </c>
      <c r="C40" s="286"/>
      <c r="D40" s="286"/>
      <c r="E40" s="286"/>
      <c r="F40" s="286"/>
      <c r="G40" s="286"/>
      <c r="H40" s="286"/>
      <c r="I40" s="286"/>
      <c r="J40" s="286"/>
      <c r="K40" s="286"/>
      <c r="L40" s="286"/>
      <c r="M40" s="286"/>
      <c r="N40" s="286"/>
      <c r="O40" s="286"/>
      <c r="P40" s="286"/>
      <c r="Q40" s="286"/>
      <c r="R40" s="286"/>
      <c r="S40" s="286"/>
      <c r="T40" s="286"/>
      <c r="U40" s="286"/>
      <c r="V40" s="286"/>
      <c r="W40" s="286"/>
    </row>
    <row r="41" spans="1:23" x14ac:dyDescent="0.25">
      <c r="A41" s="278"/>
      <c r="B41" s="278" t="s">
        <v>203</v>
      </c>
      <c r="C41" s="281" t="s">
        <v>202</v>
      </c>
      <c r="D41" s="285" t="s">
        <v>149</v>
      </c>
      <c r="E41" s="285" t="s">
        <v>1166</v>
      </c>
      <c r="F41" s="281" t="s">
        <v>203</v>
      </c>
      <c r="G41" s="285" t="s">
        <v>1171</v>
      </c>
      <c r="H41" s="285" t="s">
        <v>149</v>
      </c>
      <c r="I41" s="285" t="s">
        <v>1167</v>
      </c>
      <c r="J41" s="281" t="s">
        <v>203</v>
      </c>
      <c r="K41" s="285" t="s">
        <v>1171</v>
      </c>
      <c r="L41" s="285" t="s">
        <v>149</v>
      </c>
      <c r="M41" s="285" t="s">
        <v>1168</v>
      </c>
      <c r="N41" s="281" t="s">
        <v>203</v>
      </c>
      <c r="O41" s="285" t="s">
        <v>1171</v>
      </c>
      <c r="P41" s="285" t="s">
        <v>149</v>
      </c>
      <c r="Q41" s="285" t="s">
        <v>1169</v>
      </c>
      <c r="R41" s="281" t="s">
        <v>203</v>
      </c>
      <c r="S41" s="285" t="s">
        <v>1171</v>
      </c>
      <c r="T41" s="285" t="s">
        <v>149</v>
      </c>
      <c r="U41" s="285" t="s">
        <v>1170</v>
      </c>
      <c r="V41" s="281" t="s">
        <v>203</v>
      </c>
      <c r="W41" s="285" t="s">
        <v>1171</v>
      </c>
    </row>
    <row r="42" spans="1:23" x14ac:dyDescent="0.25">
      <c r="A42" s="284" t="s">
        <v>1176</v>
      </c>
      <c r="B42" s="284"/>
      <c r="C42" s="279">
        <f>((D42*G42)+(K42*H42)+(O42*L42)+(S42*P42)+(W42*T42))</f>
        <v>165</v>
      </c>
      <c r="D42" s="282">
        <v>11</v>
      </c>
      <c r="E42" s="283">
        <v>38</v>
      </c>
      <c r="F42" s="59" t="str">
        <f t="shared" ref="F42" si="3">VLOOKUP(E42,LISTAITEMS,2,FALSE)</f>
        <v>Poppy</v>
      </c>
      <c r="G42" s="280">
        <f>VLOOKUP(E42,LISTAITEMS,5,FALSE)</f>
        <v>7.5</v>
      </c>
      <c r="H42" s="282">
        <v>11</v>
      </c>
      <c r="I42" s="283">
        <v>37</v>
      </c>
      <c r="J42" s="59" t="str">
        <f t="shared" ref="J42" si="4">VLOOKUP(I42,LISTAITEMS,2,FALSE)</f>
        <v>Dandilion</v>
      </c>
      <c r="K42" s="280">
        <f>VLOOKUP(I42,LISTAITEMS,5,FALSE)</f>
        <v>7.5</v>
      </c>
      <c r="L42" s="282">
        <v>0</v>
      </c>
      <c r="M42" s="283" t="s">
        <v>926</v>
      </c>
      <c r="N42" s="59" t="str">
        <f t="shared" ref="N42" si="5">VLOOKUP(M42,LISTAITEMS,2,FALSE)</f>
        <v>ninguno</v>
      </c>
      <c r="O42" s="280">
        <f>VLOOKUP(M42,LISTAITEMS,5,FALSE)</f>
        <v>0</v>
      </c>
      <c r="P42" s="282">
        <v>0</v>
      </c>
      <c r="Q42" s="283" t="s">
        <v>926</v>
      </c>
      <c r="R42" s="59" t="str">
        <f t="shared" ref="R42" si="6">VLOOKUP(Q42,LISTAITEMS,2,FALSE)</f>
        <v>ninguno</v>
      </c>
      <c r="S42" s="280">
        <f>VLOOKUP(Q42,LISTAITEMS,5,FALSE)</f>
        <v>0</v>
      </c>
      <c r="T42" s="282">
        <v>0</v>
      </c>
      <c r="U42" s="283" t="s">
        <v>926</v>
      </c>
      <c r="V42" s="59" t="str">
        <f t="shared" ref="V42" si="7">VLOOKUP(U42,LISTAITEMS,2,FALSE)</f>
        <v>ninguno</v>
      </c>
      <c r="W42" s="280">
        <f>VLOOKUP(U42,LISTAITEMS,5,FALSE)</f>
        <v>0</v>
      </c>
    </row>
    <row r="43" spans="1:23" s="275" customFormat="1" x14ac:dyDescent="0.25">
      <c r="A43" s="284" t="s">
        <v>1191</v>
      </c>
      <c r="B43" s="284"/>
      <c r="C43" s="279">
        <f>((D43*G43)+(K43*H43)+(O43*L43)+(S43*P43)+(W43*T43))</f>
        <v>247.5</v>
      </c>
      <c r="D43" s="282">
        <v>11</v>
      </c>
      <c r="E43" s="283">
        <v>38</v>
      </c>
      <c r="F43" s="59" t="str">
        <f t="shared" ref="F43" si="8">VLOOKUP(E43,LISTAITEMS,2,FALSE)</f>
        <v>Poppy</v>
      </c>
      <c r="G43" s="280">
        <f>VLOOKUP(E43,LISTAITEMS,5,FALSE)</f>
        <v>7.5</v>
      </c>
      <c r="H43" s="282">
        <v>11</v>
      </c>
      <c r="I43" s="283">
        <v>352</v>
      </c>
      <c r="J43" s="59" t="str">
        <f t="shared" ref="J43" si="9">VLOOKUP(I43,LISTAITEMS,2,FALSE)</f>
        <v xml:space="preserve">Bone  </v>
      </c>
      <c r="K43" s="280">
        <f>VLOOKUP(I43,LISTAITEMS,5,FALSE)</f>
        <v>7.5</v>
      </c>
      <c r="L43" s="282">
        <v>11</v>
      </c>
      <c r="M43" s="283" t="s">
        <v>287</v>
      </c>
      <c r="N43" s="59" t="str">
        <f t="shared" ref="N43" si="10">VLOOKUP(M43,LISTAITEMS,2,FALSE)</f>
        <v>Blue Orchid</v>
      </c>
      <c r="O43" s="280">
        <f>VLOOKUP(M43,LISTAITEMS,5,FALSE)</f>
        <v>7.5</v>
      </c>
      <c r="P43" s="282">
        <v>0</v>
      </c>
      <c r="Q43" s="283" t="s">
        <v>926</v>
      </c>
      <c r="R43" s="59" t="str">
        <f t="shared" ref="R43" si="11">VLOOKUP(Q43,LISTAITEMS,2,FALSE)</f>
        <v>ninguno</v>
      </c>
      <c r="S43" s="280">
        <f>VLOOKUP(Q43,LISTAITEMS,5,FALSE)</f>
        <v>0</v>
      </c>
      <c r="T43" s="282">
        <v>0</v>
      </c>
      <c r="U43" s="283" t="s">
        <v>926</v>
      </c>
      <c r="V43" s="59" t="str">
        <f t="shared" ref="V43" si="12">VLOOKUP(U43,LISTAITEMS,2,FALSE)</f>
        <v>ninguno</v>
      </c>
      <c r="W43" s="280">
        <f>VLOOKUP(U43,LISTAITEMS,5,FALSE)</f>
        <v>0</v>
      </c>
    </row>
    <row r="52" spans="1:23" s="275" customFormat="1" x14ac:dyDescent="0.25">
      <c r="A52" s="277"/>
      <c r="B52" s="277" t="s">
        <v>1115</v>
      </c>
      <c r="C52" s="277"/>
      <c r="D52" s="277"/>
      <c r="E52" s="277"/>
      <c r="F52" s="277"/>
      <c r="G52" s="277"/>
      <c r="H52" s="277"/>
      <c r="I52" s="277"/>
      <c r="J52" s="277"/>
      <c r="K52" s="277"/>
      <c r="L52" s="277"/>
      <c r="M52" s="277"/>
      <c r="N52" s="277"/>
      <c r="O52" s="277"/>
      <c r="P52" s="277"/>
      <c r="Q52" s="277"/>
      <c r="R52" s="277"/>
      <c r="S52" s="277"/>
      <c r="T52" s="277"/>
      <c r="U52" s="277"/>
      <c r="V52" s="277"/>
      <c r="W52" s="277"/>
    </row>
    <row r="53" spans="1:23" x14ac:dyDescent="0.25">
      <c r="A53" s="277"/>
      <c r="B53" s="277"/>
      <c r="C53" s="277"/>
      <c r="D53" s="277"/>
      <c r="E53" s="277"/>
      <c r="F53" s="277"/>
      <c r="G53" s="277"/>
      <c r="H53" s="277"/>
      <c r="I53" s="277"/>
      <c r="J53" s="277"/>
      <c r="K53" s="277"/>
      <c r="L53" s="277"/>
      <c r="M53" s="277"/>
      <c r="N53" s="277"/>
      <c r="O53" s="277"/>
      <c r="P53" s="277"/>
      <c r="Q53" s="277"/>
      <c r="R53" s="277"/>
      <c r="S53" s="277"/>
      <c r="T53" s="277"/>
      <c r="U53" s="277"/>
      <c r="V53" s="277"/>
      <c r="W53" s="277"/>
    </row>
    <row r="54" spans="1:23" x14ac:dyDescent="0.25">
      <c r="A54" s="286"/>
      <c r="B54" s="286" t="s">
        <v>1010</v>
      </c>
      <c r="C54" s="286"/>
      <c r="D54" s="286"/>
      <c r="E54" s="286"/>
      <c r="F54" s="286"/>
      <c r="G54" s="286"/>
      <c r="H54" s="286"/>
      <c r="I54" s="286"/>
      <c r="J54" s="286"/>
      <c r="K54" s="286"/>
      <c r="L54" s="286"/>
      <c r="M54" s="286"/>
      <c r="N54" s="286"/>
      <c r="O54" s="286"/>
      <c r="P54" s="286"/>
      <c r="Q54" s="286"/>
      <c r="R54" s="286"/>
      <c r="S54" s="286"/>
      <c r="T54" s="286"/>
      <c r="U54" s="286"/>
      <c r="V54" s="286"/>
      <c r="W54" s="286"/>
    </row>
    <row r="55" spans="1:23" x14ac:dyDescent="0.25">
      <c r="A55" s="278"/>
      <c r="B55" s="278" t="s">
        <v>203</v>
      </c>
      <c r="C55" s="281" t="s">
        <v>202</v>
      </c>
      <c r="D55" s="285" t="s">
        <v>149</v>
      </c>
      <c r="E55" s="285" t="s">
        <v>1184</v>
      </c>
      <c r="F55" s="285" t="s">
        <v>1171</v>
      </c>
      <c r="G55" s="285" t="s">
        <v>149</v>
      </c>
      <c r="H55" s="285" t="s">
        <v>1185</v>
      </c>
      <c r="I55" s="285" t="s">
        <v>1171</v>
      </c>
      <c r="J55" s="285" t="s">
        <v>149</v>
      </c>
      <c r="K55" s="285" t="s">
        <v>1186</v>
      </c>
      <c r="L55" s="285" t="s">
        <v>1171</v>
      </c>
      <c r="M55" s="285" t="s">
        <v>149</v>
      </c>
      <c r="N55" s="285" t="s">
        <v>1187</v>
      </c>
      <c r="O55" s="285" t="s">
        <v>1171</v>
      </c>
      <c r="P55" s="285" t="s">
        <v>149</v>
      </c>
      <c r="Q55" s="285" t="s">
        <v>1188</v>
      </c>
      <c r="R55" s="285" t="s">
        <v>1171</v>
      </c>
    </row>
    <row r="56" spans="1:23" x14ac:dyDescent="0.25">
      <c r="A56" s="284" t="s">
        <v>1177</v>
      </c>
      <c r="B56" s="284"/>
      <c r="C56" s="279">
        <f>((F56*D56)+(I56*G56)+(L56*J56)+(O56*M56)+(R56*P56))</f>
        <v>509</v>
      </c>
      <c r="D56" s="282">
        <v>1</v>
      </c>
      <c r="E56" s="283" t="s">
        <v>1176</v>
      </c>
      <c r="F56" s="280">
        <f>VLOOKUP(E56,craftedesp,3,FALSE)</f>
        <v>165</v>
      </c>
      <c r="G56" s="282">
        <v>1</v>
      </c>
      <c r="H56" s="283" t="s">
        <v>1178</v>
      </c>
      <c r="I56" s="280">
        <f>VLOOKUP(H56,craftedesp,3,FALSE)</f>
        <v>344</v>
      </c>
      <c r="J56" s="282">
        <v>1</v>
      </c>
      <c r="K56" s="283" t="s">
        <v>926</v>
      </c>
      <c r="L56" s="280">
        <f>VLOOKUP(K56,craftedesp,3,FALSE)</f>
        <v>0</v>
      </c>
      <c r="M56" s="282">
        <v>1</v>
      </c>
      <c r="N56" s="283" t="s">
        <v>926</v>
      </c>
      <c r="O56" s="280">
        <f>VLOOKUP(N56,craftedesp,3,FALSE)</f>
        <v>0</v>
      </c>
      <c r="P56" s="282">
        <v>1</v>
      </c>
      <c r="Q56" s="283" t="s">
        <v>926</v>
      </c>
      <c r="R56" s="280">
        <f>VLOOKUP(Q56,craftedesp,3,FALSE)</f>
        <v>0</v>
      </c>
    </row>
    <row r="57" spans="1:23" s="275" customFormat="1" x14ac:dyDescent="0.25">
      <c r="A57" s="284" t="s">
        <v>1175</v>
      </c>
      <c r="B57" s="284"/>
      <c r="C57" s="279">
        <f>((F57*D57)+(I57*G57)+(L57*J57)+(O57*M57)+(R57*P57))</f>
        <v>591.5</v>
      </c>
      <c r="D57" s="282">
        <v>1</v>
      </c>
      <c r="E57" s="283" t="s">
        <v>1191</v>
      </c>
      <c r="F57" s="280">
        <f>VLOOKUP(E57,craftedesp,3,FALSE)</f>
        <v>247.5</v>
      </c>
      <c r="G57" s="282">
        <v>1</v>
      </c>
      <c r="H57" s="283" t="s">
        <v>1178</v>
      </c>
      <c r="I57" s="280">
        <f>VLOOKUP(H57,craftedesp,3,FALSE)</f>
        <v>344</v>
      </c>
      <c r="J57" s="282">
        <v>1</v>
      </c>
      <c r="K57" s="283" t="s">
        <v>926</v>
      </c>
      <c r="L57" s="280">
        <f>VLOOKUP(K57,craftedesp,3,FALSE)</f>
        <v>0</v>
      </c>
      <c r="M57" s="282">
        <v>1</v>
      </c>
      <c r="N57" s="283" t="s">
        <v>926</v>
      </c>
      <c r="O57" s="280">
        <f>VLOOKUP(N57,craftedesp,3,FALSE)</f>
        <v>0</v>
      </c>
      <c r="P57" s="282">
        <v>1</v>
      </c>
      <c r="Q57" s="283" t="s">
        <v>926</v>
      </c>
      <c r="R57" s="280">
        <f>VLOOKUP(Q57,craftedesp,3,FALSE)</f>
        <v>0</v>
      </c>
    </row>
    <row r="65" spans="1:23" x14ac:dyDescent="0.25">
      <c r="A65" s="277"/>
      <c r="B65" s="277" t="s">
        <v>1114</v>
      </c>
      <c r="C65" s="277"/>
      <c r="D65" s="277"/>
      <c r="E65" s="277"/>
      <c r="F65" s="277"/>
      <c r="G65" s="277"/>
      <c r="H65" s="277"/>
      <c r="I65" s="277"/>
      <c r="J65" s="277"/>
      <c r="K65" s="277"/>
      <c r="L65" s="277"/>
      <c r="M65" s="277"/>
      <c r="N65" s="277"/>
      <c r="O65" s="277"/>
      <c r="P65" s="277"/>
      <c r="Q65" s="277"/>
      <c r="R65" s="277"/>
      <c r="S65" s="277"/>
      <c r="T65" s="277"/>
      <c r="U65" s="277"/>
      <c r="V65" s="277"/>
      <c r="W65" s="277"/>
    </row>
    <row r="66" spans="1:23" x14ac:dyDescent="0.25">
      <c r="A66" s="277"/>
      <c r="B66" s="277"/>
      <c r="C66" s="277"/>
      <c r="D66" s="277"/>
      <c r="E66" s="277"/>
      <c r="F66" s="277"/>
      <c r="G66" s="277"/>
      <c r="H66" s="277"/>
      <c r="I66" s="277"/>
      <c r="J66" s="277"/>
      <c r="K66" s="277"/>
      <c r="L66" s="277"/>
      <c r="M66" s="277"/>
      <c r="N66" s="277"/>
      <c r="O66" s="277"/>
      <c r="P66" s="277"/>
      <c r="Q66" s="277"/>
      <c r="R66" s="277"/>
      <c r="S66" s="277"/>
      <c r="T66" s="277"/>
      <c r="U66" s="277"/>
      <c r="V66" s="277"/>
      <c r="W66" s="277"/>
    </row>
    <row r="67" spans="1:23" x14ac:dyDescent="0.25">
      <c r="A67" s="286"/>
      <c r="B67" s="286" t="s">
        <v>1010</v>
      </c>
      <c r="C67" s="286"/>
      <c r="D67" s="286"/>
      <c r="E67" s="286"/>
      <c r="F67" s="286"/>
      <c r="G67" s="286"/>
      <c r="H67" s="286"/>
      <c r="I67" s="286"/>
      <c r="J67" s="286"/>
      <c r="K67" s="286"/>
      <c r="L67" s="286"/>
      <c r="M67" s="286"/>
      <c r="N67" s="286"/>
      <c r="O67" s="286"/>
      <c r="P67" s="286"/>
      <c r="Q67" s="286"/>
      <c r="R67" s="286"/>
      <c r="S67" s="286"/>
      <c r="T67" s="286"/>
      <c r="U67" s="286"/>
      <c r="V67" s="286"/>
      <c r="W67" s="286"/>
    </row>
    <row r="68" spans="1:23" x14ac:dyDescent="0.25">
      <c r="A68" s="278"/>
      <c r="B68" s="278" t="s">
        <v>203</v>
      </c>
      <c r="C68" s="281" t="s">
        <v>202</v>
      </c>
      <c r="D68" s="285" t="s">
        <v>149</v>
      </c>
      <c r="E68" s="285" t="s">
        <v>1166</v>
      </c>
      <c r="F68" s="281" t="s">
        <v>203</v>
      </c>
      <c r="G68" s="285" t="s">
        <v>1171</v>
      </c>
      <c r="H68" s="285" t="s">
        <v>149</v>
      </c>
      <c r="I68" s="285" t="s">
        <v>1167</v>
      </c>
      <c r="J68" s="281" t="s">
        <v>203</v>
      </c>
      <c r="K68" s="285" t="s">
        <v>1171</v>
      </c>
      <c r="L68" s="285" t="s">
        <v>149</v>
      </c>
      <c r="M68" s="285" t="s">
        <v>1168</v>
      </c>
      <c r="N68" s="281" t="s">
        <v>203</v>
      </c>
      <c r="O68" s="285" t="s">
        <v>1171</v>
      </c>
      <c r="P68" s="285" t="s">
        <v>149</v>
      </c>
      <c r="Q68" s="285" t="s">
        <v>1169</v>
      </c>
      <c r="R68" s="281" t="s">
        <v>203</v>
      </c>
      <c r="S68" s="285" t="s">
        <v>1171</v>
      </c>
      <c r="T68" s="285" t="s">
        <v>149</v>
      </c>
      <c r="U68" s="285" t="s">
        <v>1170</v>
      </c>
      <c r="V68" s="281" t="s">
        <v>203</v>
      </c>
      <c r="W68" s="285" t="s">
        <v>1171</v>
      </c>
    </row>
    <row r="69" spans="1:23" x14ac:dyDescent="0.25">
      <c r="A69" s="284" t="s">
        <v>1165</v>
      </c>
      <c r="B69" s="284"/>
      <c r="C69" s="279">
        <f>((D69*G69)+(K69*H69)+(O69*L69)+(S69*P69)+(W69*T69))</f>
        <v>0</v>
      </c>
      <c r="D69" s="282">
        <v>0</v>
      </c>
      <c r="E69" s="283" t="s">
        <v>926</v>
      </c>
      <c r="F69" s="59" t="str">
        <f t="shared" ref="F69" si="13">VLOOKUP(E69,LISTAITEMS,2,FALSE)</f>
        <v>ninguno</v>
      </c>
      <c r="G69" s="280">
        <f>VLOOKUP(E69,LISTAITEMS,5,FALSE)</f>
        <v>0</v>
      </c>
      <c r="H69" s="282">
        <v>0</v>
      </c>
      <c r="I69" s="283" t="s">
        <v>926</v>
      </c>
      <c r="J69" s="59" t="str">
        <f t="shared" ref="J69" si="14">VLOOKUP(I69,LISTAITEMS,2,FALSE)</f>
        <v>ninguno</v>
      </c>
      <c r="K69" s="280">
        <f>VLOOKUP(I69,LISTAITEMS,5,FALSE)</f>
        <v>0</v>
      </c>
      <c r="L69" s="282">
        <v>0</v>
      </c>
      <c r="M69" s="283" t="s">
        <v>926</v>
      </c>
      <c r="N69" s="59" t="str">
        <f t="shared" ref="N69" si="15">VLOOKUP(M69,LISTAITEMS,2,FALSE)</f>
        <v>ninguno</v>
      </c>
      <c r="O69" s="280">
        <f>VLOOKUP(M69,LISTAITEMS,5,FALSE)</f>
        <v>0</v>
      </c>
      <c r="P69" s="282">
        <v>0</v>
      </c>
      <c r="Q69" s="283" t="s">
        <v>926</v>
      </c>
      <c r="R69" s="59" t="str">
        <f t="shared" ref="R69" si="16">VLOOKUP(Q69,LISTAITEMS,2,FALSE)</f>
        <v>ninguno</v>
      </c>
      <c r="S69" s="280">
        <f>VLOOKUP(Q69,LISTAITEMS,5,FALSE)</f>
        <v>0</v>
      </c>
      <c r="T69" s="282">
        <v>0</v>
      </c>
      <c r="U69" s="283" t="s">
        <v>926</v>
      </c>
      <c r="V69" s="59" t="str">
        <f t="shared" ref="V69" si="17">VLOOKUP(U69,LISTAITEMS,2,FALSE)</f>
        <v>ninguno</v>
      </c>
      <c r="W69" s="280">
        <f>VLOOKUP(U69,LISTAITEMS,5,FALSE)</f>
        <v>0</v>
      </c>
    </row>
    <row r="79" spans="1:23" x14ac:dyDescent="0.25">
      <c r="A79" s="277"/>
      <c r="B79" s="277" t="s">
        <v>1144</v>
      </c>
      <c r="C79" s="277"/>
      <c r="D79" s="277"/>
      <c r="E79" s="277"/>
      <c r="F79" s="277"/>
      <c r="G79" s="277"/>
      <c r="H79" s="277"/>
      <c r="I79" s="277"/>
      <c r="J79" s="277"/>
      <c r="K79" s="277"/>
      <c r="L79" s="277"/>
      <c r="M79" s="277"/>
      <c r="N79" s="277"/>
      <c r="O79" s="277"/>
      <c r="P79" s="277"/>
      <c r="Q79" s="277"/>
      <c r="R79" s="277"/>
      <c r="S79" s="277"/>
      <c r="T79" s="277"/>
      <c r="U79" s="277"/>
      <c r="V79" s="277"/>
      <c r="W79" s="277"/>
    </row>
    <row r="80" spans="1:23" x14ac:dyDescent="0.25">
      <c r="A80" s="277"/>
      <c r="B80" s="277"/>
      <c r="C80" s="277"/>
      <c r="D80" s="277"/>
      <c r="E80" s="277"/>
      <c r="F80" s="277"/>
      <c r="G80" s="277"/>
      <c r="H80" s="277"/>
      <c r="I80" s="277"/>
      <c r="J80" s="277"/>
      <c r="K80" s="277"/>
      <c r="L80" s="277"/>
      <c r="M80" s="277"/>
      <c r="N80" s="277"/>
      <c r="O80" s="277"/>
      <c r="P80" s="277"/>
      <c r="Q80" s="277"/>
      <c r="R80" s="277"/>
      <c r="S80" s="277"/>
      <c r="T80" s="277"/>
      <c r="U80" s="277"/>
      <c r="V80" s="277"/>
      <c r="W80" s="277"/>
    </row>
    <row r="81" spans="1:23" x14ac:dyDescent="0.25">
      <c r="A81" s="286"/>
      <c r="B81" s="286" t="s">
        <v>1010</v>
      </c>
      <c r="C81" s="286"/>
      <c r="D81" s="286"/>
      <c r="E81" s="286"/>
      <c r="F81" s="286"/>
      <c r="G81" s="286"/>
      <c r="H81" s="286"/>
      <c r="I81" s="286"/>
      <c r="J81" s="286"/>
      <c r="K81" s="286"/>
      <c r="L81" s="286"/>
      <c r="M81" s="286"/>
      <c r="N81" s="286"/>
      <c r="O81" s="286"/>
      <c r="P81" s="286"/>
      <c r="Q81" s="286"/>
      <c r="R81" s="286"/>
      <c r="S81" s="286"/>
      <c r="T81" s="286"/>
      <c r="U81" s="286"/>
      <c r="V81" s="286"/>
      <c r="W81" s="286"/>
    </row>
    <row r="82" spans="1:23" x14ac:dyDescent="0.25">
      <c r="A82" s="278"/>
      <c r="B82" s="278" t="s">
        <v>203</v>
      </c>
      <c r="C82" s="281" t="s">
        <v>202</v>
      </c>
      <c r="D82" s="285" t="s">
        <v>149</v>
      </c>
      <c r="E82" s="285" t="s">
        <v>1166</v>
      </c>
      <c r="F82" s="281" t="s">
        <v>203</v>
      </c>
      <c r="G82" s="285" t="s">
        <v>1171</v>
      </c>
      <c r="H82" s="285" t="s">
        <v>149</v>
      </c>
      <c r="I82" s="285" t="s">
        <v>1167</v>
      </c>
      <c r="J82" s="281" t="s">
        <v>203</v>
      </c>
      <c r="K82" s="285" t="s">
        <v>1171</v>
      </c>
      <c r="L82" s="285" t="s">
        <v>149</v>
      </c>
      <c r="M82" s="285" t="s">
        <v>1168</v>
      </c>
      <c r="N82" s="281" t="s">
        <v>203</v>
      </c>
      <c r="O82" s="285" t="s">
        <v>1171</v>
      </c>
      <c r="P82" s="285" t="s">
        <v>149</v>
      </c>
      <c r="Q82" s="285" t="s">
        <v>1169</v>
      </c>
      <c r="R82" s="281" t="s">
        <v>203</v>
      </c>
      <c r="S82" s="285" t="s">
        <v>1171</v>
      </c>
      <c r="T82" s="285" t="s">
        <v>149</v>
      </c>
      <c r="U82" s="285" t="s">
        <v>1170</v>
      </c>
      <c r="V82" s="281" t="s">
        <v>203</v>
      </c>
      <c r="W82" s="285" t="s">
        <v>1171</v>
      </c>
    </row>
    <row r="83" spans="1:23" x14ac:dyDescent="0.25">
      <c r="A83" s="284" t="s">
        <v>1165</v>
      </c>
      <c r="B83" s="284"/>
      <c r="C83" s="279">
        <f>((D83*G83)+(K83*H83)+(O83*L83)+(S83*P83)+(W83*T83))</f>
        <v>0</v>
      </c>
      <c r="D83" s="282">
        <v>0</v>
      </c>
      <c r="E83" s="283" t="s">
        <v>926</v>
      </c>
      <c r="F83" s="59" t="str">
        <f t="shared" ref="F83" si="18">VLOOKUP(E83,LISTAITEMS,2,FALSE)</f>
        <v>ninguno</v>
      </c>
      <c r="G83" s="280">
        <f>VLOOKUP(E83,LISTAITEMS,5,FALSE)</f>
        <v>0</v>
      </c>
      <c r="H83" s="282">
        <v>0</v>
      </c>
      <c r="I83" s="283" t="s">
        <v>926</v>
      </c>
      <c r="J83" s="59" t="str">
        <f t="shared" ref="J83" si="19">VLOOKUP(I83,LISTAITEMS,2,FALSE)</f>
        <v>ninguno</v>
      </c>
      <c r="K83" s="280">
        <f>VLOOKUP(I83,LISTAITEMS,5,FALSE)</f>
        <v>0</v>
      </c>
      <c r="L83" s="282">
        <v>0</v>
      </c>
      <c r="M83" s="283" t="s">
        <v>926</v>
      </c>
      <c r="N83" s="59" t="str">
        <f t="shared" ref="N83" si="20">VLOOKUP(M83,LISTAITEMS,2,FALSE)</f>
        <v>ninguno</v>
      </c>
      <c r="O83" s="280">
        <f>VLOOKUP(M83,LISTAITEMS,5,FALSE)</f>
        <v>0</v>
      </c>
      <c r="P83" s="282">
        <v>0</v>
      </c>
      <c r="Q83" s="283" t="s">
        <v>926</v>
      </c>
      <c r="R83" s="59" t="str">
        <f t="shared" ref="R83" si="21">VLOOKUP(Q83,LISTAITEMS,2,FALSE)</f>
        <v>ninguno</v>
      </c>
      <c r="S83" s="280">
        <f>VLOOKUP(Q83,LISTAITEMS,5,FALSE)</f>
        <v>0</v>
      </c>
      <c r="T83" s="282">
        <v>0</v>
      </c>
      <c r="U83" s="283" t="s">
        <v>926</v>
      </c>
      <c r="V83" s="59" t="str">
        <f t="shared" ref="V83" si="22">VLOOKUP(U83,LISTAITEMS,2,FALSE)</f>
        <v>ninguno</v>
      </c>
      <c r="W83" s="280">
        <f>VLOOKUP(U83,LISTAITEMS,5,FALSE)</f>
        <v>0</v>
      </c>
    </row>
    <row r="92" spans="1:23" x14ac:dyDescent="0.25">
      <c r="A92" s="277" t="s">
        <v>1116</v>
      </c>
      <c r="B92" s="277"/>
      <c r="C92" s="277"/>
      <c r="D92" s="277"/>
      <c r="E92" s="277"/>
      <c r="F92" s="277"/>
      <c r="G92" s="277"/>
      <c r="H92" s="277"/>
      <c r="I92" s="277"/>
      <c r="J92" s="277"/>
      <c r="K92" s="277"/>
      <c r="L92" s="277"/>
      <c r="M92" s="277"/>
      <c r="N92" s="277"/>
      <c r="O92" s="277"/>
      <c r="P92" s="277"/>
      <c r="Q92" s="277"/>
      <c r="R92" s="277"/>
      <c r="S92" s="277"/>
      <c r="T92" s="277"/>
      <c r="U92" s="277"/>
      <c r="V92" s="277"/>
      <c r="W92" s="277"/>
    </row>
    <row r="93" spans="1:23" x14ac:dyDescent="0.25">
      <c r="A93" s="277"/>
      <c r="B93" s="277"/>
      <c r="C93" s="277"/>
      <c r="D93" s="277"/>
      <c r="E93" s="277"/>
      <c r="F93" s="277"/>
      <c r="G93" s="277"/>
      <c r="H93" s="277"/>
      <c r="I93" s="277"/>
      <c r="J93" s="277"/>
      <c r="K93" s="277"/>
      <c r="L93" s="277"/>
      <c r="M93" s="277"/>
      <c r="N93" s="277"/>
      <c r="O93" s="277"/>
      <c r="P93" s="277"/>
      <c r="Q93" s="277"/>
      <c r="R93" s="277"/>
      <c r="S93" s="277"/>
      <c r="T93" s="277"/>
      <c r="U93" s="277"/>
      <c r="V93" s="277"/>
      <c r="W93" s="277"/>
    </row>
    <row r="94" spans="1:23" x14ac:dyDescent="0.25">
      <c r="A94" s="286"/>
      <c r="B94" s="286" t="s">
        <v>1010</v>
      </c>
      <c r="C94" s="286"/>
      <c r="D94" s="286"/>
      <c r="E94" s="286"/>
      <c r="F94" s="286"/>
      <c r="G94" s="286"/>
      <c r="H94" s="286"/>
      <c r="I94" s="286"/>
      <c r="J94" s="286"/>
      <c r="K94" s="286"/>
      <c r="L94" s="286"/>
      <c r="M94" s="286"/>
      <c r="N94" s="286"/>
      <c r="O94" s="286"/>
      <c r="P94" s="286"/>
      <c r="Q94" s="286"/>
      <c r="R94" s="286"/>
      <c r="S94" s="286"/>
      <c r="T94" s="286"/>
      <c r="U94" s="286"/>
      <c r="V94" s="286"/>
      <c r="W94" s="286"/>
    </row>
    <row r="95" spans="1:23" x14ac:dyDescent="0.25">
      <c r="A95" s="278"/>
      <c r="B95" s="278" t="s">
        <v>203</v>
      </c>
      <c r="C95" s="281" t="s">
        <v>202</v>
      </c>
      <c r="D95" s="285" t="s">
        <v>149</v>
      </c>
      <c r="E95" s="285" t="s">
        <v>1166</v>
      </c>
      <c r="F95" s="281" t="s">
        <v>203</v>
      </c>
      <c r="G95" s="285" t="s">
        <v>1171</v>
      </c>
      <c r="H95" s="285" t="s">
        <v>149</v>
      </c>
      <c r="I95" s="285" t="s">
        <v>1167</v>
      </c>
      <c r="J95" s="281" t="s">
        <v>203</v>
      </c>
      <c r="K95" s="285" t="s">
        <v>1171</v>
      </c>
      <c r="L95" s="285" t="s">
        <v>149</v>
      </c>
      <c r="M95" s="285" t="s">
        <v>1168</v>
      </c>
      <c r="N95" s="281" t="s">
        <v>203</v>
      </c>
      <c r="O95" s="285" t="s">
        <v>1171</v>
      </c>
      <c r="P95" s="285" t="s">
        <v>149</v>
      </c>
      <c r="Q95" s="285" t="s">
        <v>1169</v>
      </c>
      <c r="R95" s="281" t="s">
        <v>203</v>
      </c>
      <c r="S95" s="285" t="s">
        <v>1171</v>
      </c>
      <c r="T95" s="285" t="s">
        <v>149</v>
      </c>
      <c r="U95" s="285" t="s">
        <v>1170</v>
      </c>
      <c r="V95" s="281" t="s">
        <v>203</v>
      </c>
      <c r="W95" s="285" t="s">
        <v>1171</v>
      </c>
    </row>
    <row r="96" spans="1:23" x14ac:dyDescent="0.25">
      <c r="A96" s="284" t="s">
        <v>1165</v>
      </c>
      <c r="B96" s="284"/>
      <c r="C96" s="279">
        <f>((D96*G96)+(K96*H96)+(O96*L96)+(S96*P96)+(W96*T96))</f>
        <v>0</v>
      </c>
      <c r="D96" s="282">
        <v>0</v>
      </c>
      <c r="E96" s="283" t="s">
        <v>926</v>
      </c>
      <c r="F96" s="59" t="str">
        <f t="shared" ref="F96" si="23">VLOOKUP(E96,LISTAITEMS,2,FALSE)</f>
        <v>ninguno</v>
      </c>
      <c r="G96" s="280">
        <f>VLOOKUP(E96,LISTAITEMS,5,FALSE)</f>
        <v>0</v>
      </c>
      <c r="H96" s="282">
        <v>0</v>
      </c>
      <c r="I96" s="283" t="s">
        <v>926</v>
      </c>
      <c r="J96" s="59" t="str">
        <f t="shared" ref="J96" si="24">VLOOKUP(I96,LISTAITEMS,2,FALSE)</f>
        <v>ninguno</v>
      </c>
      <c r="K96" s="280">
        <f>VLOOKUP(I96,LISTAITEMS,5,FALSE)</f>
        <v>0</v>
      </c>
      <c r="L96" s="282">
        <v>0</v>
      </c>
      <c r="M96" s="283" t="s">
        <v>926</v>
      </c>
      <c r="N96" s="59" t="str">
        <f t="shared" ref="N96" si="25">VLOOKUP(M96,LISTAITEMS,2,FALSE)</f>
        <v>ninguno</v>
      </c>
      <c r="O96" s="280">
        <f>VLOOKUP(M96,LISTAITEMS,5,FALSE)</f>
        <v>0</v>
      </c>
      <c r="P96" s="282">
        <v>0</v>
      </c>
      <c r="Q96" s="283" t="s">
        <v>926</v>
      </c>
      <c r="R96" s="59" t="str">
        <f t="shared" ref="R96" si="26">VLOOKUP(Q96,LISTAITEMS,2,FALSE)</f>
        <v>ninguno</v>
      </c>
      <c r="S96" s="280">
        <f>VLOOKUP(Q96,LISTAITEMS,5,FALSE)</f>
        <v>0</v>
      </c>
      <c r="T96" s="282">
        <v>0</v>
      </c>
      <c r="U96" s="283" t="s">
        <v>926</v>
      </c>
      <c r="V96" s="59" t="str">
        <f t="shared" ref="V96" si="27">VLOOKUP(U96,LISTAITEMS,2,FALSE)</f>
        <v>ninguno</v>
      </c>
      <c r="W96" s="280">
        <f>VLOOKUP(U96,LISTAITEMS,5,FALSE)</f>
        <v>0</v>
      </c>
    </row>
    <row r="107" spans="1:23" x14ac:dyDescent="0.25">
      <c r="A107" s="277" t="s">
        <v>1118</v>
      </c>
      <c r="B107" s="277"/>
      <c r="C107" s="277"/>
      <c r="D107" s="277"/>
      <c r="E107" s="277"/>
      <c r="F107" s="277"/>
      <c r="G107" s="277"/>
      <c r="H107" s="277"/>
      <c r="I107" s="277"/>
      <c r="J107" s="277"/>
      <c r="K107" s="277"/>
      <c r="L107" s="277"/>
      <c r="M107" s="277"/>
      <c r="N107" s="277"/>
      <c r="O107" s="277"/>
      <c r="P107" s="277"/>
      <c r="Q107" s="277"/>
      <c r="R107" s="277"/>
      <c r="S107" s="277"/>
      <c r="T107" s="277"/>
      <c r="U107" s="277"/>
      <c r="V107" s="277"/>
      <c r="W107" s="277"/>
    </row>
    <row r="108" spans="1:23" x14ac:dyDescent="0.25">
      <c r="A108" s="277"/>
      <c r="B108" s="277"/>
      <c r="C108" s="277"/>
      <c r="D108" s="277"/>
      <c r="E108" s="277"/>
      <c r="F108" s="277"/>
      <c r="G108" s="277"/>
      <c r="H108" s="277"/>
      <c r="I108" s="277"/>
      <c r="J108" s="277"/>
      <c r="K108" s="277"/>
      <c r="L108" s="277"/>
      <c r="M108" s="277"/>
      <c r="N108" s="277"/>
      <c r="O108" s="277"/>
      <c r="P108" s="277"/>
      <c r="Q108" s="277"/>
      <c r="R108" s="277"/>
      <c r="S108" s="277"/>
      <c r="T108" s="277"/>
      <c r="U108" s="277"/>
      <c r="V108" s="277"/>
      <c r="W108" s="277"/>
    </row>
    <row r="109" spans="1:23" x14ac:dyDescent="0.25">
      <c r="A109" s="286"/>
      <c r="B109" s="286" t="s">
        <v>1010</v>
      </c>
      <c r="C109" s="286"/>
      <c r="D109" s="286"/>
      <c r="E109" s="286"/>
      <c r="F109" s="286"/>
      <c r="G109" s="286"/>
      <c r="H109" s="286"/>
      <c r="I109" s="286"/>
      <c r="J109" s="286"/>
      <c r="K109" s="286"/>
      <c r="L109" s="286"/>
      <c r="M109" s="286"/>
      <c r="N109" s="286"/>
      <c r="O109" s="286"/>
      <c r="P109" s="286"/>
      <c r="Q109" s="286"/>
      <c r="R109" s="286"/>
      <c r="S109" s="286"/>
      <c r="T109" s="286"/>
      <c r="U109" s="286"/>
      <c r="V109" s="286"/>
      <c r="W109" s="286"/>
    </row>
    <row r="110" spans="1:23" x14ac:dyDescent="0.25">
      <c r="A110" s="278"/>
      <c r="B110" s="278" t="s">
        <v>203</v>
      </c>
      <c r="C110" s="281" t="s">
        <v>202</v>
      </c>
      <c r="D110" s="285" t="s">
        <v>149</v>
      </c>
      <c r="E110" s="285" t="s">
        <v>1166</v>
      </c>
      <c r="F110" s="281" t="s">
        <v>203</v>
      </c>
      <c r="G110" s="285" t="s">
        <v>1171</v>
      </c>
      <c r="H110" s="285" t="s">
        <v>149</v>
      </c>
      <c r="I110" s="285" t="s">
        <v>1167</v>
      </c>
      <c r="J110" s="281" t="s">
        <v>203</v>
      </c>
      <c r="K110" s="285" t="s">
        <v>1171</v>
      </c>
      <c r="L110" s="285" t="s">
        <v>149</v>
      </c>
      <c r="M110" s="285" t="s">
        <v>1168</v>
      </c>
      <c r="N110" s="281" t="s">
        <v>203</v>
      </c>
      <c r="O110" s="285" t="s">
        <v>1171</v>
      </c>
      <c r="P110" s="285" t="s">
        <v>149</v>
      </c>
      <c r="Q110" s="285" t="s">
        <v>1169</v>
      </c>
      <c r="R110" s="281" t="s">
        <v>203</v>
      </c>
      <c r="S110" s="285" t="s">
        <v>1171</v>
      </c>
      <c r="T110" s="285" t="s">
        <v>149</v>
      </c>
      <c r="U110" s="285" t="s">
        <v>1170</v>
      </c>
      <c r="V110" s="281" t="s">
        <v>203</v>
      </c>
      <c r="W110" s="285" t="s">
        <v>1171</v>
      </c>
    </row>
    <row r="111" spans="1:23" x14ac:dyDescent="0.25">
      <c r="A111" s="284" t="s">
        <v>1165</v>
      </c>
      <c r="B111" s="284"/>
      <c r="C111" s="279">
        <f>((D111*G111)+(K111*H111)+(O111*L111)+(S111*P111)+(W111*T111))</f>
        <v>0</v>
      </c>
      <c r="D111" s="282">
        <v>0</v>
      </c>
      <c r="E111" s="283" t="s">
        <v>926</v>
      </c>
      <c r="F111" s="59" t="str">
        <f t="shared" ref="F111" si="28">VLOOKUP(E111,LISTAITEMS,2,FALSE)</f>
        <v>ninguno</v>
      </c>
      <c r="G111" s="280">
        <f>VLOOKUP(E111,LISTAITEMS,5,FALSE)</f>
        <v>0</v>
      </c>
      <c r="H111" s="282">
        <v>0</v>
      </c>
      <c r="I111" s="283" t="s">
        <v>926</v>
      </c>
      <c r="J111" s="59" t="str">
        <f t="shared" ref="J111" si="29">VLOOKUP(I111,LISTAITEMS,2,FALSE)</f>
        <v>ninguno</v>
      </c>
      <c r="K111" s="280">
        <f>VLOOKUP(I111,LISTAITEMS,5,FALSE)</f>
        <v>0</v>
      </c>
      <c r="L111" s="282">
        <v>0</v>
      </c>
      <c r="M111" s="283" t="s">
        <v>926</v>
      </c>
      <c r="N111" s="59" t="str">
        <f t="shared" ref="N111" si="30">VLOOKUP(M111,LISTAITEMS,2,FALSE)</f>
        <v>ninguno</v>
      </c>
      <c r="O111" s="280">
        <f>VLOOKUP(M111,LISTAITEMS,5,FALSE)</f>
        <v>0</v>
      </c>
      <c r="P111" s="282">
        <v>0</v>
      </c>
      <c r="Q111" s="283" t="s">
        <v>926</v>
      </c>
      <c r="R111" s="59" t="str">
        <f t="shared" ref="R111" si="31">VLOOKUP(Q111,LISTAITEMS,2,FALSE)</f>
        <v>ninguno</v>
      </c>
      <c r="S111" s="280">
        <f>VLOOKUP(Q111,LISTAITEMS,5,FALSE)</f>
        <v>0</v>
      </c>
      <c r="T111" s="282">
        <v>0</v>
      </c>
      <c r="U111" s="283" t="s">
        <v>926</v>
      </c>
      <c r="V111" s="59" t="str">
        <f t="shared" ref="V111" si="32">VLOOKUP(U111,LISTAITEMS,2,FALSE)</f>
        <v>ninguno</v>
      </c>
      <c r="W111" s="280">
        <f>VLOOKUP(U111,LISTAITEMS,5,FALSE)</f>
        <v>0</v>
      </c>
    </row>
    <row r="120" spans="1:23" x14ac:dyDescent="0.25">
      <c r="A120" s="277" t="s">
        <v>1117</v>
      </c>
      <c r="B120" s="277"/>
      <c r="C120" s="277"/>
      <c r="D120" s="277"/>
      <c r="E120" s="277"/>
      <c r="F120" s="277"/>
      <c r="G120" s="277"/>
      <c r="H120" s="277"/>
      <c r="I120" s="277"/>
      <c r="J120" s="277"/>
      <c r="K120" s="277"/>
      <c r="L120" s="277"/>
      <c r="M120" s="277"/>
      <c r="N120" s="277"/>
      <c r="O120" s="277"/>
      <c r="P120" s="277"/>
      <c r="Q120" s="277"/>
      <c r="R120" s="277"/>
      <c r="S120" s="277"/>
      <c r="T120" s="277"/>
      <c r="U120" s="277"/>
      <c r="V120" s="277"/>
      <c r="W120" s="277"/>
    </row>
    <row r="121" spans="1:23" x14ac:dyDescent="0.25">
      <c r="A121" s="277"/>
      <c r="B121" s="277"/>
      <c r="C121" s="277"/>
      <c r="D121" s="277"/>
      <c r="E121" s="277"/>
      <c r="F121" s="277"/>
      <c r="G121" s="277"/>
      <c r="H121" s="277"/>
      <c r="I121" s="277"/>
      <c r="J121" s="277"/>
      <c r="K121" s="277"/>
      <c r="L121" s="277"/>
      <c r="M121" s="277"/>
      <c r="N121" s="277"/>
      <c r="O121" s="277"/>
      <c r="P121" s="277"/>
      <c r="Q121" s="277"/>
      <c r="R121" s="277"/>
      <c r="S121" s="277"/>
      <c r="T121" s="277"/>
      <c r="U121" s="277"/>
      <c r="V121" s="277"/>
      <c r="W121" s="277"/>
    </row>
    <row r="122" spans="1:23" x14ac:dyDescent="0.25">
      <c r="A122" s="286"/>
      <c r="B122" s="286" t="s">
        <v>1010</v>
      </c>
      <c r="C122" s="286"/>
      <c r="D122" s="286"/>
      <c r="E122" s="286"/>
      <c r="F122" s="286"/>
      <c r="G122" s="286"/>
      <c r="H122" s="286"/>
      <c r="I122" s="286"/>
      <c r="J122" s="286"/>
      <c r="K122" s="286"/>
      <c r="L122" s="286"/>
      <c r="M122" s="286"/>
      <c r="N122" s="286"/>
      <c r="O122" s="286"/>
      <c r="P122" s="286"/>
      <c r="Q122" s="286"/>
      <c r="R122" s="286"/>
      <c r="S122" s="286"/>
      <c r="T122" s="286"/>
      <c r="U122" s="286"/>
      <c r="V122" s="286"/>
      <c r="W122" s="286"/>
    </row>
    <row r="123" spans="1:23" x14ac:dyDescent="0.25">
      <c r="A123" s="278"/>
      <c r="B123" s="278" t="s">
        <v>203</v>
      </c>
      <c r="C123" s="281" t="s">
        <v>202</v>
      </c>
      <c r="D123" s="285" t="s">
        <v>149</v>
      </c>
      <c r="E123" s="285" t="s">
        <v>1166</v>
      </c>
      <c r="F123" s="281" t="s">
        <v>203</v>
      </c>
      <c r="G123" s="285" t="s">
        <v>1171</v>
      </c>
      <c r="H123" s="285" t="s">
        <v>149</v>
      </c>
      <c r="I123" s="285" t="s">
        <v>1167</v>
      </c>
      <c r="J123" s="281" t="s">
        <v>203</v>
      </c>
      <c r="K123" s="285" t="s">
        <v>1171</v>
      </c>
      <c r="L123" s="285" t="s">
        <v>149</v>
      </c>
      <c r="M123" s="285" t="s">
        <v>1168</v>
      </c>
      <c r="N123" s="281" t="s">
        <v>203</v>
      </c>
      <c r="O123" s="285" t="s">
        <v>1171</v>
      </c>
      <c r="P123" s="285" t="s">
        <v>149</v>
      </c>
      <c r="Q123" s="285" t="s">
        <v>1169</v>
      </c>
      <c r="R123" s="281" t="s">
        <v>203</v>
      </c>
      <c r="S123" s="285" t="s">
        <v>1171</v>
      </c>
      <c r="T123" s="285" t="s">
        <v>149</v>
      </c>
      <c r="U123" s="285" t="s">
        <v>1170</v>
      </c>
      <c r="V123" s="281" t="s">
        <v>203</v>
      </c>
      <c r="W123" s="285" t="s">
        <v>1171</v>
      </c>
    </row>
    <row r="124" spans="1:23" x14ac:dyDescent="0.25">
      <c r="A124" s="284" t="s">
        <v>1165</v>
      </c>
      <c r="B124" s="284"/>
      <c r="C124" s="279">
        <f>((D124*G124)+(K124*H124)+(O124*L124)+(S124*P124)+(W124*T124))</f>
        <v>0</v>
      </c>
      <c r="D124" s="282">
        <v>0</v>
      </c>
      <c r="E124" s="283" t="s">
        <v>926</v>
      </c>
      <c r="F124" s="59" t="str">
        <f t="shared" ref="F124" si="33">VLOOKUP(E124,LISTAITEMS,2,FALSE)</f>
        <v>ninguno</v>
      </c>
      <c r="G124" s="280">
        <f>VLOOKUP(E124,LISTAITEMS,5,FALSE)</f>
        <v>0</v>
      </c>
      <c r="H124" s="282">
        <v>0</v>
      </c>
      <c r="I124" s="283" t="s">
        <v>926</v>
      </c>
      <c r="J124" s="59" t="str">
        <f t="shared" ref="J124" si="34">VLOOKUP(I124,LISTAITEMS,2,FALSE)</f>
        <v>ninguno</v>
      </c>
      <c r="K124" s="280">
        <f>VLOOKUP(I124,LISTAITEMS,5,FALSE)</f>
        <v>0</v>
      </c>
      <c r="L124" s="282">
        <v>0</v>
      </c>
      <c r="M124" s="283" t="s">
        <v>926</v>
      </c>
      <c r="N124" s="59" t="str">
        <f t="shared" ref="N124" si="35">VLOOKUP(M124,LISTAITEMS,2,FALSE)</f>
        <v>ninguno</v>
      </c>
      <c r="O124" s="280">
        <f>VLOOKUP(M124,LISTAITEMS,5,FALSE)</f>
        <v>0</v>
      </c>
      <c r="P124" s="282">
        <v>0</v>
      </c>
      <c r="Q124" s="283" t="s">
        <v>926</v>
      </c>
      <c r="R124" s="59" t="str">
        <f t="shared" ref="R124" si="36">VLOOKUP(Q124,LISTAITEMS,2,FALSE)</f>
        <v>ninguno</v>
      </c>
      <c r="S124" s="280">
        <f>VLOOKUP(Q124,LISTAITEMS,5,FALSE)</f>
        <v>0</v>
      </c>
      <c r="T124" s="282">
        <v>0</v>
      </c>
      <c r="U124" s="283" t="s">
        <v>926</v>
      </c>
      <c r="V124" s="59" t="str">
        <f t="shared" ref="V124" si="37">VLOOKUP(U124,LISTAITEMS,2,FALSE)</f>
        <v>ninguno</v>
      </c>
      <c r="W124" s="280">
        <f>VLOOKUP(U124,LISTAITEMS,5,FALSE)</f>
        <v>0</v>
      </c>
    </row>
    <row r="134" spans="1:23" x14ac:dyDescent="0.25">
      <c r="A134" s="277" t="s">
        <v>1119</v>
      </c>
      <c r="B134" s="277"/>
      <c r="C134" s="277"/>
      <c r="D134" s="277"/>
      <c r="E134" s="277"/>
      <c r="F134" s="277"/>
      <c r="G134" s="277"/>
      <c r="H134" s="277"/>
      <c r="I134" s="277"/>
      <c r="J134" s="277"/>
      <c r="K134" s="277"/>
      <c r="L134" s="277"/>
      <c r="M134" s="277"/>
      <c r="N134" s="277"/>
      <c r="O134" s="277"/>
      <c r="P134" s="277"/>
      <c r="Q134" s="277"/>
      <c r="R134" s="277"/>
      <c r="S134" s="277"/>
      <c r="T134" s="277"/>
      <c r="U134" s="277"/>
      <c r="V134" s="277"/>
      <c r="W134" s="277"/>
    </row>
    <row r="135" spans="1:23" x14ac:dyDescent="0.25">
      <c r="A135" s="277"/>
      <c r="B135" s="277"/>
      <c r="C135" s="277"/>
      <c r="D135" s="277"/>
      <c r="E135" s="277"/>
      <c r="F135" s="277"/>
      <c r="G135" s="277"/>
      <c r="H135" s="277"/>
      <c r="I135" s="277"/>
      <c r="J135" s="277"/>
      <c r="K135" s="277"/>
      <c r="L135" s="277"/>
      <c r="M135" s="277"/>
      <c r="N135" s="277"/>
      <c r="O135" s="277"/>
      <c r="P135" s="277"/>
      <c r="Q135" s="277"/>
      <c r="R135" s="277"/>
      <c r="S135" s="277"/>
      <c r="T135" s="277"/>
      <c r="U135" s="277"/>
      <c r="V135" s="277"/>
      <c r="W135" s="277"/>
    </row>
    <row r="136" spans="1:23" x14ac:dyDescent="0.25">
      <c r="A136" s="286"/>
      <c r="B136" s="286" t="s">
        <v>1010</v>
      </c>
      <c r="C136" s="286"/>
      <c r="D136" s="286"/>
      <c r="E136" s="286"/>
      <c r="F136" s="286"/>
      <c r="G136" s="286"/>
      <c r="H136" s="286"/>
      <c r="I136" s="286"/>
      <c r="J136" s="286"/>
      <c r="K136" s="286"/>
      <c r="L136" s="286"/>
      <c r="M136" s="286"/>
      <c r="N136" s="286"/>
      <c r="O136" s="286"/>
      <c r="P136" s="286"/>
      <c r="Q136" s="286"/>
      <c r="R136" s="286"/>
      <c r="S136" s="286"/>
      <c r="T136" s="286"/>
      <c r="U136" s="286"/>
      <c r="V136" s="286"/>
      <c r="W136" s="286"/>
    </row>
    <row r="137" spans="1:23" x14ac:dyDescent="0.25">
      <c r="A137" s="278"/>
      <c r="B137" s="278" t="s">
        <v>203</v>
      </c>
      <c r="C137" s="281" t="s">
        <v>202</v>
      </c>
      <c r="D137" s="285" t="s">
        <v>149</v>
      </c>
      <c r="E137" s="285" t="s">
        <v>1166</v>
      </c>
      <c r="F137" s="281" t="s">
        <v>203</v>
      </c>
      <c r="G137" s="285" t="s">
        <v>1171</v>
      </c>
      <c r="H137" s="285" t="s">
        <v>149</v>
      </c>
      <c r="I137" s="285" t="s">
        <v>1167</v>
      </c>
      <c r="J137" s="281" t="s">
        <v>203</v>
      </c>
      <c r="K137" s="285" t="s">
        <v>1171</v>
      </c>
      <c r="L137" s="285" t="s">
        <v>149</v>
      </c>
      <c r="M137" s="285" t="s">
        <v>1168</v>
      </c>
      <c r="N137" s="281" t="s">
        <v>203</v>
      </c>
      <c r="O137" s="285" t="s">
        <v>1171</v>
      </c>
      <c r="P137" s="285" t="s">
        <v>149</v>
      </c>
      <c r="Q137" s="285" t="s">
        <v>1169</v>
      </c>
      <c r="R137" s="281" t="s">
        <v>203</v>
      </c>
      <c r="S137" s="285" t="s">
        <v>1171</v>
      </c>
      <c r="T137" s="285" t="s">
        <v>149</v>
      </c>
      <c r="U137" s="285" t="s">
        <v>1170</v>
      </c>
      <c r="V137" s="281" t="s">
        <v>203</v>
      </c>
      <c r="W137" s="285" t="s">
        <v>1171</v>
      </c>
    </row>
    <row r="138" spans="1:23" x14ac:dyDescent="0.25">
      <c r="A138" s="284" t="s">
        <v>1165</v>
      </c>
      <c r="B138" s="284"/>
      <c r="C138" s="279">
        <f>((D138*G138)+(K138*H138)+(O138*L138)+(S138*P138)+(W138*T138))</f>
        <v>0</v>
      </c>
      <c r="D138" s="282">
        <v>0</v>
      </c>
      <c r="E138" s="283" t="s">
        <v>926</v>
      </c>
      <c r="F138" s="59" t="str">
        <f t="shared" ref="F138" si="38">VLOOKUP(E138,LISTAITEMS,2,FALSE)</f>
        <v>ninguno</v>
      </c>
      <c r="G138" s="280">
        <f>VLOOKUP(E138,LISTAITEMS,5,FALSE)</f>
        <v>0</v>
      </c>
      <c r="H138" s="282">
        <v>0</v>
      </c>
      <c r="I138" s="283" t="s">
        <v>926</v>
      </c>
      <c r="J138" s="59" t="str">
        <f t="shared" ref="J138" si="39">VLOOKUP(I138,LISTAITEMS,2,FALSE)</f>
        <v>ninguno</v>
      </c>
      <c r="K138" s="280">
        <f>VLOOKUP(I138,LISTAITEMS,5,FALSE)</f>
        <v>0</v>
      </c>
      <c r="L138" s="282">
        <v>0</v>
      </c>
      <c r="M138" s="283" t="s">
        <v>926</v>
      </c>
      <c r="N138" s="59" t="str">
        <f t="shared" ref="N138" si="40">VLOOKUP(M138,LISTAITEMS,2,FALSE)</f>
        <v>ninguno</v>
      </c>
      <c r="O138" s="280">
        <f>VLOOKUP(M138,LISTAITEMS,5,FALSE)</f>
        <v>0</v>
      </c>
      <c r="P138" s="282">
        <v>0</v>
      </c>
      <c r="Q138" s="283" t="s">
        <v>926</v>
      </c>
      <c r="R138" s="59" t="str">
        <f t="shared" ref="R138" si="41">VLOOKUP(Q138,LISTAITEMS,2,FALSE)</f>
        <v>ninguno</v>
      </c>
      <c r="S138" s="280">
        <f>VLOOKUP(Q138,LISTAITEMS,5,FALSE)</f>
        <v>0</v>
      </c>
      <c r="T138" s="282">
        <v>0</v>
      </c>
      <c r="U138" s="283" t="s">
        <v>926</v>
      </c>
      <c r="V138" s="59" t="str">
        <f t="shared" ref="V138" si="42">VLOOKUP(U138,LISTAITEMS,2,FALSE)</f>
        <v>ninguno</v>
      </c>
      <c r="W138" s="280">
        <f>VLOOKUP(U138,LISTAITEMS,5,FALSE)</f>
        <v>0</v>
      </c>
    </row>
    <row r="146" spans="1:23" x14ac:dyDescent="0.25">
      <c r="A146" s="277" t="s">
        <v>1120</v>
      </c>
      <c r="B146" s="277"/>
      <c r="C146" s="277"/>
      <c r="D146" s="277"/>
      <c r="E146" s="277"/>
      <c r="F146" s="277"/>
      <c r="G146" s="277"/>
      <c r="H146" s="277"/>
      <c r="I146" s="277"/>
      <c r="J146" s="277"/>
      <c r="K146" s="277"/>
      <c r="L146" s="277"/>
      <c r="M146" s="277"/>
      <c r="N146" s="277"/>
      <c r="O146" s="277"/>
      <c r="P146" s="277"/>
      <c r="Q146" s="277"/>
      <c r="R146" s="277"/>
      <c r="S146" s="277"/>
      <c r="T146" s="277"/>
      <c r="U146" s="277"/>
      <c r="V146" s="277"/>
      <c r="W146" s="277"/>
    </row>
    <row r="147" spans="1:23" x14ac:dyDescent="0.25">
      <c r="A147" s="277"/>
      <c r="B147" s="277"/>
      <c r="C147" s="277"/>
      <c r="D147" s="277"/>
      <c r="E147" s="277"/>
      <c r="F147" s="277"/>
      <c r="G147" s="277"/>
      <c r="H147" s="277"/>
      <c r="I147" s="277"/>
      <c r="J147" s="277"/>
      <c r="K147" s="277"/>
      <c r="L147" s="277"/>
      <c r="M147" s="277"/>
      <c r="N147" s="277"/>
      <c r="O147" s="277"/>
      <c r="P147" s="277"/>
      <c r="Q147" s="277"/>
      <c r="R147" s="277"/>
      <c r="S147" s="277"/>
      <c r="T147" s="277"/>
      <c r="U147" s="277"/>
      <c r="V147" s="277"/>
      <c r="W147" s="277"/>
    </row>
    <row r="148" spans="1:23" x14ac:dyDescent="0.25">
      <c r="A148" s="286"/>
      <c r="B148" s="286" t="s">
        <v>1010</v>
      </c>
      <c r="C148" s="286"/>
      <c r="D148" s="286"/>
      <c r="E148" s="286"/>
      <c r="F148" s="286"/>
      <c r="G148" s="286"/>
      <c r="H148" s="286"/>
      <c r="I148" s="286"/>
      <c r="J148" s="286"/>
      <c r="K148" s="286"/>
      <c r="L148" s="286"/>
      <c r="M148" s="286"/>
      <c r="N148" s="286"/>
      <c r="O148" s="286"/>
      <c r="P148" s="286"/>
      <c r="Q148" s="286"/>
      <c r="R148" s="286"/>
      <c r="S148" s="286"/>
      <c r="T148" s="286"/>
      <c r="U148" s="286"/>
      <c r="V148" s="286"/>
      <c r="W148" s="286"/>
    </row>
    <row r="149" spans="1:23" x14ac:dyDescent="0.25">
      <c r="A149" s="278"/>
      <c r="B149" s="278" t="s">
        <v>203</v>
      </c>
      <c r="C149" s="281" t="s">
        <v>202</v>
      </c>
      <c r="D149" s="285" t="s">
        <v>149</v>
      </c>
      <c r="E149" s="285" t="s">
        <v>1166</v>
      </c>
      <c r="F149" s="281" t="s">
        <v>203</v>
      </c>
      <c r="G149" s="285" t="s">
        <v>1171</v>
      </c>
      <c r="H149" s="285" t="s">
        <v>149</v>
      </c>
      <c r="I149" s="285" t="s">
        <v>1167</v>
      </c>
      <c r="J149" s="281" t="s">
        <v>203</v>
      </c>
      <c r="K149" s="285" t="s">
        <v>1171</v>
      </c>
      <c r="L149" s="285" t="s">
        <v>149</v>
      </c>
      <c r="M149" s="285" t="s">
        <v>1168</v>
      </c>
      <c r="N149" s="281" t="s">
        <v>203</v>
      </c>
      <c r="O149" s="285" t="s">
        <v>1171</v>
      </c>
      <c r="P149" s="285" t="s">
        <v>149</v>
      </c>
      <c r="Q149" s="285" t="s">
        <v>1169</v>
      </c>
      <c r="R149" s="281" t="s">
        <v>203</v>
      </c>
      <c r="S149" s="285" t="s">
        <v>1171</v>
      </c>
      <c r="T149" s="285" t="s">
        <v>149</v>
      </c>
      <c r="U149" s="285" t="s">
        <v>1170</v>
      </c>
      <c r="V149" s="281" t="s">
        <v>203</v>
      </c>
      <c r="W149" s="285" t="s">
        <v>1171</v>
      </c>
    </row>
    <row r="150" spans="1:23" x14ac:dyDescent="0.25">
      <c r="A150" s="284" t="s">
        <v>1165</v>
      </c>
      <c r="B150" s="284"/>
      <c r="C150" s="279">
        <f>((D150*G150)+(K150*H150)+(O150*L150)+(S150*P150)+(W150*T150))</f>
        <v>0</v>
      </c>
      <c r="D150" s="282">
        <v>0</v>
      </c>
      <c r="E150" s="283" t="s">
        <v>926</v>
      </c>
      <c r="F150" s="59" t="str">
        <f t="shared" ref="F150" si="43">VLOOKUP(E150,LISTAITEMS,2,FALSE)</f>
        <v>ninguno</v>
      </c>
      <c r="G150" s="280">
        <f>VLOOKUP(E150,LISTAITEMS,5,FALSE)</f>
        <v>0</v>
      </c>
      <c r="H150" s="282">
        <v>0</v>
      </c>
      <c r="I150" s="283" t="s">
        <v>926</v>
      </c>
      <c r="J150" s="59" t="str">
        <f t="shared" ref="J150" si="44">VLOOKUP(I150,LISTAITEMS,2,FALSE)</f>
        <v>ninguno</v>
      </c>
      <c r="K150" s="280">
        <f>VLOOKUP(I150,LISTAITEMS,5,FALSE)</f>
        <v>0</v>
      </c>
      <c r="L150" s="282">
        <v>0</v>
      </c>
      <c r="M150" s="283" t="s">
        <v>926</v>
      </c>
      <c r="N150" s="59" t="str">
        <f t="shared" ref="N150" si="45">VLOOKUP(M150,LISTAITEMS,2,FALSE)</f>
        <v>ninguno</v>
      </c>
      <c r="O150" s="280">
        <f>VLOOKUP(M150,LISTAITEMS,5,FALSE)</f>
        <v>0</v>
      </c>
      <c r="P150" s="282">
        <v>0</v>
      </c>
      <c r="Q150" s="283" t="s">
        <v>926</v>
      </c>
      <c r="R150" s="59" t="str">
        <f t="shared" ref="R150" si="46">VLOOKUP(Q150,LISTAITEMS,2,FALSE)</f>
        <v>ninguno</v>
      </c>
      <c r="S150" s="280">
        <f>VLOOKUP(Q150,LISTAITEMS,5,FALSE)</f>
        <v>0</v>
      </c>
      <c r="T150" s="282">
        <v>0</v>
      </c>
      <c r="U150" s="283" t="s">
        <v>926</v>
      </c>
      <c r="V150" s="59" t="str">
        <f t="shared" ref="V150" si="47">VLOOKUP(U150,LISTAITEMS,2,FALSE)</f>
        <v>ninguno</v>
      </c>
      <c r="W150" s="280">
        <f>VLOOKUP(U150,LISTAITEMS,5,FALSE)</f>
        <v>0</v>
      </c>
    </row>
    <row r="159" spans="1:23" x14ac:dyDescent="0.25">
      <c r="A159" s="277" t="s">
        <v>1121</v>
      </c>
      <c r="B159" s="277"/>
      <c r="C159" s="277"/>
      <c r="D159" s="277"/>
      <c r="E159" s="277"/>
      <c r="F159" s="277"/>
      <c r="G159" s="277"/>
      <c r="H159" s="277"/>
      <c r="I159" s="277"/>
      <c r="J159" s="277"/>
      <c r="K159" s="277"/>
      <c r="L159" s="277"/>
      <c r="M159" s="277"/>
      <c r="N159" s="277"/>
      <c r="O159" s="277"/>
      <c r="P159" s="277"/>
      <c r="Q159" s="277"/>
      <c r="R159" s="277"/>
      <c r="S159" s="277"/>
      <c r="T159" s="277"/>
      <c r="U159" s="277"/>
      <c r="V159" s="277"/>
      <c r="W159" s="277"/>
    </row>
    <row r="160" spans="1:23" x14ac:dyDescent="0.25">
      <c r="A160" s="277"/>
      <c r="B160" s="277"/>
      <c r="C160" s="277"/>
      <c r="D160" s="277"/>
      <c r="E160" s="277"/>
      <c r="F160" s="277"/>
      <c r="G160" s="277"/>
      <c r="H160" s="277"/>
      <c r="I160" s="277"/>
      <c r="J160" s="277"/>
      <c r="K160" s="277"/>
      <c r="L160" s="277"/>
      <c r="M160" s="277"/>
      <c r="N160" s="277"/>
      <c r="O160" s="277"/>
      <c r="P160" s="277"/>
      <c r="Q160" s="277"/>
      <c r="R160" s="277"/>
      <c r="S160" s="277"/>
      <c r="T160" s="277"/>
      <c r="U160" s="277"/>
      <c r="V160" s="277"/>
      <c r="W160" s="277"/>
    </row>
    <row r="161" spans="1:23" x14ac:dyDescent="0.25">
      <c r="A161" s="286"/>
      <c r="B161" s="286" t="s">
        <v>1010</v>
      </c>
      <c r="C161" s="286"/>
      <c r="D161" s="286"/>
      <c r="E161" s="286"/>
      <c r="F161" s="286"/>
      <c r="G161" s="286"/>
      <c r="H161" s="286"/>
      <c r="I161" s="286"/>
      <c r="J161" s="286"/>
      <c r="K161" s="286"/>
      <c r="L161" s="286"/>
      <c r="M161" s="286"/>
      <c r="N161" s="286"/>
      <c r="O161" s="286"/>
      <c r="P161" s="286"/>
      <c r="Q161" s="286"/>
      <c r="R161" s="286"/>
      <c r="S161" s="286"/>
      <c r="T161" s="286"/>
      <c r="U161" s="286"/>
      <c r="V161" s="286"/>
      <c r="W161" s="286"/>
    </row>
    <row r="162" spans="1:23" x14ac:dyDescent="0.25">
      <c r="A162" s="278"/>
      <c r="B162" s="278" t="s">
        <v>203</v>
      </c>
      <c r="C162" s="281" t="s">
        <v>202</v>
      </c>
      <c r="D162" s="285" t="s">
        <v>149</v>
      </c>
      <c r="E162" s="285" t="s">
        <v>1166</v>
      </c>
      <c r="F162" s="281" t="s">
        <v>203</v>
      </c>
      <c r="G162" s="285" t="s">
        <v>1171</v>
      </c>
      <c r="H162" s="285" t="s">
        <v>149</v>
      </c>
      <c r="I162" s="285" t="s">
        <v>1167</v>
      </c>
      <c r="J162" s="281" t="s">
        <v>203</v>
      </c>
      <c r="K162" s="285" t="s">
        <v>1171</v>
      </c>
      <c r="L162" s="285" t="s">
        <v>149</v>
      </c>
      <c r="M162" s="285" t="s">
        <v>1168</v>
      </c>
      <c r="N162" s="281" t="s">
        <v>203</v>
      </c>
      <c r="O162" s="285" t="s">
        <v>1171</v>
      </c>
      <c r="P162" s="285" t="s">
        <v>149</v>
      </c>
      <c r="Q162" s="285" t="s">
        <v>1169</v>
      </c>
      <c r="R162" s="281" t="s">
        <v>203</v>
      </c>
      <c r="S162" s="285" t="s">
        <v>1171</v>
      </c>
      <c r="T162" s="285" t="s">
        <v>149</v>
      </c>
      <c r="U162" s="285" t="s">
        <v>1170</v>
      </c>
      <c r="V162" s="281" t="s">
        <v>203</v>
      </c>
      <c r="W162" s="285" t="s">
        <v>1171</v>
      </c>
    </row>
    <row r="163" spans="1:23" x14ac:dyDescent="0.25">
      <c r="A163" s="284" t="s">
        <v>1165</v>
      </c>
      <c r="B163" s="284"/>
      <c r="C163" s="279">
        <f>((D163*G163)+(K163*H163)+(O163*L163)+(S163*P163)+(W163*T163))</f>
        <v>0</v>
      </c>
      <c r="D163" s="282">
        <v>0</v>
      </c>
      <c r="E163" s="283" t="s">
        <v>926</v>
      </c>
      <c r="F163" s="59" t="str">
        <f t="shared" ref="F163" si="48">VLOOKUP(E163,LISTAITEMS,2,FALSE)</f>
        <v>ninguno</v>
      </c>
      <c r="G163" s="280">
        <f>VLOOKUP(E163,LISTAITEMS,5,FALSE)</f>
        <v>0</v>
      </c>
      <c r="H163" s="282">
        <v>0</v>
      </c>
      <c r="I163" s="283" t="s">
        <v>926</v>
      </c>
      <c r="J163" s="59" t="str">
        <f t="shared" ref="J163" si="49">VLOOKUP(I163,LISTAITEMS,2,FALSE)</f>
        <v>ninguno</v>
      </c>
      <c r="K163" s="280">
        <f>VLOOKUP(I163,LISTAITEMS,5,FALSE)</f>
        <v>0</v>
      </c>
      <c r="L163" s="282">
        <v>0</v>
      </c>
      <c r="M163" s="283" t="s">
        <v>926</v>
      </c>
      <c r="N163" s="59" t="str">
        <f t="shared" ref="N163" si="50">VLOOKUP(M163,LISTAITEMS,2,FALSE)</f>
        <v>ninguno</v>
      </c>
      <c r="O163" s="280">
        <f>VLOOKUP(M163,LISTAITEMS,5,FALSE)</f>
        <v>0</v>
      </c>
      <c r="P163" s="282">
        <v>0</v>
      </c>
      <c r="Q163" s="283" t="s">
        <v>926</v>
      </c>
      <c r="R163" s="59" t="str">
        <f t="shared" ref="R163" si="51">VLOOKUP(Q163,LISTAITEMS,2,FALSE)</f>
        <v>ninguno</v>
      </c>
      <c r="S163" s="280">
        <f>VLOOKUP(Q163,LISTAITEMS,5,FALSE)</f>
        <v>0</v>
      </c>
      <c r="T163" s="282">
        <v>0</v>
      </c>
      <c r="U163" s="283" t="s">
        <v>926</v>
      </c>
      <c r="V163" s="59" t="str">
        <f t="shared" ref="V163" si="52">VLOOKUP(U163,LISTAITEMS,2,FALSE)</f>
        <v>ninguno</v>
      </c>
      <c r="W163" s="280">
        <f>VLOOKUP(U163,LISTAITEMS,5,FALSE)</f>
        <v>0</v>
      </c>
    </row>
    <row r="171" spans="1:23" x14ac:dyDescent="0.25">
      <c r="A171" s="277"/>
      <c r="B171" s="277" t="s">
        <v>1152</v>
      </c>
      <c r="C171" s="277"/>
      <c r="D171" s="277"/>
      <c r="E171" s="277"/>
      <c r="F171" s="277"/>
      <c r="G171" s="277"/>
      <c r="H171" s="277"/>
      <c r="I171" s="277"/>
      <c r="J171" s="277"/>
      <c r="K171" s="277"/>
      <c r="L171" s="277"/>
      <c r="M171" s="277"/>
      <c r="N171" s="277"/>
      <c r="O171" s="277"/>
      <c r="P171" s="277"/>
      <c r="Q171" s="277"/>
      <c r="R171" s="277"/>
      <c r="S171" s="277"/>
      <c r="T171" s="277"/>
      <c r="U171" s="277"/>
      <c r="V171" s="277"/>
      <c r="W171" s="277"/>
    </row>
    <row r="172" spans="1:23" x14ac:dyDescent="0.25">
      <c r="A172" s="277"/>
      <c r="B172" s="277"/>
      <c r="C172" s="277"/>
      <c r="D172" s="277"/>
      <c r="E172" s="277"/>
      <c r="F172" s="277"/>
      <c r="G172" s="277"/>
      <c r="H172" s="277"/>
      <c r="I172" s="277"/>
      <c r="J172" s="277"/>
      <c r="K172" s="277"/>
      <c r="L172" s="277"/>
      <c r="M172" s="277"/>
      <c r="N172" s="277"/>
      <c r="O172" s="277"/>
      <c r="P172" s="277"/>
      <c r="Q172" s="277"/>
      <c r="R172" s="277"/>
      <c r="S172" s="277"/>
      <c r="T172" s="277"/>
      <c r="U172" s="277"/>
      <c r="V172" s="277"/>
      <c r="W172" s="277"/>
    </row>
    <row r="173" spans="1:23" x14ac:dyDescent="0.25">
      <c r="A173" s="286"/>
      <c r="B173" s="286" t="s">
        <v>1010</v>
      </c>
      <c r="C173" s="286"/>
      <c r="D173" s="286"/>
      <c r="E173" s="286"/>
      <c r="F173" s="286"/>
      <c r="G173" s="286"/>
      <c r="H173" s="286"/>
      <c r="I173" s="286"/>
      <c r="J173" s="286"/>
      <c r="K173" s="286"/>
      <c r="L173" s="286"/>
      <c r="M173" s="286"/>
      <c r="N173" s="286"/>
      <c r="O173" s="286"/>
      <c r="P173" s="286"/>
      <c r="Q173" s="286"/>
      <c r="R173" s="286"/>
      <c r="S173" s="286"/>
      <c r="T173" s="286"/>
      <c r="U173" s="286"/>
      <c r="V173" s="286"/>
      <c r="W173" s="286"/>
    </row>
    <row r="174" spans="1:23" x14ac:dyDescent="0.25">
      <c r="A174" s="278"/>
      <c r="B174" s="278" t="s">
        <v>203</v>
      </c>
      <c r="C174" s="281" t="s">
        <v>202</v>
      </c>
      <c r="D174" s="285" t="s">
        <v>149</v>
      </c>
      <c r="E174" s="285" t="s">
        <v>1166</v>
      </c>
      <c r="F174" s="281" t="s">
        <v>203</v>
      </c>
      <c r="G174" s="285" t="s">
        <v>1171</v>
      </c>
      <c r="H174" s="285" t="s">
        <v>149</v>
      </c>
      <c r="I174" s="285" t="s">
        <v>1167</v>
      </c>
      <c r="J174" s="281" t="s">
        <v>203</v>
      </c>
      <c r="K174" s="285" t="s">
        <v>1171</v>
      </c>
      <c r="L174" s="285" t="s">
        <v>149</v>
      </c>
      <c r="M174" s="285" t="s">
        <v>1168</v>
      </c>
      <c r="N174" s="281" t="s">
        <v>203</v>
      </c>
      <c r="O174" s="285" t="s">
        <v>1171</v>
      </c>
      <c r="P174" s="285" t="s">
        <v>149</v>
      </c>
      <c r="Q174" s="285" t="s">
        <v>1169</v>
      </c>
      <c r="R174" s="281" t="s">
        <v>203</v>
      </c>
      <c r="S174" s="285" t="s">
        <v>1171</v>
      </c>
      <c r="T174" s="285" t="s">
        <v>149</v>
      </c>
      <c r="U174" s="285" t="s">
        <v>1170</v>
      </c>
      <c r="V174" s="281" t="s">
        <v>203</v>
      </c>
      <c r="W174" s="285" t="s">
        <v>1171</v>
      </c>
    </row>
    <row r="175" spans="1:23" x14ac:dyDescent="0.25">
      <c r="A175" s="284" t="s">
        <v>1178</v>
      </c>
      <c r="B175" s="284"/>
      <c r="C175" s="279">
        <f>((D175*G175)+(K175*H175)+(O175*L175)+(S175*P175)+(W175*T175))</f>
        <v>344</v>
      </c>
      <c r="D175" s="282">
        <v>4</v>
      </c>
      <c r="E175" s="283">
        <v>365</v>
      </c>
      <c r="F175" s="59" t="str">
        <f t="shared" ref="F175" si="53">VLOOKUP(E175,LISTAITEMS,2,FALSE)</f>
        <v>Raw Chicken</v>
      </c>
      <c r="G175" s="280">
        <f>VLOOKUP(E175,LISTAITEMS,5,FALSE)</f>
        <v>86</v>
      </c>
      <c r="H175" s="282">
        <v>0</v>
      </c>
      <c r="I175" s="283" t="s">
        <v>926</v>
      </c>
      <c r="J175" s="59" t="str">
        <f t="shared" ref="J175" si="54">VLOOKUP(I175,LISTAITEMS,2,FALSE)</f>
        <v>ninguno</v>
      </c>
      <c r="K175" s="280">
        <f>VLOOKUP(I175,LISTAITEMS,5,FALSE)</f>
        <v>0</v>
      </c>
      <c r="L175" s="282">
        <v>0</v>
      </c>
      <c r="M175" s="283" t="s">
        <v>926</v>
      </c>
      <c r="N175" s="59" t="str">
        <f t="shared" ref="N175" si="55">VLOOKUP(M175,LISTAITEMS,2,FALSE)</f>
        <v>ninguno</v>
      </c>
      <c r="O175" s="280">
        <f>VLOOKUP(M175,LISTAITEMS,5,FALSE)</f>
        <v>0</v>
      </c>
      <c r="P175" s="282">
        <v>0</v>
      </c>
      <c r="Q175" s="283" t="s">
        <v>926</v>
      </c>
      <c r="R175" s="59" t="str">
        <f t="shared" ref="R175" si="56">VLOOKUP(Q175,LISTAITEMS,2,FALSE)</f>
        <v>ninguno</v>
      </c>
      <c r="S175" s="280">
        <f>VLOOKUP(Q175,LISTAITEMS,5,FALSE)</f>
        <v>0</v>
      </c>
      <c r="T175" s="282">
        <v>0</v>
      </c>
      <c r="U175" s="283" t="s">
        <v>926</v>
      </c>
      <c r="V175" s="59" t="str">
        <f t="shared" ref="V175" si="57">VLOOKUP(U175,LISTAITEMS,2,FALSE)</f>
        <v>ninguno</v>
      </c>
      <c r="W175" s="280">
        <f>VLOOKUP(U175,LISTAITEMS,5,FALSE)</f>
        <v>0</v>
      </c>
    </row>
    <row r="176" spans="1:23" s="275" customFormat="1" x14ac:dyDescent="0.25">
      <c r="A176" s="286"/>
      <c r="B176" s="286" t="s">
        <v>1011</v>
      </c>
      <c r="C176" s="286"/>
      <c r="D176" s="286"/>
      <c r="E176" s="286"/>
      <c r="F176" s="286"/>
      <c r="G176" s="286"/>
      <c r="H176" s="286"/>
      <c r="I176" s="286"/>
      <c r="J176" s="286"/>
      <c r="K176" s="286"/>
      <c r="L176" s="286"/>
      <c r="M176" s="286"/>
      <c r="N176" s="286"/>
      <c r="O176" s="286"/>
      <c r="P176" s="286"/>
      <c r="Q176" s="286"/>
      <c r="R176" s="286"/>
      <c r="S176" s="286"/>
      <c r="T176" s="286"/>
      <c r="U176" s="286"/>
      <c r="V176" s="286"/>
      <c r="W176" s="286"/>
    </row>
    <row r="177" spans="1:23" s="275" customFormat="1" x14ac:dyDescent="0.25">
      <c r="A177" s="278"/>
      <c r="B177" s="278" t="s">
        <v>203</v>
      </c>
      <c r="C177" s="281" t="s">
        <v>202</v>
      </c>
      <c r="D177" s="285" t="s">
        <v>149</v>
      </c>
      <c r="E177" s="285" t="s">
        <v>1166</v>
      </c>
      <c r="F177" s="281" t="s">
        <v>203</v>
      </c>
      <c r="G177" s="285" t="s">
        <v>1171</v>
      </c>
      <c r="H177" s="285" t="s">
        <v>149</v>
      </c>
      <c r="I177" s="285" t="s">
        <v>1167</v>
      </c>
      <c r="J177" s="281" t="s">
        <v>203</v>
      </c>
      <c r="K177" s="285" t="s">
        <v>1171</v>
      </c>
      <c r="L177" s="285" t="s">
        <v>149</v>
      </c>
      <c r="M177" s="285" t="s">
        <v>1168</v>
      </c>
      <c r="N177" s="281" t="s">
        <v>203</v>
      </c>
      <c r="O177" s="285" t="s">
        <v>1171</v>
      </c>
      <c r="P177" s="285" t="s">
        <v>149</v>
      </c>
      <c r="Q177" s="285" t="s">
        <v>1169</v>
      </c>
      <c r="R177" s="281" t="s">
        <v>203</v>
      </c>
      <c r="S177" s="285" t="s">
        <v>1171</v>
      </c>
      <c r="T177" s="285" t="s">
        <v>149</v>
      </c>
      <c r="U177" s="285" t="s">
        <v>1170</v>
      </c>
      <c r="V177" s="281" t="s">
        <v>203</v>
      </c>
      <c r="W177" s="285" t="s">
        <v>1171</v>
      </c>
    </row>
    <row r="178" spans="1:23" s="275" customFormat="1" x14ac:dyDescent="0.25">
      <c r="A178" s="284" t="s">
        <v>1179</v>
      </c>
      <c r="B178" s="284"/>
      <c r="C178" s="279">
        <f>((D178*G178)+(K178*H178)+(O178*L178)+(S178*P178)+(W178*T178))</f>
        <v>1028</v>
      </c>
      <c r="D178" s="282">
        <v>4</v>
      </c>
      <c r="E178" s="283">
        <v>349</v>
      </c>
      <c r="F178" s="59" t="str">
        <f t="shared" ref="F178" si="58">VLOOKUP(E178,LISTAITEMS,2,FALSE)</f>
        <v>Raw Fish</v>
      </c>
      <c r="G178" s="280">
        <f>VLOOKUP(E178,LISTAITEMS,5,FALSE)</f>
        <v>257</v>
      </c>
      <c r="H178" s="282">
        <v>0</v>
      </c>
      <c r="I178" s="283" t="s">
        <v>926</v>
      </c>
      <c r="J178" s="59" t="str">
        <f t="shared" ref="J178" si="59">VLOOKUP(I178,LISTAITEMS,2,FALSE)</f>
        <v>ninguno</v>
      </c>
      <c r="K178" s="280">
        <f>VLOOKUP(I178,LISTAITEMS,5,FALSE)</f>
        <v>0</v>
      </c>
      <c r="L178" s="282">
        <v>0</v>
      </c>
      <c r="M178" s="283" t="s">
        <v>926</v>
      </c>
      <c r="N178" s="59" t="str">
        <f t="shared" ref="N178" si="60">VLOOKUP(M178,LISTAITEMS,2,FALSE)</f>
        <v>ninguno</v>
      </c>
      <c r="O178" s="280">
        <f>VLOOKUP(M178,LISTAITEMS,5,FALSE)</f>
        <v>0</v>
      </c>
      <c r="P178" s="282">
        <v>0</v>
      </c>
      <c r="Q178" s="283" t="s">
        <v>926</v>
      </c>
      <c r="R178" s="59" t="str">
        <f t="shared" ref="R178" si="61">VLOOKUP(Q178,LISTAITEMS,2,FALSE)</f>
        <v>ninguno</v>
      </c>
      <c r="S178" s="280">
        <f>VLOOKUP(Q178,LISTAITEMS,5,FALSE)</f>
        <v>0</v>
      </c>
      <c r="T178" s="282">
        <v>0</v>
      </c>
      <c r="U178" s="283" t="s">
        <v>926</v>
      </c>
      <c r="V178" s="59" t="str">
        <f t="shared" ref="V178" si="62">VLOOKUP(U178,LISTAITEMS,2,FALSE)</f>
        <v>ninguno</v>
      </c>
      <c r="W178" s="280">
        <f>VLOOKUP(U178,LISTAITEMS,5,FALSE)</f>
        <v>0</v>
      </c>
    </row>
    <row r="179" spans="1:23" s="275" customFormat="1" x14ac:dyDescent="0.25">
      <c r="A179" s="286"/>
      <c r="B179" s="286" t="s">
        <v>1012</v>
      </c>
      <c r="C179" s="286"/>
      <c r="D179" s="286"/>
      <c r="E179" s="286"/>
      <c r="F179" s="286"/>
      <c r="G179" s="286"/>
      <c r="H179" s="286"/>
      <c r="I179" s="286"/>
      <c r="J179" s="286"/>
      <c r="K179" s="286"/>
      <c r="L179" s="286"/>
      <c r="M179" s="286"/>
      <c r="N179" s="286"/>
      <c r="O179" s="286"/>
      <c r="P179" s="286"/>
      <c r="Q179" s="286"/>
      <c r="R179" s="286"/>
      <c r="S179" s="286"/>
      <c r="T179" s="286"/>
      <c r="U179" s="286"/>
      <c r="V179" s="286"/>
      <c r="W179" s="286"/>
    </row>
    <row r="180" spans="1:23" s="275" customFormat="1" x14ac:dyDescent="0.25">
      <c r="A180" s="278"/>
      <c r="B180" s="278" t="s">
        <v>203</v>
      </c>
      <c r="C180" s="281" t="s">
        <v>202</v>
      </c>
      <c r="D180" s="285" t="s">
        <v>149</v>
      </c>
      <c r="E180" s="285" t="s">
        <v>1166</v>
      </c>
      <c r="F180" s="281" t="s">
        <v>203</v>
      </c>
      <c r="G180" s="285" t="s">
        <v>1171</v>
      </c>
      <c r="H180" s="285" t="s">
        <v>149</v>
      </c>
      <c r="I180" s="285" t="s">
        <v>1167</v>
      </c>
      <c r="J180" s="281" t="s">
        <v>203</v>
      </c>
      <c r="K180" s="285" t="s">
        <v>1171</v>
      </c>
      <c r="L180" s="285" t="s">
        <v>149</v>
      </c>
      <c r="M180" s="285" t="s">
        <v>1168</v>
      </c>
      <c r="N180" s="281" t="s">
        <v>203</v>
      </c>
      <c r="O180" s="285" t="s">
        <v>1171</v>
      </c>
      <c r="P180" s="285" t="s">
        <v>149</v>
      </c>
      <c r="Q180" s="285" t="s">
        <v>1169</v>
      </c>
      <c r="R180" s="281" t="s">
        <v>203</v>
      </c>
      <c r="S180" s="285" t="s">
        <v>1171</v>
      </c>
      <c r="T180" s="285" t="s">
        <v>149</v>
      </c>
      <c r="U180" s="285" t="s">
        <v>1170</v>
      </c>
      <c r="V180" s="281" t="s">
        <v>203</v>
      </c>
      <c r="W180" s="285" t="s">
        <v>1171</v>
      </c>
    </row>
    <row r="181" spans="1:23" s="275" customFormat="1" x14ac:dyDescent="0.25">
      <c r="A181" s="284" t="s">
        <v>1180</v>
      </c>
      <c r="B181" s="284"/>
      <c r="C181" s="279">
        <f>((D181*G181)+(K181*H181)+(O181*L181)+(S181*P181)+(W181*T181))</f>
        <v>1712</v>
      </c>
      <c r="D181" s="282">
        <v>4</v>
      </c>
      <c r="E181" s="283">
        <v>363</v>
      </c>
      <c r="F181" s="59" t="str">
        <f t="shared" ref="F181" si="63">VLOOKUP(E181,LISTAITEMS,2,FALSE)</f>
        <v>Raw Beef</v>
      </c>
      <c r="G181" s="280">
        <f>VLOOKUP(E181,LISTAITEMS,5,FALSE)</f>
        <v>428</v>
      </c>
      <c r="H181" s="282">
        <v>0</v>
      </c>
      <c r="I181" s="283" t="s">
        <v>926</v>
      </c>
      <c r="J181" s="59" t="str">
        <f t="shared" ref="J181" si="64">VLOOKUP(I181,LISTAITEMS,2,FALSE)</f>
        <v>ninguno</v>
      </c>
      <c r="K181" s="280">
        <f>VLOOKUP(I181,LISTAITEMS,5,FALSE)</f>
        <v>0</v>
      </c>
      <c r="L181" s="282">
        <v>0</v>
      </c>
      <c r="M181" s="283" t="s">
        <v>926</v>
      </c>
      <c r="N181" s="59" t="str">
        <f t="shared" ref="N181" si="65">VLOOKUP(M181,LISTAITEMS,2,FALSE)</f>
        <v>ninguno</v>
      </c>
      <c r="O181" s="280">
        <f>VLOOKUP(M181,LISTAITEMS,5,FALSE)</f>
        <v>0</v>
      </c>
      <c r="P181" s="282">
        <v>0</v>
      </c>
      <c r="Q181" s="283" t="s">
        <v>926</v>
      </c>
      <c r="R181" s="59" t="str">
        <f t="shared" ref="R181" si="66">VLOOKUP(Q181,LISTAITEMS,2,FALSE)</f>
        <v>ninguno</v>
      </c>
      <c r="S181" s="280">
        <f>VLOOKUP(Q181,LISTAITEMS,5,FALSE)</f>
        <v>0</v>
      </c>
      <c r="T181" s="282">
        <v>0</v>
      </c>
      <c r="U181" s="283" t="s">
        <v>926</v>
      </c>
      <c r="V181" s="59" t="str">
        <f t="shared" ref="V181" si="67">VLOOKUP(U181,LISTAITEMS,2,FALSE)</f>
        <v>ninguno</v>
      </c>
      <c r="W181" s="280">
        <f>VLOOKUP(U181,LISTAITEMS,5,FALSE)</f>
        <v>0</v>
      </c>
    </row>
    <row r="182" spans="1:23" s="275" customFormat="1" x14ac:dyDescent="0.25">
      <c r="A182" s="286"/>
      <c r="B182" s="286" t="s">
        <v>1013</v>
      </c>
      <c r="C182" s="286"/>
      <c r="D182" s="286"/>
      <c r="E182" s="286"/>
      <c r="F182" s="286"/>
      <c r="G182" s="286"/>
      <c r="H182" s="286"/>
      <c r="I182" s="286"/>
      <c r="J182" s="286"/>
      <c r="K182" s="286"/>
      <c r="L182" s="286"/>
      <c r="M182" s="286"/>
      <c r="N182" s="286"/>
      <c r="O182" s="286"/>
      <c r="P182" s="286"/>
      <c r="Q182" s="286"/>
      <c r="R182" s="286"/>
      <c r="S182" s="286"/>
      <c r="T182" s="286"/>
      <c r="U182" s="286"/>
      <c r="V182" s="286"/>
      <c r="W182" s="286"/>
    </row>
    <row r="183" spans="1:23" s="275" customFormat="1" x14ac:dyDescent="0.25">
      <c r="A183" s="278"/>
      <c r="B183" s="278" t="s">
        <v>203</v>
      </c>
      <c r="C183" s="281" t="s">
        <v>202</v>
      </c>
      <c r="D183" s="285" t="s">
        <v>149</v>
      </c>
      <c r="E183" s="285" t="s">
        <v>1166</v>
      </c>
      <c r="F183" s="281" t="s">
        <v>203</v>
      </c>
      <c r="G183" s="285" t="s">
        <v>1171</v>
      </c>
      <c r="H183" s="285" t="s">
        <v>149</v>
      </c>
      <c r="I183" s="285" t="s">
        <v>1167</v>
      </c>
      <c r="J183" s="281" t="s">
        <v>203</v>
      </c>
      <c r="K183" s="285" t="s">
        <v>1171</v>
      </c>
      <c r="L183" s="285" t="s">
        <v>149</v>
      </c>
      <c r="M183" s="285" t="s">
        <v>1168</v>
      </c>
      <c r="N183" s="281" t="s">
        <v>203</v>
      </c>
      <c r="O183" s="285" t="s">
        <v>1171</v>
      </c>
      <c r="P183" s="285" t="s">
        <v>149</v>
      </c>
      <c r="Q183" s="285" t="s">
        <v>1169</v>
      </c>
      <c r="R183" s="281" t="s">
        <v>203</v>
      </c>
      <c r="S183" s="285" t="s">
        <v>1171</v>
      </c>
      <c r="T183" s="285" t="s">
        <v>149</v>
      </c>
      <c r="U183" s="285" t="s">
        <v>1170</v>
      </c>
      <c r="V183" s="281" t="s">
        <v>203</v>
      </c>
      <c r="W183" s="285" t="s">
        <v>1171</v>
      </c>
    </row>
    <row r="184" spans="1:23" s="275" customFormat="1" x14ac:dyDescent="0.25">
      <c r="A184" s="284" t="s">
        <v>1181</v>
      </c>
      <c r="B184" s="284"/>
      <c r="C184" s="279">
        <f>((D184*G184)+(K184*H184)+(O184*L184)+(S184*P184)+(W184*T184))</f>
        <v>2396</v>
      </c>
      <c r="D184" s="282">
        <v>4</v>
      </c>
      <c r="E184" s="283">
        <v>319</v>
      </c>
      <c r="F184" s="59" t="str">
        <f t="shared" ref="F184" si="68">VLOOKUP(E184,LISTAITEMS,2,FALSE)</f>
        <v>Raw Porkchop</v>
      </c>
      <c r="G184" s="280">
        <f>VLOOKUP(E184,LISTAITEMS,5,FALSE)</f>
        <v>599</v>
      </c>
      <c r="H184" s="282">
        <v>0</v>
      </c>
      <c r="I184" s="283" t="s">
        <v>926</v>
      </c>
      <c r="J184" s="59" t="str">
        <f t="shared" ref="J184" si="69">VLOOKUP(I184,LISTAITEMS,2,FALSE)</f>
        <v>ninguno</v>
      </c>
      <c r="K184" s="280">
        <f>VLOOKUP(I184,LISTAITEMS,5,FALSE)</f>
        <v>0</v>
      </c>
      <c r="L184" s="282">
        <v>0</v>
      </c>
      <c r="M184" s="283" t="s">
        <v>926</v>
      </c>
      <c r="N184" s="59" t="str">
        <f t="shared" ref="N184" si="70">VLOOKUP(M184,LISTAITEMS,2,FALSE)</f>
        <v>ninguno</v>
      </c>
      <c r="O184" s="280">
        <f>VLOOKUP(M184,LISTAITEMS,5,FALSE)</f>
        <v>0</v>
      </c>
      <c r="P184" s="282">
        <v>0</v>
      </c>
      <c r="Q184" s="283" t="s">
        <v>926</v>
      </c>
      <c r="R184" s="59" t="str">
        <f t="shared" ref="R184" si="71">VLOOKUP(Q184,LISTAITEMS,2,FALSE)</f>
        <v>ninguno</v>
      </c>
      <c r="S184" s="280">
        <f>VLOOKUP(Q184,LISTAITEMS,5,FALSE)</f>
        <v>0</v>
      </c>
      <c r="T184" s="282">
        <v>0</v>
      </c>
      <c r="U184" s="283" t="s">
        <v>926</v>
      </c>
      <c r="V184" s="59" t="str">
        <f t="shared" ref="V184" si="72">VLOOKUP(U184,LISTAITEMS,2,FALSE)</f>
        <v>ninguno</v>
      </c>
      <c r="W184" s="280">
        <f>VLOOKUP(U184,LISTAITEMS,5,FALSE)</f>
        <v>0</v>
      </c>
    </row>
    <row r="185" spans="1:23" s="275" customFormat="1" x14ac:dyDescent="0.25">
      <c r="A185" s="286"/>
      <c r="B185" s="286" t="s">
        <v>1014</v>
      </c>
      <c r="C185" s="286"/>
      <c r="D185" s="286"/>
      <c r="E185" s="286"/>
      <c r="F185" s="286"/>
      <c r="G185" s="286"/>
      <c r="H185" s="286"/>
      <c r="I185" s="286"/>
      <c r="J185" s="286"/>
      <c r="K185" s="286"/>
      <c r="L185" s="286"/>
      <c r="M185" s="286"/>
      <c r="N185" s="286"/>
      <c r="O185" s="286"/>
      <c r="P185" s="286"/>
      <c r="Q185" s="286"/>
      <c r="R185" s="286"/>
      <c r="S185" s="286"/>
      <c r="T185" s="286"/>
      <c r="U185" s="286"/>
      <c r="V185" s="286"/>
      <c r="W185" s="286"/>
    </row>
    <row r="186" spans="1:23" s="275" customFormat="1" x14ac:dyDescent="0.25">
      <c r="A186" s="278"/>
      <c r="B186" s="278" t="s">
        <v>203</v>
      </c>
      <c r="C186" s="281" t="s">
        <v>202</v>
      </c>
      <c r="D186" s="285" t="s">
        <v>149</v>
      </c>
      <c r="E186" s="285" t="s">
        <v>1166</v>
      </c>
      <c r="F186" s="281" t="s">
        <v>203</v>
      </c>
      <c r="G186" s="285" t="s">
        <v>1171</v>
      </c>
      <c r="H186" s="285" t="s">
        <v>149</v>
      </c>
      <c r="I186" s="285" t="s">
        <v>1167</v>
      </c>
      <c r="J186" s="281" t="s">
        <v>203</v>
      </c>
      <c r="K186" s="285" t="s">
        <v>1171</v>
      </c>
      <c r="L186" s="285" t="s">
        <v>149</v>
      </c>
      <c r="M186" s="285" t="s">
        <v>1168</v>
      </c>
      <c r="N186" s="281" t="s">
        <v>203</v>
      </c>
      <c r="O186" s="285" t="s">
        <v>1171</v>
      </c>
      <c r="P186" s="285" t="s">
        <v>149</v>
      </c>
      <c r="Q186" s="285" t="s">
        <v>1169</v>
      </c>
      <c r="R186" s="281" t="s">
        <v>203</v>
      </c>
      <c r="S186" s="285" t="s">
        <v>1171</v>
      </c>
      <c r="T186" s="285" t="s">
        <v>149</v>
      </c>
      <c r="U186" s="285" t="s">
        <v>1170</v>
      </c>
      <c r="V186" s="281" t="s">
        <v>203</v>
      </c>
      <c r="W186" s="285" t="s">
        <v>1171</v>
      </c>
    </row>
    <row r="187" spans="1:23" s="275" customFormat="1" x14ac:dyDescent="0.25">
      <c r="A187" s="284" t="s">
        <v>1182</v>
      </c>
      <c r="B187" s="284"/>
      <c r="C187" s="279">
        <f>((D187*G187)+(K187*H187)+(O187*L187)+(S187*P187)+(W187*T187))</f>
        <v>1542</v>
      </c>
      <c r="D187" s="282">
        <v>4</v>
      </c>
      <c r="E187" s="283">
        <v>411</v>
      </c>
      <c r="F187" s="59" t="str">
        <f t="shared" ref="F187" si="73">VLOOKUP(E187,LISTAITEMS,2,FALSE)</f>
        <v>Raw Rabbit</v>
      </c>
      <c r="G187" s="280">
        <f>VLOOKUP(E187,LISTAITEMS,5,FALSE)</f>
        <v>385.5</v>
      </c>
      <c r="H187" s="282">
        <v>0</v>
      </c>
      <c r="I187" s="283" t="s">
        <v>926</v>
      </c>
      <c r="J187" s="59" t="str">
        <f t="shared" ref="J187" si="74">VLOOKUP(I187,LISTAITEMS,2,FALSE)</f>
        <v>ninguno</v>
      </c>
      <c r="K187" s="280">
        <f>VLOOKUP(I187,LISTAITEMS,5,FALSE)</f>
        <v>0</v>
      </c>
      <c r="L187" s="282">
        <v>0</v>
      </c>
      <c r="M187" s="283" t="s">
        <v>926</v>
      </c>
      <c r="N187" s="59" t="str">
        <f t="shared" ref="N187" si="75">VLOOKUP(M187,LISTAITEMS,2,FALSE)</f>
        <v>ninguno</v>
      </c>
      <c r="O187" s="280">
        <f>VLOOKUP(M187,LISTAITEMS,5,FALSE)</f>
        <v>0</v>
      </c>
      <c r="P187" s="282">
        <v>0</v>
      </c>
      <c r="Q187" s="283" t="s">
        <v>926</v>
      </c>
      <c r="R187" s="59" t="str">
        <f t="shared" ref="R187" si="76">VLOOKUP(Q187,LISTAITEMS,2,FALSE)</f>
        <v>ninguno</v>
      </c>
      <c r="S187" s="280">
        <f>VLOOKUP(Q187,LISTAITEMS,5,FALSE)</f>
        <v>0</v>
      </c>
      <c r="T187" s="282">
        <v>0</v>
      </c>
      <c r="U187" s="283" t="s">
        <v>926</v>
      </c>
      <c r="V187" s="59" t="str">
        <f t="shared" ref="V187" si="77">VLOOKUP(U187,LISTAITEMS,2,FALSE)</f>
        <v>ninguno</v>
      </c>
      <c r="W187" s="280">
        <f>VLOOKUP(U187,LISTAITEMS,5,FALSE)</f>
        <v>0</v>
      </c>
    </row>
    <row r="188" spans="1:23" s="275" customFormat="1" x14ac:dyDescent="0.25">
      <c r="A188" s="286"/>
      <c r="B188" s="286" t="s">
        <v>1015</v>
      </c>
      <c r="C188" s="286"/>
      <c r="D188" s="286"/>
      <c r="E188" s="286"/>
      <c r="F188" s="286"/>
      <c r="G188" s="286"/>
      <c r="H188" s="286"/>
      <c r="I188" s="286"/>
      <c r="J188" s="286"/>
      <c r="K188" s="286"/>
      <c r="L188" s="286"/>
      <c r="M188" s="286"/>
      <c r="N188" s="286"/>
      <c r="O188" s="286"/>
      <c r="P188" s="286"/>
      <c r="Q188" s="286"/>
      <c r="R188" s="286"/>
      <c r="S188" s="286"/>
      <c r="T188" s="286"/>
      <c r="U188" s="286"/>
      <c r="V188" s="286"/>
      <c r="W188" s="286"/>
    </row>
    <row r="189" spans="1:23" s="275" customFormat="1" x14ac:dyDescent="0.25">
      <c r="A189" s="278"/>
      <c r="B189" s="278" t="s">
        <v>203</v>
      </c>
      <c r="C189" s="281" t="s">
        <v>202</v>
      </c>
      <c r="D189" s="285" t="s">
        <v>149</v>
      </c>
      <c r="E189" s="285" t="s">
        <v>1166</v>
      </c>
      <c r="F189" s="281" t="s">
        <v>203</v>
      </c>
      <c r="G189" s="285" t="s">
        <v>1171</v>
      </c>
      <c r="H189" s="285" t="s">
        <v>149</v>
      </c>
      <c r="I189" s="285" t="s">
        <v>1167</v>
      </c>
      <c r="J189" s="281" t="s">
        <v>203</v>
      </c>
      <c r="K189" s="285" t="s">
        <v>1171</v>
      </c>
      <c r="L189" s="285" t="s">
        <v>149</v>
      </c>
      <c r="M189" s="285" t="s">
        <v>1168</v>
      </c>
      <c r="N189" s="281" t="s">
        <v>203</v>
      </c>
      <c r="O189" s="285" t="s">
        <v>1171</v>
      </c>
      <c r="P189" s="285" t="s">
        <v>149</v>
      </c>
      <c r="Q189" s="285" t="s">
        <v>1169</v>
      </c>
      <c r="R189" s="281" t="s">
        <v>203</v>
      </c>
      <c r="S189" s="285" t="s">
        <v>1171</v>
      </c>
      <c r="T189" s="285" t="s">
        <v>149</v>
      </c>
      <c r="U189" s="285" t="s">
        <v>1170</v>
      </c>
      <c r="V189" s="281" t="s">
        <v>203</v>
      </c>
      <c r="W189" s="285" t="s">
        <v>1171</v>
      </c>
    </row>
    <row r="190" spans="1:23" s="275" customFormat="1" x14ac:dyDescent="0.25">
      <c r="A190" s="284" t="s">
        <v>1183</v>
      </c>
      <c r="B190" s="284"/>
      <c r="C190" s="279">
        <f>((D190*G190)+(K190*H190)+(O190*L190)+(S190*P190)+(W190*T190))</f>
        <v>1884</v>
      </c>
      <c r="D190" s="282">
        <v>4</v>
      </c>
      <c r="E190" s="283">
        <v>423</v>
      </c>
      <c r="F190" s="59" t="str">
        <f t="shared" ref="F190" si="78">VLOOKUP(E190,LISTAITEMS,2,FALSE)</f>
        <v>Raw Mutton</v>
      </c>
      <c r="G190" s="280">
        <f>VLOOKUP(E190,LISTAITEMS,5,FALSE)</f>
        <v>471</v>
      </c>
      <c r="H190" s="282">
        <v>0</v>
      </c>
      <c r="I190" s="283" t="s">
        <v>926</v>
      </c>
      <c r="J190" s="59" t="str">
        <f t="shared" ref="J190" si="79">VLOOKUP(I190,LISTAITEMS,2,FALSE)</f>
        <v>ninguno</v>
      </c>
      <c r="K190" s="280">
        <f>VLOOKUP(I190,LISTAITEMS,5,FALSE)</f>
        <v>0</v>
      </c>
      <c r="L190" s="282">
        <v>0</v>
      </c>
      <c r="M190" s="283" t="s">
        <v>926</v>
      </c>
      <c r="N190" s="59" t="str">
        <f t="shared" ref="N190" si="80">VLOOKUP(M190,LISTAITEMS,2,FALSE)</f>
        <v>ninguno</v>
      </c>
      <c r="O190" s="280">
        <f>VLOOKUP(M190,LISTAITEMS,5,FALSE)</f>
        <v>0</v>
      </c>
      <c r="P190" s="282">
        <v>0</v>
      </c>
      <c r="Q190" s="283" t="s">
        <v>926</v>
      </c>
      <c r="R190" s="59" t="str">
        <f t="shared" ref="R190" si="81">VLOOKUP(Q190,LISTAITEMS,2,FALSE)</f>
        <v>ninguno</v>
      </c>
      <c r="S190" s="280">
        <f>VLOOKUP(Q190,LISTAITEMS,5,FALSE)</f>
        <v>0</v>
      </c>
      <c r="T190" s="282">
        <v>0</v>
      </c>
      <c r="U190" s="283" t="s">
        <v>926</v>
      </c>
      <c r="V190" s="59" t="str">
        <f t="shared" ref="V190" si="82">VLOOKUP(U190,LISTAITEMS,2,FALSE)</f>
        <v>ninguno</v>
      </c>
      <c r="W190" s="280">
        <f>VLOOKUP(U190,LISTAITEMS,5,FALSE)</f>
        <v>0</v>
      </c>
    </row>
    <row r="191" spans="1:23" x14ac:dyDescent="0.25">
      <c r="A191" s="277"/>
      <c r="B191" s="277" t="s">
        <v>1124</v>
      </c>
      <c r="C191" s="277"/>
      <c r="D191" s="277"/>
      <c r="E191" s="277"/>
      <c r="F191" s="277"/>
      <c r="G191" s="277"/>
      <c r="H191" s="277"/>
      <c r="I191" s="277"/>
      <c r="J191" s="277"/>
      <c r="K191" s="277"/>
      <c r="L191" s="277"/>
      <c r="M191" s="277"/>
      <c r="N191" s="277"/>
      <c r="O191" s="277"/>
      <c r="P191" s="277"/>
      <c r="Q191" s="277"/>
      <c r="R191" s="277"/>
      <c r="S191" s="277"/>
      <c r="T191" s="277"/>
      <c r="U191" s="277"/>
      <c r="V191" s="277"/>
      <c r="W191" s="277"/>
    </row>
    <row r="192" spans="1:23" x14ac:dyDescent="0.25">
      <c r="A192" s="277"/>
      <c r="B192" s="277"/>
      <c r="C192" s="277"/>
      <c r="D192" s="277"/>
      <c r="E192" s="277"/>
      <c r="F192" s="277"/>
      <c r="G192" s="277"/>
      <c r="H192" s="277"/>
      <c r="I192" s="277"/>
      <c r="J192" s="277"/>
      <c r="K192" s="277"/>
      <c r="L192" s="277"/>
      <c r="M192" s="277"/>
      <c r="N192" s="277"/>
      <c r="O192" s="277"/>
      <c r="P192" s="277"/>
      <c r="Q192" s="277"/>
      <c r="R192" s="277"/>
      <c r="S192" s="277"/>
      <c r="T192" s="277"/>
      <c r="U192" s="277"/>
      <c r="V192" s="277"/>
      <c r="W192" s="277"/>
    </row>
    <row r="193" spans="1:23" x14ac:dyDescent="0.25">
      <c r="A193" s="286"/>
      <c r="B193" s="286" t="s">
        <v>1010</v>
      </c>
      <c r="C193" s="286"/>
      <c r="D193" s="286"/>
      <c r="E193" s="286"/>
      <c r="F193" s="286"/>
      <c r="G193" s="286"/>
      <c r="H193" s="286"/>
      <c r="I193" s="286"/>
      <c r="J193" s="286"/>
      <c r="K193" s="286"/>
      <c r="L193" s="286"/>
      <c r="M193" s="286"/>
      <c r="N193" s="286"/>
      <c r="O193" s="286"/>
      <c r="P193" s="286"/>
      <c r="Q193" s="286"/>
      <c r="R193" s="286"/>
      <c r="S193" s="286"/>
      <c r="T193" s="286"/>
      <c r="U193" s="286"/>
      <c r="V193" s="286"/>
      <c r="W193" s="286"/>
    </row>
    <row r="194" spans="1:23" x14ac:dyDescent="0.25">
      <c r="A194" s="278"/>
      <c r="B194" s="278" t="s">
        <v>203</v>
      </c>
      <c r="C194" s="281" t="s">
        <v>202</v>
      </c>
      <c r="D194" s="285" t="s">
        <v>149</v>
      </c>
      <c r="E194" s="285" t="s">
        <v>1166</v>
      </c>
      <c r="F194" s="281" t="s">
        <v>203</v>
      </c>
      <c r="G194" s="285" t="s">
        <v>1171</v>
      </c>
      <c r="H194" s="285" t="s">
        <v>149</v>
      </c>
      <c r="I194" s="285" t="s">
        <v>1167</v>
      </c>
      <c r="J194" s="281" t="s">
        <v>203</v>
      </c>
      <c r="K194" s="285" t="s">
        <v>1171</v>
      </c>
      <c r="L194" s="285" t="s">
        <v>149</v>
      </c>
      <c r="M194" s="285" t="s">
        <v>1168</v>
      </c>
      <c r="N194" s="281" t="s">
        <v>203</v>
      </c>
      <c r="O194" s="285" t="s">
        <v>1171</v>
      </c>
      <c r="P194" s="285" t="s">
        <v>149</v>
      </c>
      <c r="Q194" s="285" t="s">
        <v>1169</v>
      </c>
      <c r="R194" s="281" t="s">
        <v>203</v>
      </c>
      <c r="S194" s="285" t="s">
        <v>1171</v>
      </c>
      <c r="T194" s="285" t="s">
        <v>149</v>
      </c>
      <c r="U194" s="285" t="s">
        <v>1170</v>
      </c>
      <c r="V194" s="281" t="s">
        <v>203</v>
      </c>
      <c r="W194" s="285" t="s">
        <v>1171</v>
      </c>
    </row>
    <row r="195" spans="1:23" x14ac:dyDescent="0.25">
      <c r="A195" s="284" t="s">
        <v>1189</v>
      </c>
      <c r="B195" s="284"/>
      <c r="C195" s="279">
        <f>((D195*G195)+(K195*H195)+(O195*L195)+(S195*P195)+(W195*T195))</f>
        <v>385.5</v>
      </c>
      <c r="D195" s="282">
        <v>1</v>
      </c>
      <c r="E195" s="283">
        <v>415</v>
      </c>
      <c r="F195" s="59" t="str">
        <f t="shared" ref="F195" si="83">VLOOKUP(E195,LISTAITEMS,2,FALSE)</f>
        <v>Rabbit Hide</v>
      </c>
      <c r="G195" s="280">
        <f>VLOOKUP(E195,LISTAITEMS,5,FALSE)</f>
        <v>385.5</v>
      </c>
      <c r="H195" s="282">
        <v>0</v>
      </c>
      <c r="I195" s="283" t="s">
        <v>926</v>
      </c>
      <c r="J195" s="59" t="str">
        <f t="shared" ref="J195" si="84">VLOOKUP(I195,LISTAITEMS,2,FALSE)</f>
        <v>ninguno</v>
      </c>
      <c r="K195" s="280">
        <f>VLOOKUP(I195,LISTAITEMS,5,FALSE)</f>
        <v>0</v>
      </c>
      <c r="L195" s="282">
        <v>0</v>
      </c>
      <c r="M195" s="283" t="s">
        <v>926</v>
      </c>
      <c r="N195" s="59" t="str">
        <f t="shared" ref="N195" si="85">VLOOKUP(M195,LISTAITEMS,2,FALSE)</f>
        <v>ninguno</v>
      </c>
      <c r="O195" s="280">
        <f>VLOOKUP(M195,LISTAITEMS,5,FALSE)</f>
        <v>0</v>
      </c>
      <c r="P195" s="282">
        <v>0</v>
      </c>
      <c r="Q195" s="283" t="s">
        <v>926</v>
      </c>
      <c r="R195" s="59" t="str">
        <f t="shared" ref="R195" si="86">VLOOKUP(Q195,LISTAITEMS,2,FALSE)</f>
        <v>ninguno</v>
      </c>
      <c r="S195" s="280">
        <f>VLOOKUP(Q195,LISTAITEMS,5,FALSE)</f>
        <v>0</v>
      </c>
      <c r="T195" s="282">
        <v>0</v>
      </c>
      <c r="U195" s="283" t="s">
        <v>926</v>
      </c>
      <c r="V195" s="59" t="str">
        <f t="shared" ref="V195" si="87">VLOOKUP(U195,LISTAITEMS,2,FALSE)</f>
        <v>ninguno</v>
      </c>
      <c r="W195" s="280">
        <f>VLOOKUP(U195,LISTAITEMS,5,FALSE)</f>
        <v>0</v>
      </c>
    </row>
    <row r="196" spans="1:23" s="275" customFormat="1" x14ac:dyDescent="0.25">
      <c r="A196" s="284" t="s">
        <v>1192</v>
      </c>
      <c r="B196" s="284"/>
      <c r="C196" s="279">
        <f>((D196*G196)+(K196*H196)+(O196*L196)+(S196*P196)+(W196*T196))</f>
        <v>1850.3999999999999</v>
      </c>
      <c r="D196" s="282">
        <v>1</v>
      </c>
      <c r="E196" s="283">
        <v>334</v>
      </c>
      <c r="F196" s="59" t="str">
        <f t="shared" ref="F196" si="88">VLOOKUP(E196,LISTAITEMS,2,FALSE)</f>
        <v>Leather</v>
      </c>
      <c r="G196" s="280">
        <f>VLOOKUP(E196,LISTAITEMS,5,FALSE)</f>
        <v>1850.3999999999999</v>
      </c>
      <c r="H196" s="282">
        <v>0</v>
      </c>
      <c r="I196" s="283" t="s">
        <v>926</v>
      </c>
      <c r="J196" s="59" t="str">
        <f t="shared" ref="J196" si="89">VLOOKUP(I196,LISTAITEMS,2,FALSE)</f>
        <v>ninguno</v>
      </c>
      <c r="K196" s="280">
        <f>VLOOKUP(I196,LISTAITEMS,5,FALSE)</f>
        <v>0</v>
      </c>
      <c r="L196" s="282">
        <v>0</v>
      </c>
      <c r="M196" s="283" t="s">
        <v>926</v>
      </c>
      <c r="N196" s="59" t="str">
        <f t="shared" ref="N196" si="90">VLOOKUP(M196,LISTAITEMS,2,FALSE)</f>
        <v>ninguno</v>
      </c>
      <c r="O196" s="280">
        <f>VLOOKUP(M196,LISTAITEMS,5,FALSE)</f>
        <v>0</v>
      </c>
      <c r="P196" s="282">
        <v>0</v>
      </c>
      <c r="Q196" s="283" t="s">
        <v>926</v>
      </c>
      <c r="R196" s="59" t="str">
        <f t="shared" ref="R196" si="91">VLOOKUP(Q196,LISTAITEMS,2,FALSE)</f>
        <v>ninguno</v>
      </c>
      <c r="S196" s="280">
        <f>VLOOKUP(Q196,LISTAITEMS,5,FALSE)</f>
        <v>0</v>
      </c>
      <c r="T196" s="282">
        <v>0</v>
      </c>
      <c r="U196" s="283" t="s">
        <v>926</v>
      </c>
      <c r="V196" s="59" t="str">
        <f t="shared" ref="V196" si="92">VLOOKUP(U196,LISTAITEMS,2,FALSE)</f>
        <v>ninguno</v>
      </c>
      <c r="W196" s="280">
        <f>VLOOKUP(U196,LISTAITEMS,5,FALSE)</f>
        <v>0</v>
      </c>
    </row>
    <row r="204" spans="1:23" x14ac:dyDescent="0.25">
      <c r="A204" s="277" t="s">
        <v>1127</v>
      </c>
      <c r="B204" s="277"/>
      <c r="C204" s="277"/>
      <c r="D204" s="277"/>
      <c r="E204" s="277"/>
      <c r="F204" s="277"/>
      <c r="G204" s="277"/>
      <c r="H204" s="277"/>
      <c r="I204" s="277"/>
      <c r="J204" s="277"/>
      <c r="K204" s="277"/>
      <c r="L204" s="277"/>
      <c r="M204" s="277"/>
      <c r="N204" s="277"/>
      <c r="O204" s="277"/>
      <c r="P204" s="277"/>
      <c r="Q204" s="277"/>
      <c r="R204" s="277"/>
      <c r="S204" s="277"/>
      <c r="T204" s="277"/>
      <c r="U204" s="277"/>
      <c r="V204" s="277"/>
      <c r="W204" s="277"/>
    </row>
    <row r="205" spans="1:23" x14ac:dyDescent="0.25">
      <c r="A205" s="277"/>
      <c r="B205" s="277"/>
      <c r="C205" s="277"/>
      <c r="D205" s="277"/>
      <c r="E205" s="277"/>
      <c r="F205" s="277"/>
      <c r="G205" s="277"/>
      <c r="H205" s="277"/>
      <c r="I205" s="277"/>
      <c r="J205" s="277"/>
      <c r="K205" s="277"/>
      <c r="L205" s="277"/>
      <c r="M205" s="277"/>
      <c r="N205" s="277"/>
      <c r="O205" s="277"/>
      <c r="P205" s="277"/>
      <c r="Q205" s="277"/>
      <c r="R205" s="277"/>
      <c r="S205" s="277"/>
      <c r="T205" s="277"/>
      <c r="U205" s="277"/>
      <c r="V205" s="277"/>
      <c r="W205" s="277"/>
    </row>
    <row r="206" spans="1:23" x14ac:dyDescent="0.25">
      <c r="A206" s="286"/>
      <c r="B206" s="286" t="s">
        <v>1010</v>
      </c>
      <c r="C206" s="286"/>
      <c r="D206" s="286"/>
      <c r="E206" s="286"/>
      <c r="F206" s="286"/>
      <c r="G206" s="286"/>
      <c r="H206" s="286"/>
      <c r="I206" s="286"/>
      <c r="J206" s="286"/>
      <c r="K206" s="286"/>
      <c r="L206" s="286"/>
      <c r="M206" s="286"/>
      <c r="N206" s="286"/>
      <c r="O206" s="286"/>
      <c r="P206" s="286"/>
      <c r="Q206" s="286"/>
      <c r="R206" s="286"/>
      <c r="S206" s="286"/>
      <c r="T206" s="286"/>
      <c r="U206" s="286"/>
      <c r="V206" s="286"/>
      <c r="W206" s="286"/>
    </row>
    <row r="207" spans="1:23" x14ac:dyDescent="0.25">
      <c r="A207" s="278"/>
      <c r="B207" s="278" t="s">
        <v>203</v>
      </c>
      <c r="C207" s="281" t="s">
        <v>202</v>
      </c>
      <c r="D207" s="285" t="s">
        <v>149</v>
      </c>
      <c r="E207" s="285" t="s">
        <v>1166</v>
      </c>
      <c r="F207" s="281" t="s">
        <v>203</v>
      </c>
      <c r="G207" s="285" t="s">
        <v>1171</v>
      </c>
      <c r="H207" s="285" t="s">
        <v>149</v>
      </c>
      <c r="I207" s="285" t="s">
        <v>1167</v>
      </c>
      <c r="J207" s="281" t="s">
        <v>203</v>
      </c>
      <c r="K207" s="285" t="s">
        <v>1171</v>
      </c>
      <c r="L207" s="285" t="s">
        <v>149</v>
      </c>
      <c r="M207" s="285" t="s">
        <v>1168</v>
      </c>
      <c r="N207" s="281" t="s">
        <v>203</v>
      </c>
      <c r="O207" s="285" t="s">
        <v>1171</v>
      </c>
      <c r="P207" s="285" t="s">
        <v>149</v>
      </c>
      <c r="Q207" s="285" t="s">
        <v>1169</v>
      </c>
      <c r="R207" s="281" t="s">
        <v>203</v>
      </c>
      <c r="S207" s="285" t="s">
        <v>1171</v>
      </c>
      <c r="T207" s="285" t="s">
        <v>149</v>
      </c>
      <c r="U207" s="285" t="s">
        <v>1170</v>
      </c>
      <c r="V207" s="281" t="s">
        <v>203</v>
      </c>
      <c r="W207" s="285" t="s">
        <v>1171</v>
      </c>
    </row>
    <row r="208" spans="1:23" x14ac:dyDescent="0.25">
      <c r="A208" s="284" t="s">
        <v>1165</v>
      </c>
      <c r="B208" s="284"/>
      <c r="C208" s="279">
        <f>((D208*G208)+(K208*H208)+(O208*L208)+(S208*P208)+(W208*T208))</f>
        <v>0</v>
      </c>
      <c r="D208" s="282">
        <v>0</v>
      </c>
      <c r="E208" s="283" t="s">
        <v>926</v>
      </c>
      <c r="F208" s="59" t="str">
        <f t="shared" ref="F208" si="93">VLOOKUP(E208,LISTAITEMS,2,FALSE)</f>
        <v>ninguno</v>
      </c>
      <c r="G208" s="280">
        <f>VLOOKUP(E208,LISTAITEMS,5,FALSE)</f>
        <v>0</v>
      </c>
      <c r="H208" s="282">
        <v>0</v>
      </c>
      <c r="I208" s="283" t="s">
        <v>926</v>
      </c>
      <c r="J208" s="59" t="str">
        <f t="shared" ref="J208" si="94">VLOOKUP(I208,LISTAITEMS,2,FALSE)</f>
        <v>ninguno</v>
      </c>
      <c r="K208" s="280">
        <f>VLOOKUP(I208,LISTAITEMS,5,FALSE)</f>
        <v>0</v>
      </c>
      <c r="L208" s="282">
        <v>0</v>
      </c>
      <c r="M208" s="283" t="s">
        <v>926</v>
      </c>
      <c r="N208" s="59" t="str">
        <f t="shared" ref="N208" si="95">VLOOKUP(M208,LISTAITEMS,2,FALSE)</f>
        <v>ninguno</v>
      </c>
      <c r="O208" s="280">
        <f>VLOOKUP(M208,LISTAITEMS,5,FALSE)</f>
        <v>0</v>
      </c>
      <c r="P208" s="282">
        <v>0</v>
      </c>
      <c r="Q208" s="283" t="s">
        <v>926</v>
      </c>
      <c r="R208" s="59" t="str">
        <f t="shared" ref="R208" si="96">VLOOKUP(Q208,LISTAITEMS,2,FALSE)</f>
        <v>ninguno</v>
      </c>
      <c r="S208" s="280">
        <f>VLOOKUP(Q208,LISTAITEMS,5,FALSE)</f>
        <v>0</v>
      </c>
      <c r="T208" s="282">
        <v>0</v>
      </c>
      <c r="U208" s="283" t="s">
        <v>926</v>
      </c>
      <c r="V208" s="59" t="str">
        <f t="shared" ref="V208" si="97">VLOOKUP(U208,LISTAITEMS,2,FALSE)</f>
        <v>ninguno</v>
      </c>
      <c r="W208" s="280">
        <f>VLOOKUP(U208,LISTAITEMS,5,FALSE)</f>
        <v>0</v>
      </c>
    </row>
    <row r="214" spans="1:23" x14ac:dyDescent="0.25">
      <c r="A214" s="277" t="s">
        <v>1151</v>
      </c>
      <c r="B214" s="277"/>
      <c r="C214" s="277"/>
      <c r="D214" s="277"/>
      <c r="E214" s="277"/>
      <c r="F214" s="277"/>
      <c r="G214" s="277"/>
      <c r="H214" s="277"/>
      <c r="I214" s="277"/>
      <c r="J214" s="277"/>
      <c r="K214" s="277"/>
      <c r="L214" s="277"/>
      <c r="M214" s="277"/>
      <c r="N214" s="277"/>
      <c r="O214" s="277"/>
      <c r="P214" s="277"/>
      <c r="Q214" s="277"/>
      <c r="R214" s="277"/>
      <c r="S214" s="277"/>
      <c r="T214" s="277"/>
      <c r="U214" s="277"/>
      <c r="V214" s="277"/>
      <c r="W214" s="277"/>
    </row>
    <row r="215" spans="1:23" x14ac:dyDescent="0.25">
      <c r="A215" s="277"/>
      <c r="B215" s="277"/>
      <c r="C215" s="277"/>
      <c r="D215" s="277"/>
      <c r="E215" s="277"/>
      <c r="F215" s="277"/>
      <c r="G215" s="277"/>
      <c r="H215" s="277"/>
      <c r="I215" s="277"/>
      <c r="J215" s="277"/>
      <c r="K215" s="277"/>
      <c r="L215" s="277"/>
      <c r="M215" s="277"/>
      <c r="N215" s="277"/>
      <c r="O215" s="277"/>
      <c r="P215" s="277"/>
      <c r="Q215" s="277"/>
      <c r="R215" s="277"/>
      <c r="S215" s="277"/>
      <c r="T215" s="277"/>
      <c r="U215" s="277"/>
      <c r="V215" s="277"/>
      <c r="W215" s="277"/>
    </row>
    <row r="216" spans="1:23" x14ac:dyDescent="0.25">
      <c r="A216" s="286"/>
      <c r="B216" s="286" t="s">
        <v>1010</v>
      </c>
      <c r="C216" s="286"/>
      <c r="D216" s="286"/>
      <c r="E216" s="286"/>
      <c r="F216" s="286"/>
      <c r="G216" s="286"/>
      <c r="H216" s="286"/>
      <c r="I216" s="286"/>
      <c r="J216" s="286"/>
      <c r="K216" s="286"/>
      <c r="L216" s="286"/>
      <c r="M216" s="286"/>
      <c r="N216" s="286"/>
      <c r="O216" s="286"/>
      <c r="P216" s="286"/>
      <c r="Q216" s="286"/>
      <c r="R216" s="286"/>
      <c r="S216" s="286"/>
      <c r="T216" s="286"/>
      <c r="U216" s="286"/>
      <c r="V216" s="286"/>
      <c r="W216" s="286"/>
    </row>
    <row r="217" spans="1:23" x14ac:dyDescent="0.25">
      <c r="A217" s="278"/>
      <c r="B217" s="278" t="s">
        <v>203</v>
      </c>
      <c r="C217" s="281" t="s">
        <v>202</v>
      </c>
      <c r="D217" s="285" t="s">
        <v>149</v>
      </c>
      <c r="E217" s="285" t="s">
        <v>1166</v>
      </c>
      <c r="F217" s="281" t="s">
        <v>203</v>
      </c>
      <c r="G217" s="285" t="s">
        <v>1171</v>
      </c>
      <c r="H217" s="285" t="s">
        <v>149</v>
      </c>
      <c r="I217" s="285" t="s">
        <v>1167</v>
      </c>
      <c r="J217" s="281" t="s">
        <v>203</v>
      </c>
      <c r="K217" s="285" t="s">
        <v>1171</v>
      </c>
      <c r="L217" s="285" t="s">
        <v>149</v>
      </c>
      <c r="M217" s="285" t="s">
        <v>1168</v>
      </c>
      <c r="N217" s="281" t="s">
        <v>203</v>
      </c>
      <c r="O217" s="285" t="s">
        <v>1171</v>
      </c>
      <c r="P217" s="285" t="s">
        <v>149</v>
      </c>
      <c r="Q217" s="285" t="s">
        <v>1169</v>
      </c>
      <c r="R217" s="281" t="s">
        <v>203</v>
      </c>
      <c r="S217" s="285" t="s">
        <v>1171</v>
      </c>
      <c r="T217" s="285" t="s">
        <v>149</v>
      </c>
      <c r="U217" s="285" t="s">
        <v>1170</v>
      </c>
      <c r="V217" s="281" t="s">
        <v>203</v>
      </c>
      <c r="W217" s="285" t="s">
        <v>1171</v>
      </c>
    </row>
    <row r="218" spans="1:23" x14ac:dyDescent="0.25">
      <c r="A218" s="284" t="s">
        <v>1165</v>
      </c>
      <c r="B218" s="284"/>
      <c r="C218" s="279">
        <f>((D218*G218)+(K218*H218)+(O218*L218)+(S218*P218)+(W218*T218))</f>
        <v>0</v>
      </c>
      <c r="D218" s="282">
        <v>0</v>
      </c>
      <c r="E218" s="283" t="s">
        <v>926</v>
      </c>
      <c r="F218" s="59" t="str">
        <f t="shared" ref="F218" si="98">VLOOKUP(E218,LISTAITEMS,2,FALSE)</f>
        <v>ninguno</v>
      </c>
      <c r="G218" s="280">
        <f>VLOOKUP(E218,LISTAITEMS,5,FALSE)</f>
        <v>0</v>
      </c>
      <c r="H218" s="282">
        <v>0</v>
      </c>
      <c r="I218" s="283" t="s">
        <v>926</v>
      </c>
      <c r="J218" s="59" t="str">
        <f t="shared" ref="J218" si="99">VLOOKUP(I218,LISTAITEMS,2,FALSE)</f>
        <v>ninguno</v>
      </c>
      <c r="K218" s="280">
        <f>VLOOKUP(I218,LISTAITEMS,5,FALSE)</f>
        <v>0</v>
      </c>
      <c r="L218" s="282">
        <v>0</v>
      </c>
      <c r="M218" s="283" t="s">
        <v>926</v>
      </c>
      <c r="N218" s="59" t="str">
        <f t="shared" ref="N218" si="100">VLOOKUP(M218,LISTAITEMS,2,FALSE)</f>
        <v>ninguno</v>
      </c>
      <c r="O218" s="280">
        <f>VLOOKUP(M218,LISTAITEMS,5,FALSE)</f>
        <v>0</v>
      </c>
      <c r="P218" s="282">
        <v>0</v>
      </c>
      <c r="Q218" s="283" t="s">
        <v>926</v>
      </c>
      <c r="R218" s="59" t="str">
        <f t="shared" ref="R218" si="101">VLOOKUP(Q218,LISTAITEMS,2,FALSE)</f>
        <v>ninguno</v>
      </c>
      <c r="S218" s="280">
        <f>VLOOKUP(Q218,LISTAITEMS,5,FALSE)</f>
        <v>0</v>
      </c>
      <c r="T218" s="282">
        <v>0</v>
      </c>
      <c r="U218" s="283" t="s">
        <v>926</v>
      </c>
      <c r="V218" s="59" t="str">
        <f t="shared" ref="V218" si="102">VLOOKUP(U218,LISTAITEMS,2,FALSE)</f>
        <v>ninguno</v>
      </c>
      <c r="W218" s="280">
        <f>VLOOKUP(U218,LISTAITEMS,5,FALSE)</f>
        <v>0</v>
      </c>
    </row>
    <row r="225" spans="1:23" x14ac:dyDescent="0.25">
      <c r="A225" s="277" t="s">
        <v>1159</v>
      </c>
      <c r="B225" s="277"/>
      <c r="C225" s="277"/>
      <c r="D225" s="277"/>
      <c r="E225" s="277"/>
      <c r="F225" s="277"/>
      <c r="G225" s="277"/>
      <c r="H225" s="277"/>
      <c r="I225" s="277"/>
      <c r="J225" s="277"/>
      <c r="K225" s="277"/>
      <c r="L225" s="277"/>
      <c r="M225" s="277"/>
      <c r="N225" s="277"/>
      <c r="O225" s="277"/>
      <c r="P225" s="277"/>
      <c r="Q225" s="277"/>
      <c r="R225" s="277"/>
      <c r="S225" s="277"/>
      <c r="T225" s="277"/>
      <c r="U225" s="277"/>
      <c r="V225" s="277"/>
      <c r="W225" s="277"/>
    </row>
    <row r="226" spans="1:23" x14ac:dyDescent="0.25">
      <c r="A226" s="277"/>
      <c r="B226" s="277"/>
      <c r="C226" s="277"/>
      <c r="D226" s="277"/>
      <c r="E226" s="277"/>
      <c r="F226" s="277"/>
      <c r="G226" s="277"/>
      <c r="H226" s="277"/>
      <c r="I226" s="277"/>
      <c r="J226" s="277"/>
      <c r="K226" s="277"/>
      <c r="L226" s="277"/>
      <c r="M226" s="277"/>
      <c r="N226" s="277"/>
      <c r="O226" s="277"/>
      <c r="P226" s="277"/>
      <c r="Q226" s="277"/>
      <c r="R226" s="277"/>
      <c r="S226" s="277"/>
      <c r="T226" s="277"/>
      <c r="U226" s="277"/>
      <c r="V226" s="277"/>
      <c r="W226" s="277"/>
    </row>
    <row r="227" spans="1:23" x14ac:dyDescent="0.25">
      <c r="A227" s="286"/>
      <c r="B227" s="286" t="s">
        <v>1010</v>
      </c>
      <c r="C227" s="286"/>
      <c r="D227" s="286"/>
      <c r="E227" s="286"/>
      <c r="F227" s="286"/>
      <c r="G227" s="286"/>
      <c r="H227" s="286"/>
      <c r="I227" s="286"/>
      <c r="J227" s="286"/>
      <c r="K227" s="286"/>
      <c r="L227" s="286"/>
      <c r="M227" s="286"/>
      <c r="N227" s="286"/>
      <c r="O227" s="286"/>
      <c r="P227" s="286"/>
      <c r="Q227" s="286"/>
      <c r="R227" s="286"/>
      <c r="S227" s="286"/>
      <c r="T227" s="286"/>
      <c r="U227" s="286"/>
      <c r="V227" s="286"/>
      <c r="W227" s="286"/>
    </row>
    <row r="228" spans="1:23" x14ac:dyDescent="0.25">
      <c r="A228" s="278"/>
      <c r="B228" s="278" t="s">
        <v>203</v>
      </c>
      <c r="C228" s="281" t="s">
        <v>202</v>
      </c>
      <c r="D228" s="285" t="s">
        <v>149</v>
      </c>
      <c r="E228" s="285" t="s">
        <v>1166</v>
      </c>
      <c r="F228" s="281" t="s">
        <v>203</v>
      </c>
      <c r="G228" s="285" t="s">
        <v>1171</v>
      </c>
      <c r="H228" s="285" t="s">
        <v>149</v>
      </c>
      <c r="I228" s="285" t="s">
        <v>1167</v>
      </c>
      <c r="J228" s="281" t="s">
        <v>203</v>
      </c>
      <c r="K228" s="285" t="s">
        <v>1171</v>
      </c>
      <c r="L228" s="285" t="s">
        <v>149</v>
      </c>
      <c r="M228" s="285" t="s">
        <v>1168</v>
      </c>
      <c r="N228" s="281" t="s">
        <v>203</v>
      </c>
      <c r="O228" s="285" t="s">
        <v>1171</v>
      </c>
      <c r="P228" s="285" t="s">
        <v>149</v>
      </c>
      <c r="Q228" s="285" t="s">
        <v>1169</v>
      </c>
      <c r="R228" s="281" t="s">
        <v>203</v>
      </c>
      <c r="S228" s="285" t="s">
        <v>1171</v>
      </c>
      <c r="T228" s="285" t="s">
        <v>149</v>
      </c>
      <c r="U228" s="285" t="s">
        <v>1170</v>
      </c>
      <c r="V228" s="281" t="s">
        <v>203</v>
      </c>
      <c r="W228" s="285" t="s">
        <v>1171</v>
      </c>
    </row>
    <row r="229" spans="1:23" x14ac:dyDescent="0.25">
      <c r="A229" s="284" t="s">
        <v>1165</v>
      </c>
      <c r="B229" s="284"/>
      <c r="C229" s="279">
        <f>((D229*G229)+(K229*H229)+(O229*L229)+(S229*P229)+(W229*T229))</f>
        <v>0</v>
      </c>
      <c r="D229" s="282">
        <v>0</v>
      </c>
      <c r="E229" s="283" t="s">
        <v>926</v>
      </c>
      <c r="F229" s="59" t="str">
        <f t="shared" ref="F229" si="103">VLOOKUP(E229,LISTAITEMS,2,FALSE)</f>
        <v>ninguno</v>
      </c>
      <c r="G229" s="280">
        <f>VLOOKUP(E229,LISTAITEMS,5,FALSE)</f>
        <v>0</v>
      </c>
      <c r="H229" s="282">
        <v>0</v>
      </c>
      <c r="I229" s="283" t="s">
        <v>926</v>
      </c>
      <c r="J229" s="59" t="str">
        <f t="shared" ref="J229" si="104">VLOOKUP(I229,LISTAITEMS,2,FALSE)</f>
        <v>ninguno</v>
      </c>
      <c r="K229" s="280">
        <f>VLOOKUP(I229,LISTAITEMS,5,FALSE)</f>
        <v>0</v>
      </c>
      <c r="L229" s="282">
        <v>0</v>
      </c>
      <c r="M229" s="283" t="s">
        <v>926</v>
      </c>
      <c r="N229" s="59" t="str">
        <f t="shared" ref="N229" si="105">VLOOKUP(M229,LISTAITEMS,2,FALSE)</f>
        <v>ninguno</v>
      </c>
      <c r="O229" s="280">
        <f>VLOOKUP(M229,LISTAITEMS,5,FALSE)</f>
        <v>0</v>
      </c>
      <c r="P229" s="282">
        <v>0</v>
      </c>
      <c r="Q229" s="283" t="s">
        <v>926</v>
      </c>
      <c r="R229" s="59" t="str">
        <f t="shared" ref="R229" si="106">VLOOKUP(Q229,LISTAITEMS,2,FALSE)</f>
        <v>ninguno</v>
      </c>
      <c r="S229" s="280">
        <f>VLOOKUP(Q229,LISTAITEMS,5,FALSE)</f>
        <v>0</v>
      </c>
      <c r="T229" s="282">
        <v>0</v>
      </c>
      <c r="U229" s="283" t="s">
        <v>926</v>
      </c>
      <c r="V229" s="59" t="str">
        <f t="shared" ref="V229" si="107">VLOOKUP(U229,LISTAITEMS,2,FALSE)</f>
        <v>ninguno</v>
      </c>
      <c r="W229" s="280">
        <f>VLOOKUP(U229,LISTAITEMS,5,FALSE)</f>
        <v>0</v>
      </c>
    </row>
    <row r="236" spans="1:23" x14ac:dyDescent="0.25">
      <c r="A236" s="277" t="s">
        <v>1161</v>
      </c>
      <c r="B236" s="277"/>
      <c r="C236" s="277"/>
      <c r="D236" s="277"/>
      <c r="E236" s="277"/>
      <c r="F236" s="277"/>
      <c r="G236" s="277"/>
      <c r="H236" s="277"/>
      <c r="I236" s="277"/>
      <c r="J236" s="277"/>
      <c r="K236" s="277"/>
      <c r="L236" s="277"/>
      <c r="M236" s="277"/>
      <c r="N236" s="277"/>
      <c r="O236" s="277"/>
      <c r="P236" s="277"/>
      <c r="Q236" s="277"/>
      <c r="R236" s="277"/>
      <c r="S236" s="277"/>
      <c r="T236" s="277"/>
      <c r="U236" s="277"/>
      <c r="V236" s="277"/>
      <c r="W236" s="277"/>
    </row>
    <row r="237" spans="1:23" x14ac:dyDescent="0.25">
      <c r="A237" s="277"/>
      <c r="B237" s="277"/>
      <c r="C237" s="277"/>
      <c r="D237" s="277"/>
      <c r="E237" s="277"/>
      <c r="F237" s="277"/>
      <c r="G237" s="277"/>
      <c r="H237" s="277"/>
      <c r="I237" s="277"/>
      <c r="J237" s="277"/>
      <c r="K237" s="277"/>
      <c r="L237" s="277"/>
      <c r="M237" s="277"/>
      <c r="N237" s="277"/>
      <c r="O237" s="277"/>
      <c r="P237" s="277"/>
      <c r="Q237" s="277"/>
      <c r="R237" s="277"/>
      <c r="S237" s="277"/>
      <c r="T237" s="277"/>
      <c r="U237" s="277"/>
      <c r="V237" s="277"/>
      <c r="W237" s="277"/>
    </row>
    <row r="238" spans="1:23" x14ac:dyDescent="0.25">
      <c r="A238" s="286"/>
      <c r="B238" s="286" t="s">
        <v>1010</v>
      </c>
      <c r="C238" s="286"/>
      <c r="D238" s="286"/>
      <c r="E238" s="286"/>
      <c r="F238" s="286"/>
      <c r="G238" s="286"/>
      <c r="H238" s="286"/>
      <c r="I238" s="286"/>
      <c r="J238" s="286"/>
      <c r="K238" s="286"/>
      <c r="L238" s="286"/>
      <c r="M238" s="286"/>
      <c r="N238" s="286"/>
      <c r="O238" s="286"/>
      <c r="P238" s="286"/>
      <c r="Q238" s="286"/>
      <c r="R238" s="286"/>
      <c r="S238" s="286"/>
      <c r="T238" s="286"/>
      <c r="U238" s="286"/>
      <c r="V238" s="286"/>
      <c r="W238" s="286"/>
    </row>
    <row r="239" spans="1:23" x14ac:dyDescent="0.25">
      <c r="A239" s="278"/>
      <c r="B239" s="278" t="s">
        <v>203</v>
      </c>
      <c r="C239" s="281" t="s">
        <v>202</v>
      </c>
      <c r="D239" s="285" t="s">
        <v>149</v>
      </c>
      <c r="E239" s="285" t="s">
        <v>1166</v>
      </c>
      <c r="F239" s="281" t="s">
        <v>203</v>
      </c>
      <c r="G239" s="285" t="s">
        <v>1171</v>
      </c>
      <c r="H239" s="285" t="s">
        <v>149</v>
      </c>
      <c r="I239" s="285" t="s">
        <v>1167</v>
      </c>
      <c r="J239" s="281" t="s">
        <v>203</v>
      </c>
      <c r="K239" s="285" t="s">
        <v>1171</v>
      </c>
      <c r="L239" s="285" t="s">
        <v>149</v>
      </c>
      <c r="M239" s="285" t="s">
        <v>1168</v>
      </c>
      <c r="N239" s="281" t="s">
        <v>203</v>
      </c>
      <c r="O239" s="285" t="s">
        <v>1171</v>
      </c>
      <c r="P239" s="285" t="s">
        <v>149</v>
      </c>
      <c r="Q239" s="285" t="s">
        <v>1169</v>
      </c>
      <c r="R239" s="281" t="s">
        <v>203</v>
      </c>
      <c r="S239" s="285" t="s">
        <v>1171</v>
      </c>
      <c r="T239" s="285" t="s">
        <v>149</v>
      </c>
      <c r="U239" s="285" t="s">
        <v>1170</v>
      </c>
      <c r="V239" s="281" t="s">
        <v>203</v>
      </c>
      <c r="W239" s="285" t="s">
        <v>1171</v>
      </c>
    </row>
    <row r="240" spans="1:23" x14ac:dyDescent="0.25">
      <c r="A240" s="284" t="s">
        <v>1165</v>
      </c>
      <c r="B240" s="284"/>
      <c r="C240" s="279">
        <f>((D240*G240)+(K240*H240)+(O240*L240)+(S240*P240)+(W240*T240))</f>
        <v>0</v>
      </c>
      <c r="D240" s="282">
        <v>0</v>
      </c>
      <c r="E240" s="283" t="s">
        <v>926</v>
      </c>
      <c r="F240" s="59" t="str">
        <f t="shared" ref="F240" si="108">VLOOKUP(E240,LISTAITEMS,2,FALSE)</f>
        <v>ninguno</v>
      </c>
      <c r="G240" s="280">
        <f>VLOOKUP(E240,LISTAITEMS,5,FALSE)</f>
        <v>0</v>
      </c>
      <c r="H240" s="282">
        <v>0</v>
      </c>
      <c r="I240" s="283" t="s">
        <v>926</v>
      </c>
      <c r="J240" s="59" t="str">
        <f t="shared" ref="J240" si="109">VLOOKUP(I240,LISTAITEMS,2,FALSE)</f>
        <v>ninguno</v>
      </c>
      <c r="K240" s="280">
        <f>VLOOKUP(I240,LISTAITEMS,5,FALSE)</f>
        <v>0</v>
      </c>
      <c r="L240" s="282">
        <v>0</v>
      </c>
      <c r="M240" s="283" t="s">
        <v>926</v>
      </c>
      <c r="N240" s="59" t="str">
        <f t="shared" ref="N240" si="110">VLOOKUP(M240,LISTAITEMS,2,FALSE)</f>
        <v>ninguno</v>
      </c>
      <c r="O240" s="280">
        <f>VLOOKUP(M240,LISTAITEMS,5,FALSE)</f>
        <v>0</v>
      </c>
      <c r="P240" s="282">
        <v>0</v>
      </c>
      <c r="Q240" s="283" t="s">
        <v>926</v>
      </c>
      <c r="R240" s="59" t="str">
        <f t="shared" ref="R240" si="111">VLOOKUP(Q240,LISTAITEMS,2,FALSE)</f>
        <v>ninguno</v>
      </c>
      <c r="S240" s="280">
        <f>VLOOKUP(Q240,LISTAITEMS,5,FALSE)</f>
        <v>0</v>
      </c>
      <c r="T240" s="282">
        <v>0</v>
      </c>
      <c r="U240" s="283" t="s">
        <v>926</v>
      </c>
      <c r="V240" s="59" t="str">
        <f t="shared" ref="V240" si="112">VLOOKUP(U240,LISTAITEMS,2,FALSE)</f>
        <v>ninguno</v>
      </c>
      <c r="W240" s="280">
        <f>VLOOKUP(U240,LISTAITEMS,5,FALSE)</f>
        <v>0</v>
      </c>
    </row>
    <row r="247" spans="1:23" x14ac:dyDescent="0.25">
      <c r="A247" s="277" t="s">
        <v>1172</v>
      </c>
      <c r="B247" s="277"/>
      <c r="C247" s="277"/>
      <c r="D247" s="277"/>
      <c r="E247" s="277"/>
      <c r="F247" s="277"/>
      <c r="G247" s="277"/>
      <c r="H247" s="277"/>
      <c r="I247" s="277"/>
      <c r="J247" s="277"/>
      <c r="K247" s="277"/>
      <c r="L247" s="277"/>
      <c r="M247" s="277"/>
      <c r="N247" s="277"/>
      <c r="O247" s="277"/>
      <c r="P247" s="277"/>
      <c r="Q247" s="277"/>
      <c r="R247" s="277"/>
      <c r="S247" s="277"/>
      <c r="T247" s="277"/>
      <c r="U247" s="277"/>
      <c r="V247" s="277"/>
      <c r="W247" s="277"/>
    </row>
    <row r="248" spans="1:23" x14ac:dyDescent="0.25">
      <c r="A248" s="277"/>
      <c r="B248" s="277"/>
      <c r="C248" s="277"/>
      <c r="D248" s="277"/>
      <c r="E248" s="277"/>
      <c r="F248" s="277"/>
      <c r="G248" s="277"/>
      <c r="H248" s="277"/>
      <c r="I248" s="277"/>
      <c r="J248" s="277"/>
      <c r="K248" s="277"/>
      <c r="L248" s="277"/>
      <c r="M248" s="277"/>
      <c r="N248" s="277"/>
      <c r="O248" s="277"/>
      <c r="P248" s="277"/>
      <c r="Q248" s="277"/>
      <c r="R248" s="277"/>
      <c r="S248" s="277"/>
      <c r="T248" s="277"/>
      <c r="U248" s="277"/>
      <c r="V248" s="277"/>
      <c r="W248" s="277"/>
    </row>
    <row r="249" spans="1:23" x14ac:dyDescent="0.25">
      <c r="A249" s="286"/>
      <c r="B249" s="286" t="s">
        <v>1010</v>
      </c>
      <c r="C249" s="286"/>
      <c r="D249" s="286"/>
      <c r="E249" s="286"/>
      <c r="F249" s="286"/>
      <c r="G249" s="286"/>
      <c r="H249" s="286"/>
      <c r="I249" s="286"/>
      <c r="J249" s="286"/>
      <c r="K249" s="286"/>
      <c r="L249" s="286"/>
      <c r="M249" s="286"/>
      <c r="N249" s="286"/>
      <c r="O249" s="286"/>
      <c r="P249" s="286"/>
      <c r="Q249" s="286"/>
      <c r="R249" s="286"/>
      <c r="S249" s="286"/>
      <c r="T249" s="286"/>
      <c r="U249" s="286"/>
      <c r="V249" s="286"/>
      <c r="W249" s="286"/>
    </row>
    <row r="250" spans="1:23" x14ac:dyDescent="0.25">
      <c r="A250" s="278"/>
      <c r="B250" s="278" t="s">
        <v>203</v>
      </c>
      <c r="C250" s="281" t="s">
        <v>202</v>
      </c>
      <c r="D250" s="285" t="s">
        <v>149</v>
      </c>
      <c r="E250" s="285" t="s">
        <v>1166</v>
      </c>
      <c r="F250" s="281" t="s">
        <v>203</v>
      </c>
      <c r="G250" s="285" t="s">
        <v>1171</v>
      </c>
      <c r="H250" s="285" t="s">
        <v>149</v>
      </c>
      <c r="I250" s="285" t="s">
        <v>1167</v>
      </c>
      <c r="J250" s="281" t="s">
        <v>203</v>
      </c>
      <c r="K250" s="285" t="s">
        <v>1171</v>
      </c>
      <c r="L250" s="285" t="s">
        <v>149</v>
      </c>
      <c r="M250" s="285" t="s">
        <v>1168</v>
      </c>
      <c r="N250" s="281" t="s">
        <v>203</v>
      </c>
      <c r="O250" s="285" t="s">
        <v>1171</v>
      </c>
      <c r="P250" s="285" t="s">
        <v>149</v>
      </c>
      <c r="Q250" s="285" t="s">
        <v>1169</v>
      </c>
      <c r="R250" s="281" t="s">
        <v>203</v>
      </c>
      <c r="S250" s="285" t="s">
        <v>1171</v>
      </c>
      <c r="T250" s="285" t="s">
        <v>149</v>
      </c>
      <c r="U250" s="285" t="s">
        <v>1170</v>
      </c>
      <c r="V250" s="281" t="s">
        <v>203</v>
      </c>
      <c r="W250" s="285" t="s">
        <v>1171</v>
      </c>
    </row>
    <row r="251" spans="1:23" x14ac:dyDescent="0.25">
      <c r="A251" s="284" t="s">
        <v>1165</v>
      </c>
      <c r="B251" s="284"/>
      <c r="C251" s="279">
        <f>((D251*G251)+(K251*H251)+(O251*L251)+(S251*P251)+(W251*T251))</f>
        <v>0</v>
      </c>
      <c r="D251" s="282">
        <v>0</v>
      </c>
      <c r="E251" s="283" t="s">
        <v>926</v>
      </c>
      <c r="F251" s="59" t="str">
        <f t="shared" ref="F251" si="113">VLOOKUP(E251,LISTAITEMS,2,FALSE)</f>
        <v>ninguno</v>
      </c>
      <c r="G251" s="280">
        <f>VLOOKUP(E251,LISTAITEMS,5,FALSE)</f>
        <v>0</v>
      </c>
      <c r="H251" s="282">
        <v>0</v>
      </c>
      <c r="I251" s="283" t="s">
        <v>926</v>
      </c>
      <c r="J251" s="59" t="str">
        <f t="shared" ref="J251" si="114">VLOOKUP(I251,LISTAITEMS,2,FALSE)</f>
        <v>ninguno</v>
      </c>
      <c r="K251" s="280">
        <f>VLOOKUP(I251,LISTAITEMS,5,FALSE)</f>
        <v>0</v>
      </c>
      <c r="L251" s="282">
        <v>0</v>
      </c>
      <c r="M251" s="283" t="s">
        <v>926</v>
      </c>
      <c r="N251" s="59" t="str">
        <f t="shared" ref="N251" si="115">VLOOKUP(M251,LISTAITEMS,2,FALSE)</f>
        <v>ninguno</v>
      </c>
      <c r="O251" s="280">
        <f>VLOOKUP(M251,LISTAITEMS,5,FALSE)</f>
        <v>0</v>
      </c>
      <c r="P251" s="282">
        <v>0</v>
      </c>
      <c r="Q251" s="283" t="s">
        <v>926</v>
      </c>
      <c r="R251" s="59" t="str">
        <f t="shared" ref="R251" si="116">VLOOKUP(Q251,LISTAITEMS,2,FALSE)</f>
        <v>ninguno</v>
      </c>
      <c r="S251" s="280">
        <f>VLOOKUP(Q251,LISTAITEMS,5,FALSE)</f>
        <v>0</v>
      </c>
      <c r="T251" s="282">
        <v>0</v>
      </c>
      <c r="U251" s="283" t="s">
        <v>926</v>
      </c>
      <c r="V251" s="59" t="str">
        <f t="shared" ref="V251" si="117">VLOOKUP(U251,LISTAITEMS,2,FALSE)</f>
        <v>ninguno</v>
      </c>
      <c r="W251" s="280">
        <f>VLOOKUP(U251,LISTAITEMS,5,FALSE)</f>
        <v>0</v>
      </c>
    </row>
    <row r="255" spans="1:23" x14ac:dyDescent="0.25">
      <c r="A255" s="277" t="s">
        <v>1134</v>
      </c>
      <c r="B255" s="277"/>
      <c r="C255" s="277"/>
      <c r="D255" s="277"/>
      <c r="E255" s="277"/>
      <c r="F255" s="277"/>
      <c r="G255" s="277"/>
      <c r="H255" s="277"/>
      <c r="I255" s="277"/>
      <c r="J255" s="277"/>
      <c r="K255" s="277"/>
      <c r="L255" s="277"/>
      <c r="M255" s="277"/>
      <c r="N255" s="277"/>
      <c r="O255" s="277"/>
      <c r="P255" s="277"/>
      <c r="Q255" s="277"/>
      <c r="R255" s="277"/>
      <c r="S255" s="277"/>
      <c r="T255" s="277"/>
      <c r="U255" s="277"/>
      <c r="V255" s="277"/>
      <c r="W255" s="277"/>
    </row>
    <row r="256" spans="1:23" x14ac:dyDescent="0.25">
      <c r="A256" s="277"/>
      <c r="B256" s="277"/>
      <c r="C256" s="277"/>
      <c r="D256" s="277"/>
      <c r="E256" s="277"/>
      <c r="F256" s="277"/>
      <c r="G256" s="277"/>
      <c r="H256" s="277"/>
      <c r="I256" s="277"/>
      <c r="J256" s="277"/>
      <c r="K256" s="277"/>
      <c r="L256" s="277"/>
      <c r="M256" s="277"/>
      <c r="N256" s="277"/>
      <c r="O256" s="277"/>
      <c r="P256" s="277"/>
      <c r="Q256" s="277"/>
      <c r="R256" s="277"/>
      <c r="S256" s="277"/>
      <c r="T256" s="277"/>
      <c r="U256" s="277"/>
      <c r="V256" s="277"/>
      <c r="W256" s="277"/>
    </row>
    <row r="257" spans="1:23" x14ac:dyDescent="0.25">
      <c r="A257" s="286"/>
      <c r="B257" s="286" t="s">
        <v>1010</v>
      </c>
      <c r="C257" s="286"/>
      <c r="D257" s="286"/>
      <c r="E257" s="286"/>
      <c r="F257" s="286"/>
      <c r="G257" s="286"/>
      <c r="H257" s="286"/>
      <c r="I257" s="286"/>
      <c r="J257" s="286"/>
      <c r="K257" s="286"/>
      <c r="L257" s="286"/>
      <c r="M257" s="286"/>
      <c r="N257" s="286"/>
      <c r="O257" s="286"/>
      <c r="P257" s="286"/>
      <c r="Q257" s="286"/>
      <c r="R257" s="286"/>
      <c r="S257" s="286"/>
      <c r="T257" s="286"/>
      <c r="U257" s="286"/>
      <c r="V257" s="286"/>
      <c r="W257" s="286"/>
    </row>
    <row r="258" spans="1:23" x14ac:dyDescent="0.25">
      <c r="A258" s="278"/>
      <c r="B258" s="278" t="s">
        <v>203</v>
      </c>
      <c r="C258" s="281" t="s">
        <v>202</v>
      </c>
      <c r="D258" s="285" t="s">
        <v>149</v>
      </c>
      <c r="E258" s="285" t="s">
        <v>1166</v>
      </c>
      <c r="F258" s="281" t="s">
        <v>203</v>
      </c>
      <c r="G258" s="285" t="s">
        <v>1171</v>
      </c>
      <c r="H258" s="285" t="s">
        <v>149</v>
      </c>
      <c r="I258" s="285" t="s">
        <v>1167</v>
      </c>
      <c r="J258" s="281" t="s">
        <v>203</v>
      </c>
      <c r="K258" s="285" t="s">
        <v>1171</v>
      </c>
      <c r="L258" s="285" t="s">
        <v>149</v>
      </c>
      <c r="M258" s="285" t="s">
        <v>1168</v>
      </c>
      <c r="N258" s="281" t="s">
        <v>203</v>
      </c>
      <c r="O258" s="285" t="s">
        <v>1171</v>
      </c>
      <c r="P258" s="285" t="s">
        <v>149</v>
      </c>
      <c r="Q258" s="285" t="s">
        <v>1169</v>
      </c>
      <c r="R258" s="281" t="s">
        <v>203</v>
      </c>
      <c r="S258" s="285" t="s">
        <v>1171</v>
      </c>
      <c r="T258" s="285" t="s">
        <v>149</v>
      </c>
      <c r="U258" s="285" t="s">
        <v>1170</v>
      </c>
      <c r="V258" s="281" t="s">
        <v>203</v>
      </c>
      <c r="W258" s="285" t="s">
        <v>1171</v>
      </c>
    </row>
    <row r="259" spans="1:23" x14ac:dyDescent="0.25">
      <c r="A259" s="284" t="s">
        <v>1165</v>
      </c>
      <c r="B259" s="284"/>
      <c r="C259" s="279">
        <f>((D259*G259)+(K259*H259)+(O259*L259)+(S259*P259)+(W259*T259))</f>
        <v>0</v>
      </c>
      <c r="D259" s="282">
        <v>0</v>
      </c>
      <c r="E259" s="283" t="s">
        <v>926</v>
      </c>
      <c r="F259" s="59" t="str">
        <f t="shared" ref="F259" si="118">VLOOKUP(E259,LISTAITEMS,2,FALSE)</f>
        <v>ninguno</v>
      </c>
      <c r="G259" s="280">
        <f>VLOOKUP(E259,LISTAITEMS,5,FALSE)</f>
        <v>0</v>
      </c>
      <c r="H259" s="282">
        <v>0</v>
      </c>
      <c r="I259" s="283" t="s">
        <v>926</v>
      </c>
      <c r="J259" s="59" t="str">
        <f t="shared" ref="J259" si="119">VLOOKUP(I259,LISTAITEMS,2,FALSE)</f>
        <v>ninguno</v>
      </c>
      <c r="K259" s="280">
        <f>VLOOKUP(I259,LISTAITEMS,5,FALSE)</f>
        <v>0</v>
      </c>
      <c r="L259" s="282">
        <v>0</v>
      </c>
      <c r="M259" s="283" t="s">
        <v>926</v>
      </c>
      <c r="N259" s="59" t="str">
        <f t="shared" ref="N259" si="120">VLOOKUP(M259,LISTAITEMS,2,FALSE)</f>
        <v>ninguno</v>
      </c>
      <c r="O259" s="280">
        <f>VLOOKUP(M259,LISTAITEMS,5,FALSE)</f>
        <v>0</v>
      </c>
      <c r="P259" s="282">
        <v>0</v>
      </c>
      <c r="Q259" s="283" t="s">
        <v>926</v>
      </c>
      <c r="R259" s="59" t="str">
        <f t="shared" ref="R259" si="121">VLOOKUP(Q259,LISTAITEMS,2,FALSE)</f>
        <v>ninguno</v>
      </c>
      <c r="S259" s="280">
        <f>VLOOKUP(Q259,LISTAITEMS,5,FALSE)</f>
        <v>0</v>
      </c>
      <c r="T259" s="282">
        <v>0</v>
      </c>
      <c r="U259" s="283" t="s">
        <v>926</v>
      </c>
      <c r="V259" s="59" t="str">
        <f t="shared" ref="V259" si="122">VLOOKUP(U259,LISTAITEMS,2,FALSE)</f>
        <v>ninguno</v>
      </c>
      <c r="W259" s="280">
        <f>VLOOKUP(U259,LISTAITEMS,5,FALSE)</f>
        <v>0</v>
      </c>
    </row>
    <row r="263" spans="1:23" x14ac:dyDescent="0.25">
      <c r="A263" s="277" t="s">
        <v>1143</v>
      </c>
      <c r="B263" s="277"/>
      <c r="C263" s="277"/>
      <c r="D263" s="277"/>
      <c r="E263" s="277"/>
      <c r="F263" s="277"/>
      <c r="G263" s="277"/>
      <c r="H263" s="277"/>
      <c r="I263" s="277"/>
      <c r="J263" s="277"/>
      <c r="K263" s="277"/>
      <c r="L263" s="277"/>
      <c r="M263" s="277"/>
      <c r="N263" s="277"/>
      <c r="O263" s="277"/>
      <c r="P263" s="277"/>
      <c r="Q263" s="277"/>
      <c r="R263" s="277"/>
      <c r="S263" s="277"/>
      <c r="T263" s="277"/>
      <c r="U263" s="277"/>
      <c r="V263" s="277"/>
      <c r="W263" s="277"/>
    </row>
    <row r="264" spans="1:23" x14ac:dyDescent="0.25">
      <c r="A264" s="277"/>
      <c r="B264" s="277"/>
      <c r="C264" s="277"/>
      <c r="D264" s="277"/>
      <c r="E264" s="277"/>
      <c r="F264" s="277"/>
      <c r="G264" s="277"/>
      <c r="H264" s="277"/>
      <c r="I264" s="277"/>
      <c r="J264" s="277"/>
      <c r="K264" s="277"/>
      <c r="L264" s="277"/>
      <c r="M264" s="277"/>
      <c r="N264" s="277"/>
      <c r="O264" s="277"/>
      <c r="P264" s="277"/>
      <c r="Q264" s="277"/>
      <c r="R264" s="277"/>
      <c r="S264" s="277"/>
      <c r="T264" s="277"/>
      <c r="U264" s="277"/>
      <c r="V264" s="277"/>
      <c r="W264" s="277"/>
    </row>
    <row r="265" spans="1:23" x14ac:dyDescent="0.25">
      <c r="A265" s="286"/>
      <c r="B265" s="286" t="s">
        <v>1010</v>
      </c>
      <c r="C265" s="286"/>
      <c r="D265" s="286"/>
      <c r="E265" s="286"/>
      <c r="F265" s="286"/>
      <c r="G265" s="286"/>
      <c r="H265" s="286"/>
      <c r="I265" s="286"/>
      <c r="J265" s="286"/>
      <c r="K265" s="286"/>
      <c r="L265" s="286"/>
      <c r="M265" s="286"/>
      <c r="N265" s="286"/>
      <c r="O265" s="286"/>
      <c r="P265" s="286"/>
      <c r="Q265" s="286"/>
      <c r="R265" s="286"/>
      <c r="S265" s="286"/>
      <c r="T265" s="286"/>
      <c r="U265" s="286"/>
      <c r="V265" s="286"/>
      <c r="W265" s="286"/>
    </row>
    <row r="266" spans="1:23" x14ac:dyDescent="0.25">
      <c r="A266" s="278"/>
      <c r="B266" s="278" t="s">
        <v>203</v>
      </c>
      <c r="C266" s="281" t="s">
        <v>202</v>
      </c>
      <c r="D266" s="285" t="s">
        <v>149</v>
      </c>
      <c r="E266" s="285" t="s">
        <v>1166</v>
      </c>
      <c r="F266" s="281" t="s">
        <v>203</v>
      </c>
      <c r="G266" s="285" t="s">
        <v>1171</v>
      </c>
      <c r="H266" s="285" t="s">
        <v>149</v>
      </c>
      <c r="I266" s="285" t="s">
        <v>1167</v>
      </c>
      <c r="J266" s="281" t="s">
        <v>203</v>
      </c>
      <c r="K266" s="285" t="s">
        <v>1171</v>
      </c>
      <c r="L266" s="285" t="s">
        <v>149</v>
      </c>
      <c r="M266" s="285" t="s">
        <v>1168</v>
      </c>
      <c r="N266" s="281" t="s">
        <v>203</v>
      </c>
      <c r="O266" s="285" t="s">
        <v>1171</v>
      </c>
      <c r="P266" s="285" t="s">
        <v>149</v>
      </c>
      <c r="Q266" s="285" t="s">
        <v>1169</v>
      </c>
      <c r="R266" s="281" t="s">
        <v>203</v>
      </c>
      <c r="S266" s="285" t="s">
        <v>1171</v>
      </c>
      <c r="T266" s="285" t="s">
        <v>149</v>
      </c>
      <c r="U266" s="285" t="s">
        <v>1170</v>
      </c>
      <c r="V266" s="281" t="s">
        <v>203</v>
      </c>
      <c r="W266" s="285" t="s">
        <v>1171</v>
      </c>
    </row>
    <row r="267" spans="1:23" x14ac:dyDescent="0.25">
      <c r="A267" s="284" t="s">
        <v>1165</v>
      </c>
      <c r="B267" s="284"/>
      <c r="C267" s="279">
        <f>((D267*G267)+(K267*H267)+(O267*L267)+(S267*P267)+(W267*T267))</f>
        <v>0</v>
      </c>
      <c r="D267" s="282">
        <v>0</v>
      </c>
      <c r="E267" s="283" t="s">
        <v>926</v>
      </c>
      <c r="F267" s="59" t="str">
        <f t="shared" ref="F267" si="123">VLOOKUP(E267,LISTAITEMS,2,FALSE)</f>
        <v>ninguno</v>
      </c>
      <c r="G267" s="280">
        <f>VLOOKUP(E267,LISTAITEMS,5,FALSE)</f>
        <v>0</v>
      </c>
      <c r="H267" s="282">
        <v>0</v>
      </c>
      <c r="I267" s="283" t="s">
        <v>926</v>
      </c>
      <c r="J267" s="59" t="str">
        <f t="shared" ref="J267" si="124">VLOOKUP(I267,LISTAITEMS,2,FALSE)</f>
        <v>ninguno</v>
      </c>
      <c r="K267" s="280">
        <f>VLOOKUP(I267,LISTAITEMS,5,FALSE)</f>
        <v>0</v>
      </c>
      <c r="L267" s="282">
        <v>0</v>
      </c>
      <c r="M267" s="283" t="s">
        <v>926</v>
      </c>
      <c r="N267" s="59" t="str">
        <f t="shared" ref="N267" si="125">VLOOKUP(M267,LISTAITEMS,2,FALSE)</f>
        <v>ninguno</v>
      </c>
      <c r="O267" s="280">
        <f>VLOOKUP(M267,LISTAITEMS,5,FALSE)</f>
        <v>0</v>
      </c>
      <c r="P267" s="282">
        <v>0</v>
      </c>
      <c r="Q267" s="283" t="s">
        <v>926</v>
      </c>
      <c r="R267" s="59" t="str">
        <f t="shared" ref="R267" si="126">VLOOKUP(Q267,LISTAITEMS,2,FALSE)</f>
        <v>ninguno</v>
      </c>
      <c r="S267" s="280">
        <f>VLOOKUP(Q267,LISTAITEMS,5,FALSE)</f>
        <v>0</v>
      </c>
      <c r="T267" s="282">
        <v>0</v>
      </c>
      <c r="U267" s="283" t="s">
        <v>926</v>
      </c>
      <c r="V267" s="59" t="str">
        <f t="shared" ref="V267" si="127">VLOOKUP(U267,LISTAITEMS,2,FALSE)</f>
        <v>ninguno</v>
      </c>
      <c r="W267" s="280">
        <f>VLOOKUP(U267,LISTAITEMS,5,FALSE)</f>
        <v>0</v>
      </c>
    </row>
    <row r="269" spans="1:23" s="275" customFormat="1" x14ac:dyDescent="0.25"/>
    <row r="270" spans="1:23" s="275" customFormat="1" x14ac:dyDescent="0.25">
      <c r="A270" s="277" t="s">
        <v>1135</v>
      </c>
      <c r="B270" s="277"/>
      <c r="C270" s="277"/>
      <c r="D270" s="277"/>
      <c r="E270" s="277"/>
      <c r="F270" s="277"/>
      <c r="G270" s="277"/>
      <c r="H270" s="277"/>
      <c r="I270" s="277"/>
      <c r="J270" s="277"/>
      <c r="K270" s="277"/>
      <c r="L270" s="277"/>
      <c r="M270" s="277"/>
      <c r="N270" s="277"/>
      <c r="O270" s="277"/>
      <c r="P270" s="277"/>
      <c r="Q270" s="277"/>
      <c r="R270" s="277"/>
      <c r="S270" s="277"/>
      <c r="T270" s="277"/>
      <c r="U270" s="277"/>
      <c r="V270" s="277"/>
      <c r="W270" s="277"/>
    </row>
    <row r="271" spans="1:23" s="275" customFormat="1" x14ac:dyDescent="0.25">
      <c r="A271" s="277"/>
      <c r="B271" s="277"/>
      <c r="C271" s="277"/>
      <c r="D271" s="277"/>
      <c r="E271" s="277"/>
      <c r="F271" s="277"/>
      <c r="G271" s="277"/>
      <c r="H271" s="277"/>
      <c r="I271" s="277"/>
      <c r="J271" s="277"/>
      <c r="K271" s="277"/>
      <c r="L271" s="277"/>
      <c r="M271" s="277"/>
      <c r="N271" s="277"/>
      <c r="O271" s="277"/>
      <c r="P271" s="277"/>
      <c r="Q271" s="277"/>
      <c r="R271" s="277"/>
      <c r="S271" s="277"/>
      <c r="T271" s="277"/>
      <c r="U271" s="277"/>
      <c r="V271" s="277"/>
      <c r="W271" s="277"/>
    </row>
    <row r="272" spans="1:23" s="275" customFormat="1" x14ac:dyDescent="0.25">
      <c r="A272" s="286"/>
      <c r="B272" s="286" t="s">
        <v>1010</v>
      </c>
      <c r="C272" s="286"/>
      <c r="D272" s="286"/>
      <c r="E272" s="286"/>
      <c r="F272" s="286"/>
      <c r="G272" s="286"/>
      <c r="H272" s="286"/>
      <c r="I272" s="286"/>
      <c r="J272" s="286"/>
      <c r="K272" s="286"/>
      <c r="L272" s="286"/>
      <c r="M272" s="286"/>
      <c r="N272" s="286"/>
      <c r="O272" s="286"/>
      <c r="P272" s="286"/>
      <c r="Q272" s="286"/>
      <c r="R272" s="286"/>
      <c r="S272" s="286"/>
      <c r="T272" s="286"/>
      <c r="U272" s="286"/>
      <c r="V272" s="286"/>
      <c r="W272" s="286"/>
    </row>
    <row r="273" spans="1:23" s="275" customFormat="1" x14ac:dyDescent="0.25">
      <c r="A273" s="278"/>
      <c r="B273" s="278" t="s">
        <v>203</v>
      </c>
      <c r="C273" s="281" t="s">
        <v>202</v>
      </c>
      <c r="D273" s="285" t="s">
        <v>149</v>
      </c>
      <c r="E273" s="285" t="s">
        <v>1166</v>
      </c>
      <c r="F273" s="281" t="s">
        <v>203</v>
      </c>
      <c r="G273" s="285" t="s">
        <v>1171</v>
      </c>
      <c r="H273" s="285" t="s">
        <v>149</v>
      </c>
      <c r="I273" s="285" t="s">
        <v>1167</v>
      </c>
      <c r="J273" s="281" t="s">
        <v>203</v>
      </c>
      <c r="K273" s="285" t="s">
        <v>1171</v>
      </c>
      <c r="L273" s="285" t="s">
        <v>149</v>
      </c>
      <c r="M273" s="285" t="s">
        <v>1168</v>
      </c>
      <c r="N273" s="281" t="s">
        <v>203</v>
      </c>
      <c r="O273" s="285" t="s">
        <v>1171</v>
      </c>
      <c r="P273" s="285" t="s">
        <v>149</v>
      </c>
      <c r="Q273" s="285" t="s">
        <v>1169</v>
      </c>
      <c r="R273" s="281" t="s">
        <v>203</v>
      </c>
      <c r="S273" s="285" t="s">
        <v>1171</v>
      </c>
      <c r="T273" s="285" t="s">
        <v>149</v>
      </c>
      <c r="U273" s="285" t="s">
        <v>1170</v>
      </c>
      <c r="V273" s="281" t="s">
        <v>203</v>
      </c>
      <c r="W273" s="285" t="s">
        <v>1171</v>
      </c>
    </row>
    <row r="274" spans="1:23" x14ac:dyDescent="0.25">
      <c r="A274" s="284" t="s">
        <v>1165</v>
      </c>
      <c r="B274" s="284"/>
      <c r="C274" s="279">
        <f>((D274*G274)+(K274*H274)+(O274*L274)+(S274*P274)+(W274*T274))</f>
        <v>0</v>
      </c>
      <c r="D274" s="282">
        <v>0</v>
      </c>
      <c r="E274" s="283" t="s">
        <v>926</v>
      </c>
      <c r="F274" s="59" t="str">
        <f t="shared" ref="F274" si="128">VLOOKUP(E274,LISTAITEMS,2,FALSE)</f>
        <v>ninguno</v>
      </c>
      <c r="G274" s="280">
        <f>VLOOKUP(E274,LISTAITEMS,5,FALSE)</f>
        <v>0</v>
      </c>
      <c r="H274" s="282">
        <v>0</v>
      </c>
      <c r="I274" s="283" t="s">
        <v>926</v>
      </c>
      <c r="J274" s="59" t="str">
        <f t="shared" ref="J274" si="129">VLOOKUP(I274,LISTAITEMS,2,FALSE)</f>
        <v>ninguno</v>
      </c>
      <c r="K274" s="280">
        <f>VLOOKUP(I274,LISTAITEMS,5,FALSE)</f>
        <v>0</v>
      </c>
      <c r="L274" s="282">
        <v>0</v>
      </c>
      <c r="M274" s="283" t="s">
        <v>926</v>
      </c>
      <c r="N274" s="59" t="str">
        <f t="shared" ref="N274" si="130">VLOOKUP(M274,LISTAITEMS,2,FALSE)</f>
        <v>ninguno</v>
      </c>
      <c r="O274" s="280">
        <f>VLOOKUP(M274,LISTAITEMS,5,FALSE)</f>
        <v>0</v>
      </c>
      <c r="P274" s="282">
        <v>0</v>
      </c>
      <c r="Q274" s="283" t="s">
        <v>926</v>
      </c>
      <c r="R274" s="59" t="str">
        <f t="shared" ref="R274" si="131">VLOOKUP(Q274,LISTAITEMS,2,FALSE)</f>
        <v>ninguno</v>
      </c>
      <c r="S274" s="280">
        <f>VLOOKUP(Q274,LISTAITEMS,5,FALSE)</f>
        <v>0</v>
      </c>
      <c r="T274" s="282">
        <v>0</v>
      </c>
      <c r="U274" s="283" t="s">
        <v>926</v>
      </c>
      <c r="V274" s="59" t="str">
        <f t="shared" ref="V274" si="132">VLOOKUP(U274,LISTAITEMS,2,FALSE)</f>
        <v>ninguno</v>
      </c>
      <c r="W274" s="280">
        <f>VLOOKUP(U274,LISTAITEMS,5,FALSE)</f>
        <v>0</v>
      </c>
    </row>
    <row r="277" spans="1:23" x14ac:dyDescent="0.25">
      <c r="A277" s="277" t="s">
        <v>1136</v>
      </c>
      <c r="B277" s="277"/>
      <c r="C277" s="277"/>
      <c r="D277" s="277"/>
      <c r="E277" s="277"/>
      <c r="F277" s="277"/>
      <c r="G277" s="277"/>
      <c r="H277" s="277"/>
      <c r="I277" s="277"/>
      <c r="J277" s="277"/>
      <c r="K277" s="277"/>
      <c r="L277" s="277"/>
      <c r="M277" s="277"/>
      <c r="N277" s="277"/>
      <c r="O277" s="277"/>
      <c r="P277" s="277"/>
      <c r="Q277" s="277"/>
      <c r="R277" s="277"/>
      <c r="S277" s="277"/>
      <c r="T277" s="277"/>
      <c r="U277" s="277"/>
      <c r="V277" s="277"/>
      <c r="W277" s="277"/>
    </row>
    <row r="278" spans="1:23" x14ac:dyDescent="0.25">
      <c r="A278" s="277"/>
      <c r="B278" s="277"/>
      <c r="C278" s="277"/>
      <c r="D278" s="277"/>
      <c r="E278" s="277"/>
      <c r="F278" s="277"/>
      <c r="G278" s="277"/>
      <c r="H278" s="277"/>
      <c r="I278" s="277"/>
      <c r="J278" s="277"/>
      <c r="K278" s="277"/>
      <c r="L278" s="277"/>
      <c r="M278" s="277"/>
      <c r="N278" s="277"/>
      <c r="O278" s="277"/>
      <c r="P278" s="277"/>
      <c r="Q278" s="277"/>
      <c r="R278" s="277"/>
      <c r="S278" s="277"/>
      <c r="T278" s="277"/>
      <c r="U278" s="277"/>
      <c r="V278" s="277"/>
      <c r="W278" s="277"/>
    </row>
    <row r="279" spans="1:23" x14ac:dyDescent="0.25">
      <c r="A279" s="286"/>
      <c r="B279" s="286" t="s">
        <v>1010</v>
      </c>
      <c r="C279" s="286"/>
      <c r="D279" s="286"/>
      <c r="E279" s="286"/>
      <c r="F279" s="286"/>
      <c r="G279" s="286"/>
      <c r="H279" s="286"/>
      <c r="I279" s="286"/>
      <c r="J279" s="286"/>
      <c r="K279" s="286"/>
      <c r="L279" s="286"/>
      <c r="M279" s="286"/>
      <c r="N279" s="286"/>
      <c r="O279" s="286"/>
      <c r="P279" s="286"/>
      <c r="Q279" s="286"/>
      <c r="R279" s="286"/>
      <c r="S279" s="286"/>
      <c r="T279" s="286"/>
      <c r="U279" s="286"/>
      <c r="V279" s="286"/>
      <c r="W279" s="286"/>
    </row>
    <row r="280" spans="1:23" x14ac:dyDescent="0.25">
      <c r="A280" s="278"/>
      <c r="B280" s="278" t="s">
        <v>203</v>
      </c>
      <c r="C280" s="281" t="s">
        <v>202</v>
      </c>
      <c r="D280" s="285" t="s">
        <v>149</v>
      </c>
      <c r="E280" s="285" t="s">
        <v>1166</v>
      </c>
      <c r="F280" s="281" t="s">
        <v>203</v>
      </c>
      <c r="G280" s="285" t="s">
        <v>1171</v>
      </c>
      <c r="H280" s="285" t="s">
        <v>149</v>
      </c>
      <c r="I280" s="285" t="s">
        <v>1167</v>
      </c>
      <c r="J280" s="281" t="s">
        <v>203</v>
      </c>
      <c r="K280" s="285" t="s">
        <v>1171</v>
      </c>
      <c r="L280" s="285" t="s">
        <v>149</v>
      </c>
      <c r="M280" s="285" t="s">
        <v>1168</v>
      </c>
      <c r="N280" s="281" t="s">
        <v>203</v>
      </c>
      <c r="O280" s="285" t="s">
        <v>1171</v>
      </c>
      <c r="P280" s="285" t="s">
        <v>149</v>
      </c>
      <c r="Q280" s="285" t="s">
        <v>1169</v>
      </c>
      <c r="R280" s="281" t="s">
        <v>203</v>
      </c>
      <c r="S280" s="285" t="s">
        <v>1171</v>
      </c>
      <c r="T280" s="285" t="s">
        <v>149</v>
      </c>
      <c r="U280" s="285" t="s">
        <v>1170</v>
      </c>
      <c r="V280" s="281" t="s">
        <v>203</v>
      </c>
      <c r="W280" s="285" t="s">
        <v>1171</v>
      </c>
    </row>
    <row r="281" spans="1:23" x14ac:dyDescent="0.25">
      <c r="A281" s="284" t="s">
        <v>1165</v>
      </c>
      <c r="B281" s="284"/>
      <c r="C281" s="279">
        <f>((D281*G281)+(K281*H281)+(O281*L281)+(S281*P281)+(W281*T281))</f>
        <v>0</v>
      </c>
      <c r="D281" s="282">
        <v>0</v>
      </c>
      <c r="E281" s="283" t="s">
        <v>926</v>
      </c>
      <c r="F281" s="59" t="str">
        <f t="shared" ref="F281" si="133">VLOOKUP(E281,LISTAITEMS,2,FALSE)</f>
        <v>ninguno</v>
      </c>
      <c r="G281" s="280">
        <f>VLOOKUP(E281,LISTAITEMS,5,FALSE)</f>
        <v>0</v>
      </c>
      <c r="H281" s="282">
        <v>0</v>
      </c>
      <c r="I281" s="283" t="s">
        <v>926</v>
      </c>
      <c r="J281" s="59" t="str">
        <f t="shared" ref="J281" si="134">VLOOKUP(I281,LISTAITEMS,2,FALSE)</f>
        <v>ninguno</v>
      </c>
      <c r="K281" s="280">
        <f>VLOOKUP(I281,LISTAITEMS,5,FALSE)</f>
        <v>0</v>
      </c>
      <c r="L281" s="282">
        <v>0</v>
      </c>
      <c r="M281" s="283" t="s">
        <v>926</v>
      </c>
      <c r="N281" s="59" t="str">
        <f t="shared" ref="N281" si="135">VLOOKUP(M281,LISTAITEMS,2,FALSE)</f>
        <v>ninguno</v>
      </c>
      <c r="O281" s="280">
        <f>VLOOKUP(M281,LISTAITEMS,5,FALSE)</f>
        <v>0</v>
      </c>
      <c r="P281" s="282">
        <v>0</v>
      </c>
      <c r="Q281" s="283" t="s">
        <v>926</v>
      </c>
      <c r="R281" s="59" t="str">
        <f t="shared" ref="R281" si="136">VLOOKUP(Q281,LISTAITEMS,2,FALSE)</f>
        <v>ninguno</v>
      </c>
      <c r="S281" s="280">
        <f>VLOOKUP(Q281,LISTAITEMS,5,FALSE)</f>
        <v>0</v>
      </c>
      <c r="T281" s="282">
        <v>0</v>
      </c>
      <c r="U281" s="283" t="s">
        <v>926</v>
      </c>
      <c r="V281" s="59" t="str">
        <f t="shared" ref="V281" si="137">VLOOKUP(U281,LISTAITEMS,2,FALSE)</f>
        <v>ninguno</v>
      </c>
      <c r="W281" s="280">
        <f>VLOOKUP(U281,LISTAITEMS,5,FALSE)</f>
        <v>0</v>
      </c>
    </row>
    <row r="285" spans="1:23" x14ac:dyDescent="0.25">
      <c r="A285" s="277" t="s">
        <v>1138</v>
      </c>
      <c r="B285" s="277"/>
      <c r="C285" s="277"/>
      <c r="D285" s="277"/>
      <c r="E285" s="277"/>
      <c r="F285" s="277"/>
      <c r="G285" s="277"/>
      <c r="H285" s="277"/>
      <c r="I285" s="277"/>
      <c r="J285" s="277"/>
      <c r="K285" s="277"/>
      <c r="L285" s="277"/>
      <c r="M285" s="277"/>
      <c r="N285" s="277"/>
      <c r="O285" s="277"/>
      <c r="P285" s="277"/>
      <c r="Q285" s="277"/>
      <c r="R285" s="277"/>
      <c r="S285" s="277"/>
      <c r="T285" s="277"/>
      <c r="U285" s="277"/>
      <c r="V285" s="277"/>
      <c r="W285" s="277"/>
    </row>
    <row r="286" spans="1:23" x14ac:dyDescent="0.25">
      <c r="A286" s="277"/>
      <c r="B286" s="277"/>
      <c r="C286" s="277"/>
      <c r="D286" s="277"/>
      <c r="E286" s="277"/>
      <c r="F286" s="277"/>
      <c r="G286" s="277"/>
      <c r="H286" s="277"/>
      <c r="I286" s="277"/>
      <c r="J286" s="277"/>
      <c r="K286" s="277"/>
      <c r="L286" s="277"/>
      <c r="M286" s="277"/>
      <c r="N286" s="277"/>
      <c r="O286" s="277"/>
      <c r="P286" s="277"/>
      <c r="Q286" s="277"/>
      <c r="R286" s="277"/>
      <c r="S286" s="277"/>
      <c r="T286" s="277"/>
      <c r="U286" s="277"/>
      <c r="V286" s="277"/>
      <c r="W286" s="277"/>
    </row>
    <row r="287" spans="1:23" x14ac:dyDescent="0.25">
      <c r="A287" s="286"/>
      <c r="B287" s="286" t="s">
        <v>1010</v>
      </c>
      <c r="C287" s="286"/>
      <c r="D287" s="286"/>
      <c r="E287" s="286"/>
      <c r="F287" s="286"/>
      <c r="G287" s="286"/>
      <c r="H287" s="286"/>
      <c r="I287" s="286"/>
      <c r="J287" s="286"/>
      <c r="K287" s="286"/>
      <c r="L287" s="286"/>
      <c r="M287" s="286"/>
      <c r="N287" s="286"/>
      <c r="O287" s="286"/>
      <c r="P287" s="286"/>
      <c r="Q287" s="286"/>
      <c r="R287" s="286"/>
      <c r="S287" s="286"/>
      <c r="T287" s="286"/>
      <c r="U287" s="286"/>
      <c r="V287" s="286"/>
      <c r="W287" s="286"/>
    </row>
    <row r="288" spans="1:23" x14ac:dyDescent="0.25">
      <c r="A288" s="278"/>
      <c r="B288" s="278" t="s">
        <v>203</v>
      </c>
      <c r="C288" s="281" t="s">
        <v>202</v>
      </c>
      <c r="D288" s="285" t="s">
        <v>149</v>
      </c>
      <c r="E288" s="285" t="s">
        <v>1166</v>
      </c>
      <c r="F288" s="281" t="s">
        <v>203</v>
      </c>
      <c r="G288" s="285" t="s">
        <v>1171</v>
      </c>
      <c r="H288" s="285" t="s">
        <v>149</v>
      </c>
      <c r="I288" s="285" t="s">
        <v>1167</v>
      </c>
      <c r="J288" s="281" t="s">
        <v>203</v>
      </c>
      <c r="K288" s="285" t="s">
        <v>1171</v>
      </c>
      <c r="L288" s="285" t="s">
        <v>149</v>
      </c>
      <c r="M288" s="285" t="s">
        <v>1168</v>
      </c>
      <c r="N288" s="281" t="s">
        <v>203</v>
      </c>
      <c r="O288" s="285" t="s">
        <v>1171</v>
      </c>
      <c r="P288" s="285" t="s">
        <v>149</v>
      </c>
      <c r="Q288" s="285" t="s">
        <v>1169</v>
      </c>
      <c r="R288" s="281" t="s">
        <v>203</v>
      </c>
      <c r="S288" s="285" t="s">
        <v>1171</v>
      </c>
      <c r="T288" s="285" t="s">
        <v>149</v>
      </c>
      <c r="U288" s="285" t="s">
        <v>1170</v>
      </c>
      <c r="V288" s="281" t="s">
        <v>203</v>
      </c>
      <c r="W288" s="285" t="s">
        <v>1171</v>
      </c>
    </row>
    <row r="289" spans="1:23" x14ac:dyDescent="0.25">
      <c r="A289" s="284" t="s">
        <v>1165</v>
      </c>
      <c r="B289" s="284"/>
      <c r="C289" s="279">
        <f>((D289*G289)+(K289*H289)+(O289*L289)+(S289*P289)+(W289*T289))</f>
        <v>0</v>
      </c>
      <c r="D289" s="282">
        <v>0</v>
      </c>
      <c r="E289" s="283" t="s">
        <v>926</v>
      </c>
      <c r="F289" s="59" t="str">
        <f t="shared" ref="F289" si="138">VLOOKUP(E289,LISTAITEMS,2,FALSE)</f>
        <v>ninguno</v>
      </c>
      <c r="G289" s="280">
        <f>VLOOKUP(E289,LISTAITEMS,5,FALSE)</f>
        <v>0</v>
      </c>
      <c r="H289" s="282">
        <v>0</v>
      </c>
      <c r="I289" s="283" t="s">
        <v>926</v>
      </c>
      <c r="J289" s="59" t="str">
        <f t="shared" ref="J289" si="139">VLOOKUP(I289,LISTAITEMS,2,FALSE)</f>
        <v>ninguno</v>
      </c>
      <c r="K289" s="280">
        <f>VLOOKUP(I289,LISTAITEMS,5,FALSE)</f>
        <v>0</v>
      </c>
      <c r="L289" s="282">
        <v>0</v>
      </c>
      <c r="M289" s="283" t="s">
        <v>926</v>
      </c>
      <c r="N289" s="59" t="str">
        <f t="shared" ref="N289" si="140">VLOOKUP(M289,LISTAITEMS,2,FALSE)</f>
        <v>ninguno</v>
      </c>
      <c r="O289" s="280">
        <f>VLOOKUP(M289,LISTAITEMS,5,FALSE)</f>
        <v>0</v>
      </c>
      <c r="P289" s="282">
        <v>0</v>
      </c>
      <c r="Q289" s="283" t="s">
        <v>926</v>
      </c>
      <c r="R289" s="59" t="str">
        <f t="shared" ref="R289" si="141">VLOOKUP(Q289,LISTAITEMS,2,FALSE)</f>
        <v>ninguno</v>
      </c>
      <c r="S289" s="280">
        <f>VLOOKUP(Q289,LISTAITEMS,5,FALSE)</f>
        <v>0</v>
      </c>
      <c r="T289" s="282">
        <v>0</v>
      </c>
      <c r="U289" s="283" t="s">
        <v>926</v>
      </c>
      <c r="V289" s="59" t="str">
        <f t="shared" ref="V289" si="142">VLOOKUP(U289,LISTAITEMS,2,FALSE)</f>
        <v>ninguno</v>
      </c>
      <c r="W289" s="280">
        <f>VLOOKUP(U289,LISTAITEMS,5,FALSE)</f>
        <v>0</v>
      </c>
    </row>
    <row r="292" spans="1:23" x14ac:dyDescent="0.25">
      <c r="A292" s="277" t="s">
        <v>1155</v>
      </c>
      <c r="B292" s="277"/>
      <c r="C292" s="277"/>
      <c r="D292" s="277"/>
      <c r="E292" s="277"/>
      <c r="F292" s="277"/>
      <c r="G292" s="277"/>
      <c r="H292" s="277"/>
      <c r="I292" s="277"/>
      <c r="J292" s="277"/>
      <c r="K292" s="277"/>
      <c r="L292" s="277"/>
      <c r="M292" s="277"/>
      <c r="N292" s="277"/>
      <c r="O292" s="277"/>
      <c r="P292" s="277"/>
      <c r="Q292" s="277"/>
      <c r="R292" s="277"/>
      <c r="S292" s="277"/>
      <c r="T292" s="277"/>
      <c r="U292" s="277"/>
      <c r="V292" s="277"/>
      <c r="W292" s="277"/>
    </row>
    <row r="293" spans="1:23" x14ac:dyDescent="0.25">
      <c r="A293" s="277"/>
      <c r="B293" s="277"/>
      <c r="C293" s="277"/>
      <c r="D293" s="277"/>
      <c r="E293" s="277"/>
      <c r="F293" s="277"/>
      <c r="G293" s="277"/>
      <c r="H293" s="277"/>
      <c r="I293" s="277"/>
      <c r="J293" s="277"/>
      <c r="K293" s="277"/>
      <c r="L293" s="277"/>
      <c r="M293" s="277"/>
      <c r="N293" s="277"/>
      <c r="O293" s="277"/>
      <c r="P293" s="277"/>
      <c r="Q293" s="277"/>
      <c r="R293" s="277"/>
      <c r="S293" s="277"/>
      <c r="T293" s="277"/>
      <c r="U293" s="277"/>
      <c r="V293" s="277"/>
      <c r="W293" s="277"/>
    </row>
    <row r="294" spans="1:23" x14ac:dyDescent="0.25">
      <c r="A294" s="286"/>
      <c r="B294" s="286" t="s">
        <v>1010</v>
      </c>
      <c r="C294" s="286"/>
      <c r="D294" s="286"/>
      <c r="E294" s="286"/>
      <c r="F294" s="286"/>
      <c r="G294" s="286"/>
      <c r="H294" s="286"/>
      <c r="I294" s="286"/>
      <c r="J294" s="286"/>
      <c r="K294" s="286"/>
      <c r="L294" s="286"/>
      <c r="M294" s="286"/>
      <c r="N294" s="286"/>
      <c r="O294" s="286"/>
      <c r="P294" s="286"/>
      <c r="Q294" s="286"/>
      <c r="R294" s="286"/>
      <c r="S294" s="286"/>
      <c r="T294" s="286"/>
      <c r="U294" s="286"/>
      <c r="V294" s="286"/>
      <c r="W294" s="286"/>
    </row>
    <row r="295" spans="1:23" x14ac:dyDescent="0.25">
      <c r="A295" s="278"/>
      <c r="B295" s="278" t="s">
        <v>203</v>
      </c>
      <c r="C295" s="281" t="s">
        <v>202</v>
      </c>
      <c r="D295" s="285" t="s">
        <v>149</v>
      </c>
      <c r="E295" s="285" t="s">
        <v>1166</v>
      </c>
      <c r="F295" s="281" t="s">
        <v>203</v>
      </c>
      <c r="G295" s="285" t="s">
        <v>1171</v>
      </c>
      <c r="H295" s="285" t="s">
        <v>149</v>
      </c>
      <c r="I295" s="285" t="s">
        <v>1167</v>
      </c>
      <c r="J295" s="281" t="s">
        <v>203</v>
      </c>
      <c r="K295" s="285" t="s">
        <v>1171</v>
      </c>
      <c r="L295" s="285" t="s">
        <v>149</v>
      </c>
      <c r="M295" s="285" t="s">
        <v>1168</v>
      </c>
      <c r="N295" s="281" t="s">
        <v>203</v>
      </c>
      <c r="O295" s="285" t="s">
        <v>1171</v>
      </c>
      <c r="P295" s="285" t="s">
        <v>149</v>
      </c>
      <c r="Q295" s="285" t="s">
        <v>1169</v>
      </c>
      <c r="R295" s="281" t="s">
        <v>203</v>
      </c>
      <c r="S295" s="285" t="s">
        <v>1171</v>
      </c>
      <c r="T295" s="285" t="s">
        <v>149</v>
      </c>
      <c r="U295" s="285" t="s">
        <v>1170</v>
      </c>
      <c r="V295" s="281" t="s">
        <v>203</v>
      </c>
      <c r="W295" s="285" t="s">
        <v>1171</v>
      </c>
    </row>
    <row r="296" spans="1:23" x14ac:dyDescent="0.25">
      <c r="A296" s="284" t="s">
        <v>1165</v>
      </c>
      <c r="B296" s="284"/>
      <c r="C296" s="279">
        <f>((D296*G296)+(K296*H296)+(O296*L296)+(S296*P296)+(W296*T296))</f>
        <v>0</v>
      </c>
      <c r="D296" s="282">
        <v>0</v>
      </c>
      <c r="E296" s="283" t="s">
        <v>926</v>
      </c>
      <c r="F296" s="59" t="str">
        <f t="shared" ref="F296" si="143">VLOOKUP(E296,LISTAITEMS,2,FALSE)</f>
        <v>ninguno</v>
      </c>
      <c r="G296" s="280">
        <f>VLOOKUP(E296,LISTAITEMS,5,FALSE)</f>
        <v>0</v>
      </c>
      <c r="H296" s="282">
        <v>0</v>
      </c>
      <c r="I296" s="283" t="s">
        <v>926</v>
      </c>
      <c r="J296" s="59" t="str">
        <f t="shared" ref="J296" si="144">VLOOKUP(I296,LISTAITEMS,2,FALSE)</f>
        <v>ninguno</v>
      </c>
      <c r="K296" s="280">
        <f>VLOOKUP(I296,LISTAITEMS,5,FALSE)</f>
        <v>0</v>
      </c>
      <c r="L296" s="282">
        <v>0</v>
      </c>
      <c r="M296" s="283" t="s">
        <v>926</v>
      </c>
      <c r="N296" s="59" t="str">
        <f t="shared" ref="N296" si="145">VLOOKUP(M296,LISTAITEMS,2,FALSE)</f>
        <v>ninguno</v>
      </c>
      <c r="O296" s="280">
        <f>VLOOKUP(M296,LISTAITEMS,5,FALSE)</f>
        <v>0</v>
      </c>
      <c r="P296" s="282">
        <v>0</v>
      </c>
      <c r="Q296" s="283" t="s">
        <v>926</v>
      </c>
      <c r="R296" s="59" t="str">
        <f t="shared" ref="R296" si="146">VLOOKUP(Q296,LISTAITEMS,2,FALSE)</f>
        <v>ninguno</v>
      </c>
      <c r="S296" s="280">
        <f>VLOOKUP(Q296,LISTAITEMS,5,FALSE)</f>
        <v>0</v>
      </c>
      <c r="T296" s="282">
        <v>0</v>
      </c>
      <c r="U296" s="283" t="s">
        <v>926</v>
      </c>
      <c r="V296" s="59" t="str">
        <f t="shared" ref="V296" si="147">VLOOKUP(U296,LISTAITEMS,2,FALSE)</f>
        <v>ninguno</v>
      </c>
      <c r="W296" s="280">
        <f>VLOOKUP(U296,LISTAITEMS,5,FALSE)</f>
        <v>0</v>
      </c>
    </row>
    <row r="300" spans="1:23" x14ac:dyDescent="0.25">
      <c r="A300" s="277" t="s">
        <v>1156</v>
      </c>
      <c r="B300" s="277"/>
      <c r="C300" s="277"/>
      <c r="D300" s="277"/>
      <c r="E300" s="277"/>
      <c r="F300" s="277"/>
      <c r="G300" s="277"/>
      <c r="H300" s="277"/>
      <c r="I300" s="277"/>
      <c r="J300" s="277"/>
      <c r="K300" s="277"/>
      <c r="L300" s="277"/>
      <c r="M300" s="277"/>
      <c r="N300" s="277"/>
      <c r="O300" s="277"/>
      <c r="P300" s="277"/>
      <c r="Q300" s="277"/>
      <c r="R300" s="277"/>
      <c r="S300" s="277"/>
      <c r="T300" s="277"/>
      <c r="U300" s="277"/>
      <c r="V300" s="277"/>
      <c r="W300" s="277"/>
    </row>
    <row r="301" spans="1:23" x14ac:dyDescent="0.25">
      <c r="A301" s="277"/>
      <c r="B301" s="277"/>
      <c r="C301" s="277"/>
      <c r="D301" s="277"/>
      <c r="E301" s="277"/>
      <c r="F301" s="277"/>
      <c r="G301" s="277"/>
      <c r="H301" s="277"/>
      <c r="I301" s="277"/>
      <c r="J301" s="277"/>
      <c r="K301" s="277"/>
      <c r="L301" s="277"/>
      <c r="M301" s="277"/>
      <c r="N301" s="277"/>
      <c r="O301" s="277"/>
      <c r="P301" s="277"/>
      <c r="Q301" s="277"/>
      <c r="R301" s="277"/>
      <c r="S301" s="277"/>
      <c r="T301" s="277"/>
      <c r="U301" s="277"/>
      <c r="V301" s="277"/>
      <c r="W301" s="277"/>
    </row>
    <row r="302" spans="1:23" x14ac:dyDescent="0.25">
      <c r="A302" s="286"/>
      <c r="B302" s="286" t="s">
        <v>1010</v>
      </c>
      <c r="C302" s="286"/>
      <c r="D302" s="286"/>
      <c r="E302" s="286"/>
      <c r="F302" s="286"/>
      <c r="G302" s="286"/>
      <c r="H302" s="286"/>
      <c r="I302" s="286"/>
      <c r="J302" s="286"/>
      <c r="K302" s="286"/>
      <c r="L302" s="286"/>
      <c r="M302" s="286"/>
      <c r="N302" s="286"/>
      <c r="O302" s="286"/>
      <c r="P302" s="286"/>
      <c r="Q302" s="286"/>
      <c r="R302" s="286"/>
      <c r="S302" s="286"/>
      <c r="T302" s="286"/>
      <c r="U302" s="286"/>
      <c r="V302" s="286"/>
      <c r="W302" s="286"/>
    </row>
    <row r="303" spans="1:23" x14ac:dyDescent="0.25">
      <c r="A303" s="278"/>
      <c r="B303" s="278" t="s">
        <v>203</v>
      </c>
      <c r="C303" s="281" t="s">
        <v>202</v>
      </c>
      <c r="D303" s="285" t="s">
        <v>149</v>
      </c>
      <c r="E303" s="285" t="s">
        <v>1166</v>
      </c>
      <c r="F303" s="281" t="s">
        <v>203</v>
      </c>
      <c r="G303" s="285" t="s">
        <v>1171</v>
      </c>
      <c r="H303" s="285" t="s">
        <v>149</v>
      </c>
      <c r="I303" s="285" t="s">
        <v>1167</v>
      </c>
      <c r="J303" s="281" t="s">
        <v>203</v>
      </c>
      <c r="K303" s="285" t="s">
        <v>1171</v>
      </c>
      <c r="L303" s="285" t="s">
        <v>149</v>
      </c>
      <c r="M303" s="285" t="s">
        <v>1168</v>
      </c>
      <c r="N303" s="281" t="s">
        <v>203</v>
      </c>
      <c r="O303" s="285" t="s">
        <v>1171</v>
      </c>
      <c r="P303" s="285" t="s">
        <v>149</v>
      </c>
      <c r="Q303" s="285" t="s">
        <v>1169</v>
      </c>
      <c r="R303" s="281" t="s">
        <v>203</v>
      </c>
      <c r="S303" s="285" t="s">
        <v>1171</v>
      </c>
      <c r="T303" s="285" t="s">
        <v>149</v>
      </c>
      <c r="U303" s="285" t="s">
        <v>1170</v>
      </c>
      <c r="V303" s="281" t="s">
        <v>203</v>
      </c>
      <c r="W303" s="285" t="s">
        <v>1171</v>
      </c>
    </row>
    <row r="304" spans="1:23" x14ac:dyDescent="0.25">
      <c r="A304" s="284" t="s">
        <v>1165</v>
      </c>
      <c r="B304" s="284"/>
      <c r="C304" s="279">
        <f>((D304*G304)+(K304*H304)+(O304*L304)+(S304*P304)+(W304*T304))</f>
        <v>0</v>
      </c>
      <c r="D304" s="282">
        <v>0</v>
      </c>
      <c r="E304" s="283" t="s">
        <v>926</v>
      </c>
      <c r="F304" s="59" t="str">
        <f t="shared" ref="F304" si="148">VLOOKUP(E304,LISTAITEMS,2,FALSE)</f>
        <v>ninguno</v>
      </c>
      <c r="G304" s="280">
        <f>VLOOKUP(E304,LISTAITEMS,5,FALSE)</f>
        <v>0</v>
      </c>
      <c r="H304" s="282">
        <v>0</v>
      </c>
      <c r="I304" s="283" t="s">
        <v>926</v>
      </c>
      <c r="J304" s="59" t="str">
        <f t="shared" ref="J304" si="149">VLOOKUP(I304,LISTAITEMS,2,FALSE)</f>
        <v>ninguno</v>
      </c>
      <c r="K304" s="280">
        <f>VLOOKUP(I304,LISTAITEMS,5,FALSE)</f>
        <v>0</v>
      </c>
      <c r="L304" s="282">
        <v>0</v>
      </c>
      <c r="M304" s="283" t="s">
        <v>926</v>
      </c>
      <c r="N304" s="59" t="str">
        <f t="shared" ref="N304" si="150">VLOOKUP(M304,LISTAITEMS,2,FALSE)</f>
        <v>ninguno</v>
      </c>
      <c r="O304" s="280">
        <f>VLOOKUP(M304,LISTAITEMS,5,FALSE)</f>
        <v>0</v>
      </c>
      <c r="P304" s="282">
        <v>0</v>
      </c>
      <c r="Q304" s="283" t="s">
        <v>926</v>
      </c>
      <c r="R304" s="59" t="str">
        <f t="shared" ref="R304" si="151">VLOOKUP(Q304,LISTAITEMS,2,FALSE)</f>
        <v>ninguno</v>
      </c>
      <c r="S304" s="280">
        <f>VLOOKUP(Q304,LISTAITEMS,5,FALSE)</f>
        <v>0</v>
      </c>
      <c r="T304" s="282">
        <v>0</v>
      </c>
      <c r="U304" s="283" t="s">
        <v>926</v>
      </c>
      <c r="V304" s="59" t="str">
        <f t="shared" ref="V304" si="152">VLOOKUP(U304,LISTAITEMS,2,FALSE)</f>
        <v>ninguno</v>
      </c>
      <c r="W304" s="280">
        <f>VLOOKUP(U304,LISTAITEMS,5,FALSE)</f>
        <v>0</v>
      </c>
    </row>
    <row r="308" spans="1:23" x14ac:dyDescent="0.25">
      <c r="A308" s="277" t="s">
        <v>1140</v>
      </c>
      <c r="B308" s="277"/>
      <c r="C308" s="277"/>
      <c r="D308" s="277"/>
      <c r="E308" s="277"/>
      <c r="F308" s="277"/>
      <c r="G308" s="277"/>
      <c r="H308" s="277"/>
      <c r="I308" s="277"/>
      <c r="J308" s="277"/>
      <c r="K308" s="277"/>
      <c r="L308" s="277"/>
      <c r="M308" s="277"/>
      <c r="N308" s="277"/>
      <c r="O308" s="277"/>
      <c r="P308" s="277"/>
      <c r="Q308" s="277"/>
      <c r="R308" s="277"/>
      <c r="S308" s="277"/>
      <c r="T308" s="277"/>
      <c r="U308" s="277"/>
      <c r="V308" s="277"/>
      <c r="W308" s="277"/>
    </row>
    <row r="309" spans="1:23" x14ac:dyDescent="0.25">
      <c r="A309" s="277"/>
      <c r="B309" s="277"/>
      <c r="C309" s="277"/>
      <c r="D309" s="277"/>
      <c r="E309" s="277"/>
      <c r="F309" s="277"/>
      <c r="G309" s="277"/>
      <c r="H309" s="277"/>
      <c r="I309" s="277"/>
      <c r="J309" s="277"/>
      <c r="K309" s="277"/>
      <c r="L309" s="277"/>
      <c r="M309" s="277"/>
      <c r="N309" s="277"/>
      <c r="O309" s="277"/>
      <c r="P309" s="277"/>
      <c r="Q309" s="277"/>
      <c r="R309" s="277"/>
      <c r="S309" s="277"/>
      <c r="T309" s="277"/>
      <c r="U309" s="277"/>
      <c r="V309" s="277"/>
      <c r="W309" s="277"/>
    </row>
    <row r="310" spans="1:23" x14ac:dyDescent="0.25">
      <c r="A310" s="286"/>
      <c r="B310" s="286" t="s">
        <v>1010</v>
      </c>
      <c r="C310" s="286"/>
      <c r="D310" s="286"/>
      <c r="E310" s="286"/>
      <c r="F310" s="286"/>
      <c r="G310" s="286"/>
      <c r="H310" s="286"/>
      <c r="I310" s="286"/>
      <c r="J310" s="286"/>
      <c r="K310" s="286"/>
      <c r="L310" s="286"/>
      <c r="M310" s="286"/>
      <c r="N310" s="286"/>
      <c r="O310" s="286"/>
      <c r="P310" s="286"/>
      <c r="Q310" s="286"/>
      <c r="R310" s="286"/>
      <c r="S310" s="286"/>
      <c r="T310" s="286"/>
      <c r="U310" s="286"/>
      <c r="V310" s="286"/>
      <c r="W310" s="286"/>
    </row>
    <row r="311" spans="1:23" x14ac:dyDescent="0.25">
      <c r="A311" s="278"/>
      <c r="B311" s="278" t="s">
        <v>203</v>
      </c>
      <c r="C311" s="281" t="s">
        <v>202</v>
      </c>
      <c r="D311" s="285" t="s">
        <v>149</v>
      </c>
      <c r="E311" s="285" t="s">
        <v>1166</v>
      </c>
      <c r="F311" s="281" t="s">
        <v>203</v>
      </c>
      <c r="G311" s="285" t="s">
        <v>1171</v>
      </c>
      <c r="H311" s="285" t="s">
        <v>149</v>
      </c>
      <c r="I311" s="285" t="s">
        <v>1167</v>
      </c>
      <c r="J311" s="281" t="s">
        <v>203</v>
      </c>
      <c r="K311" s="285" t="s">
        <v>1171</v>
      </c>
      <c r="L311" s="285" t="s">
        <v>149</v>
      </c>
      <c r="M311" s="285" t="s">
        <v>1168</v>
      </c>
      <c r="N311" s="281" t="s">
        <v>203</v>
      </c>
      <c r="O311" s="285" t="s">
        <v>1171</v>
      </c>
      <c r="P311" s="285" t="s">
        <v>149</v>
      </c>
      <c r="Q311" s="285" t="s">
        <v>1169</v>
      </c>
      <c r="R311" s="281" t="s">
        <v>203</v>
      </c>
      <c r="S311" s="285" t="s">
        <v>1171</v>
      </c>
      <c r="T311" s="285" t="s">
        <v>149</v>
      </c>
      <c r="U311" s="285" t="s">
        <v>1170</v>
      </c>
      <c r="V311" s="281" t="s">
        <v>203</v>
      </c>
      <c r="W311" s="285" t="s">
        <v>1171</v>
      </c>
    </row>
    <row r="312" spans="1:23" x14ac:dyDescent="0.25">
      <c r="A312" s="284" t="s">
        <v>1165</v>
      </c>
      <c r="B312" s="284"/>
      <c r="C312" s="279">
        <f>((D312*G312)+(K312*H312)+(O312*L312)+(S312*P312)+(W312*T312))</f>
        <v>0</v>
      </c>
      <c r="D312" s="282">
        <v>0</v>
      </c>
      <c r="E312" s="283" t="s">
        <v>926</v>
      </c>
      <c r="F312" s="59" t="str">
        <f t="shared" ref="F312" si="153">VLOOKUP(E312,LISTAITEMS,2,FALSE)</f>
        <v>ninguno</v>
      </c>
      <c r="G312" s="280">
        <f>VLOOKUP(E312,LISTAITEMS,5,FALSE)</f>
        <v>0</v>
      </c>
      <c r="H312" s="282">
        <v>0</v>
      </c>
      <c r="I312" s="283" t="s">
        <v>926</v>
      </c>
      <c r="J312" s="59" t="str">
        <f t="shared" ref="J312" si="154">VLOOKUP(I312,LISTAITEMS,2,FALSE)</f>
        <v>ninguno</v>
      </c>
      <c r="K312" s="280">
        <f>VLOOKUP(I312,LISTAITEMS,5,FALSE)</f>
        <v>0</v>
      </c>
      <c r="L312" s="282">
        <v>0</v>
      </c>
      <c r="M312" s="283" t="s">
        <v>926</v>
      </c>
      <c r="N312" s="59" t="str">
        <f t="shared" ref="N312" si="155">VLOOKUP(M312,LISTAITEMS,2,FALSE)</f>
        <v>ninguno</v>
      </c>
      <c r="O312" s="280">
        <f>VLOOKUP(M312,LISTAITEMS,5,FALSE)</f>
        <v>0</v>
      </c>
      <c r="P312" s="282">
        <v>0</v>
      </c>
      <c r="Q312" s="283" t="s">
        <v>926</v>
      </c>
      <c r="R312" s="59" t="str">
        <f t="shared" ref="R312" si="156">VLOOKUP(Q312,LISTAITEMS,2,FALSE)</f>
        <v>ninguno</v>
      </c>
      <c r="S312" s="280">
        <f>VLOOKUP(Q312,LISTAITEMS,5,FALSE)</f>
        <v>0</v>
      </c>
      <c r="T312" s="282">
        <v>0</v>
      </c>
      <c r="U312" s="283" t="s">
        <v>926</v>
      </c>
      <c r="V312" s="59" t="str">
        <f t="shared" ref="V312" si="157">VLOOKUP(U312,LISTAITEMS,2,FALSE)</f>
        <v>ninguno</v>
      </c>
      <c r="W312" s="280">
        <f>VLOOKUP(U312,LISTAITEMS,5,FALSE)</f>
        <v>0</v>
      </c>
    </row>
    <row r="317" spans="1:23" x14ac:dyDescent="0.25">
      <c r="A317" s="277" t="s">
        <v>1139</v>
      </c>
      <c r="B317" s="277"/>
      <c r="C317" s="277"/>
      <c r="D317" s="277"/>
      <c r="E317" s="277"/>
      <c r="F317" s="277"/>
      <c r="G317" s="277"/>
      <c r="H317" s="277"/>
      <c r="I317" s="277"/>
      <c r="J317" s="277"/>
      <c r="K317" s="277"/>
      <c r="L317" s="277"/>
      <c r="M317" s="277"/>
      <c r="N317" s="277"/>
      <c r="O317" s="277"/>
      <c r="P317" s="277"/>
      <c r="Q317" s="277"/>
      <c r="R317" s="277"/>
      <c r="S317" s="277"/>
      <c r="T317" s="277"/>
      <c r="U317" s="277"/>
      <c r="V317" s="277"/>
      <c r="W317" s="277"/>
    </row>
    <row r="318" spans="1:23" x14ac:dyDescent="0.25">
      <c r="A318" s="277"/>
      <c r="B318" s="277"/>
      <c r="C318" s="277"/>
      <c r="D318" s="277"/>
      <c r="E318" s="277"/>
      <c r="F318" s="277"/>
      <c r="G318" s="277"/>
      <c r="H318" s="277"/>
      <c r="I318" s="277"/>
      <c r="J318" s="277"/>
      <c r="K318" s="277"/>
      <c r="L318" s="277"/>
      <c r="M318" s="277"/>
      <c r="N318" s="277"/>
      <c r="O318" s="277"/>
      <c r="P318" s="277"/>
      <c r="Q318" s="277"/>
      <c r="R318" s="277"/>
      <c r="S318" s="277"/>
      <c r="T318" s="277"/>
      <c r="U318" s="277"/>
      <c r="V318" s="277"/>
      <c r="W318" s="277"/>
    </row>
    <row r="319" spans="1:23" x14ac:dyDescent="0.25">
      <c r="A319" s="286"/>
      <c r="B319" s="286" t="s">
        <v>1010</v>
      </c>
      <c r="C319" s="286"/>
      <c r="D319" s="286"/>
      <c r="E319" s="286"/>
      <c r="F319" s="286"/>
      <c r="G319" s="286"/>
      <c r="H319" s="286"/>
      <c r="I319" s="286"/>
      <c r="J319" s="286"/>
      <c r="K319" s="286"/>
      <c r="L319" s="286"/>
      <c r="M319" s="286"/>
      <c r="N319" s="286"/>
      <c r="O319" s="286"/>
      <c r="P319" s="286"/>
      <c r="Q319" s="286"/>
      <c r="R319" s="286"/>
      <c r="S319" s="286"/>
      <c r="T319" s="286"/>
      <c r="U319" s="286"/>
      <c r="V319" s="286"/>
      <c r="W319" s="286"/>
    </row>
    <row r="320" spans="1:23" x14ac:dyDescent="0.25">
      <c r="A320" s="278"/>
      <c r="B320" s="278" t="s">
        <v>203</v>
      </c>
      <c r="C320" s="281" t="s">
        <v>202</v>
      </c>
      <c r="D320" s="285" t="s">
        <v>149</v>
      </c>
      <c r="E320" s="285" t="s">
        <v>1166</v>
      </c>
      <c r="F320" s="281" t="s">
        <v>203</v>
      </c>
      <c r="G320" s="285" t="s">
        <v>1171</v>
      </c>
      <c r="H320" s="285" t="s">
        <v>149</v>
      </c>
      <c r="I320" s="285" t="s">
        <v>1167</v>
      </c>
      <c r="J320" s="281" t="s">
        <v>203</v>
      </c>
      <c r="K320" s="285" t="s">
        <v>1171</v>
      </c>
      <c r="L320" s="285" t="s">
        <v>149</v>
      </c>
      <c r="M320" s="285" t="s">
        <v>1168</v>
      </c>
      <c r="N320" s="281" t="s">
        <v>203</v>
      </c>
      <c r="O320" s="285" t="s">
        <v>1171</v>
      </c>
      <c r="P320" s="285" t="s">
        <v>149</v>
      </c>
      <c r="Q320" s="285" t="s">
        <v>1169</v>
      </c>
      <c r="R320" s="281" t="s">
        <v>203</v>
      </c>
      <c r="S320" s="285" t="s">
        <v>1171</v>
      </c>
      <c r="T320" s="285" t="s">
        <v>149</v>
      </c>
      <c r="U320" s="285" t="s">
        <v>1170</v>
      </c>
      <c r="V320" s="281" t="s">
        <v>203</v>
      </c>
      <c r="W320" s="285" t="s">
        <v>1171</v>
      </c>
    </row>
    <row r="321" spans="1:23" x14ac:dyDescent="0.25">
      <c r="A321" s="284" t="s">
        <v>1165</v>
      </c>
      <c r="B321" s="284"/>
      <c r="C321" s="279">
        <f>((D321*G321)+(K321*H321)+(O321*L321)+(S321*P321)+(W321*T321))</f>
        <v>0</v>
      </c>
      <c r="D321" s="282">
        <v>0</v>
      </c>
      <c r="E321" s="283" t="s">
        <v>926</v>
      </c>
      <c r="F321" s="59" t="str">
        <f t="shared" ref="F321" si="158">VLOOKUP(E321,LISTAITEMS,2,FALSE)</f>
        <v>ninguno</v>
      </c>
      <c r="G321" s="280">
        <f>VLOOKUP(E321,LISTAITEMS,5,FALSE)</f>
        <v>0</v>
      </c>
      <c r="H321" s="282">
        <v>0</v>
      </c>
      <c r="I321" s="283" t="s">
        <v>926</v>
      </c>
      <c r="J321" s="59" t="str">
        <f t="shared" ref="J321" si="159">VLOOKUP(I321,LISTAITEMS,2,FALSE)</f>
        <v>ninguno</v>
      </c>
      <c r="K321" s="280">
        <f>VLOOKUP(I321,LISTAITEMS,5,FALSE)</f>
        <v>0</v>
      </c>
      <c r="L321" s="282">
        <v>0</v>
      </c>
      <c r="M321" s="283" t="s">
        <v>926</v>
      </c>
      <c r="N321" s="59" t="str">
        <f t="shared" ref="N321" si="160">VLOOKUP(M321,LISTAITEMS,2,FALSE)</f>
        <v>ninguno</v>
      </c>
      <c r="O321" s="280">
        <f>VLOOKUP(M321,LISTAITEMS,5,FALSE)</f>
        <v>0</v>
      </c>
      <c r="P321" s="282">
        <v>0</v>
      </c>
      <c r="Q321" s="283" t="s">
        <v>926</v>
      </c>
      <c r="R321" s="59" t="str">
        <f t="shared" ref="R321" si="161">VLOOKUP(Q321,LISTAITEMS,2,FALSE)</f>
        <v>ninguno</v>
      </c>
      <c r="S321" s="280">
        <f>VLOOKUP(Q321,LISTAITEMS,5,FALSE)</f>
        <v>0</v>
      </c>
      <c r="T321" s="282">
        <v>0</v>
      </c>
      <c r="U321" s="283" t="s">
        <v>926</v>
      </c>
      <c r="V321" s="59" t="str">
        <f t="shared" ref="V321" si="162">VLOOKUP(U321,LISTAITEMS,2,FALSE)</f>
        <v>ninguno</v>
      </c>
      <c r="W321" s="280">
        <f>VLOOKUP(U321,LISTAITEMS,5,FALSE)</f>
        <v>0</v>
      </c>
    </row>
    <row r="327" spans="1:23" x14ac:dyDescent="0.25">
      <c r="A327" s="277" t="s">
        <v>1113</v>
      </c>
      <c r="B327" s="277"/>
      <c r="C327" s="277"/>
      <c r="D327" s="277"/>
      <c r="E327" s="277"/>
      <c r="F327" s="277"/>
      <c r="G327" s="277"/>
      <c r="H327" s="277"/>
      <c r="I327" s="277"/>
      <c r="J327" s="277"/>
      <c r="K327" s="277"/>
      <c r="L327" s="277"/>
      <c r="M327" s="277"/>
      <c r="N327" s="277"/>
      <c r="O327" s="277"/>
      <c r="P327" s="277"/>
      <c r="Q327" s="277"/>
      <c r="R327" s="277"/>
      <c r="S327" s="277"/>
      <c r="T327" s="277"/>
      <c r="U327" s="277"/>
      <c r="V327" s="277"/>
      <c r="W327" s="277"/>
    </row>
    <row r="328" spans="1:23" x14ac:dyDescent="0.25">
      <c r="A328" s="277"/>
      <c r="B328" s="277"/>
      <c r="C328" s="277"/>
      <c r="D328" s="277"/>
      <c r="E328" s="277"/>
      <c r="F328" s="277"/>
      <c r="G328" s="277"/>
      <c r="H328" s="277"/>
      <c r="I328" s="277"/>
      <c r="J328" s="277"/>
      <c r="K328" s="277"/>
      <c r="L328" s="277"/>
      <c r="M328" s="277"/>
      <c r="N328" s="277"/>
      <c r="O328" s="277"/>
      <c r="P328" s="277"/>
      <c r="Q328" s="277"/>
      <c r="R328" s="277"/>
      <c r="S328" s="277"/>
      <c r="T328" s="277"/>
      <c r="U328" s="277"/>
      <c r="V328" s="277"/>
      <c r="W328" s="277"/>
    </row>
    <row r="329" spans="1:23" x14ac:dyDescent="0.25">
      <c r="A329" s="286"/>
      <c r="B329" s="286" t="s">
        <v>1010</v>
      </c>
      <c r="C329" s="286"/>
      <c r="D329" s="286"/>
      <c r="E329" s="286"/>
      <c r="F329" s="286"/>
      <c r="G329" s="286"/>
      <c r="H329" s="286"/>
      <c r="I329" s="286"/>
      <c r="J329" s="286"/>
      <c r="K329" s="286"/>
      <c r="L329" s="286"/>
      <c r="M329" s="286"/>
      <c r="N329" s="286"/>
      <c r="O329" s="286"/>
      <c r="P329" s="286"/>
      <c r="Q329" s="286"/>
      <c r="R329" s="286"/>
      <c r="S329" s="286"/>
      <c r="T329" s="286"/>
      <c r="U329" s="286"/>
      <c r="V329" s="286"/>
      <c r="W329" s="286"/>
    </row>
    <row r="330" spans="1:23" x14ac:dyDescent="0.25">
      <c r="A330" s="278"/>
      <c r="B330" s="278" t="s">
        <v>203</v>
      </c>
      <c r="C330" s="281" t="s">
        <v>202</v>
      </c>
      <c r="D330" s="285" t="s">
        <v>149</v>
      </c>
      <c r="E330" s="285" t="s">
        <v>1166</v>
      </c>
      <c r="F330" s="281" t="s">
        <v>203</v>
      </c>
      <c r="G330" s="285" t="s">
        <v>1171</v>
      </c>
      <c r="H330" s="285" t="s">
        <v>149</v>
      </c>
      <c r="I330" s="285" t="s">
        <v>1167</v>
      </c>
      <c r="J330" s="281" t="s">
        <v>203</v>
      </c>
      <c r="K330" s="285" t="s">
        <v>1171</v>
      </c>
      <c r="L330" s="285" t="s">
        <v>149</v>
      </c>
      <c r="M330" s="285" t="s">
        <v>1168</v>
      </c>
      <c r="N330" s="281" t="s">
        <v>203</v>
      </c>
      <c r="O330" s="285" t="s">
        <v>1171</v>
      </c>
      <c r="P330" s="285" t="s">
        <v>149</v>
      </c>
      <c r="Q330" s="285" t="s">
        <v>1169</v>
      </c>
      <c r="R330" s="281" t="s">
        <v>203</v>
      </c>
      <c r="S330" s="285" t="s">
        <v>1171</v>
      </c>
      <c r="T330" s="285" t="s">
        <v>149</v>
      </c>
      <c r="U330" s="285" t="s">
        <v>1170</v>
      </c>
      <c r="V330" s="281" t="s">
        <v>203</v>
      </c>
      <c r="W330" s="285" t="s">
        <v>1171</v>
      </c>
    </row>
    <row r="331" spans="1:23" x14ac:dyDescent="0.25">
      <c r="A331" s="284" t="s">
        <v>1165</v>
      </c>
      <c r="B331" s="284"/>
      <c r="C331" s="279">
        <f>((D331*G331)+(K331*H331)+(O331*L331)+(S331*P331)+(W331*T331))</f>
        <v>0</v>
      </c>
      <c r="D331" s="282">
        <v>0</v>
      </c>
      <c r="E331" s="283" t="s">
        <v>926</v>
      </c>
      <c r="F331" s="59" t="str">
        <f t="shared" ref="F331" si="163">VLOOKUP(E331,LISTAITEMS,2,FALSE)</f>
        <v>ninguno</v>
      </c>
      <c r="G331" s="280">
        <f>VLOOKUP(E331,LISTAITEMS,5,FALSE)</f>
        <v>0</v>
      </c>
      <c r="H331" s="282">
        <v>0</v>
      </c>
      <c r="I331" s="283" t="s">
        <v>926</v>
      </c>
      <c r="J331" s="59" t="str">
        <f t="shared" ref="J331" si="164">VLOOKUP(I331,LISTAITEMS,2,FALSE)</f>
        <v>ninguno</v>
      </c>
      <c r="K331" s="280">
        <f>VLOOKUP(I331,LISTAITEMS,5,FALSE)</f>
        <v>0</v>
      </c>
      <c r="L331" s="282">
        <v>0</v>
      </c>
      <c r="M331" s="283" t="s">
        <v>926</v>
      </c>
      <c r="N331" s="59" t="str">
        <f t="shared" ref="N331" si="165">VLOOKUP(M331,LISTAITEMS,2,FALSE)</f>
        <v>ninguno</v>
      </c>
      <c r="O331" s="280">
        <f>VLOOKUP(M331,LISTAITEMS,5,FALSE)</f>
        <v>0</v>
      </c>
      <c r="P331" s="282">
        <v>0</v>
      </c>
      <c r="Q331" s="283" t="s">
        <v>926</v>
      </c>
      <c r="R331" s="59" t="str">
        <f t="shared" ref="R331" si="166">VLOOKUP(Q331,LISTAITEMS,2,FALSE)</f>
        <v>ninguno</v>
      </c>
      <c r="S331" s="280">
        <f>VLOOKUP(Q331,LISTAITEMS,5,FALSE)</f>
        <v>0</v>
      </c>
      <c r="T331" s="282">
        <v>0</v>
      </c>
      <c r="U331" s="283" t="s">
        <v>926</v>
      </c>
      <c r="V331" s="59" t="str">
        <f t="shared" ref="V331" si="167">VLOOKUP(U331,LISTAITEMS,2,FALSE)</f>
        <v>ninguno</v>
      </c>
      <c r="W331" s="280">
        <f>VLOOKUP(U331,LISTAITEMS,5,FALSE)</f>
        <v>0</v>
      </c>
    </row>
  </sheetData>
  <mergeCells count="99">
    <mergeCell ref="C3:D3"/>
    <mergeCell ref="A2:B2"/>
    <mergeCell ref="C2:D2"/>
    <mergeCell ref="A1:D1"/>
    <mergeCell ref="C4:D4"/>
    <mergeCell ref="A3:B3"/>
    <mergeCell ref="A4:B4"/>
    <mergeCell ref="A5:B5"/>
    <mergeCell ref="A6:B6"/>
    <mergeCell ref="A7:B7"/>
    <mergeCell ref="E4:F4"/>
    <mergeCell ref="G4:H4"/>
    <mergeCell ref="C5:D5"/>
    <mergeCell ref="C6:D6"/>
    <mergeCell ref="C7:D7"/>
    <mergeCell ref="E5:F5"/>
    <mergeCell ref="G5:H5"/>
    <mergeCell ref="E6:F6"/>
    <mergeCell ref="G6:H6"/>
    <mergeCell ref="E7:F7"/>
    <mergeCell ref="G7:H7"/>
    <mergeCell ref="E1:H1"/>
    <mergeCell ref="E2:F2"/>
    <mergeCell ref="G2:H2"/>
    <mergeCell ref="E3:F3"/>
    <mergeCell ref="G3:H3"/>
    <mergeCell ref="I1:L1"/>
    <mergeCell ref="I2:J2"/>
    <mergeCell ref="K2:L2"/>
    <mergeCell ref="I3:J3"/>
    <mergeCell ref="K3:L3"/>
    <mergeCell ref="M4:N4"/>
    <mergeCell ref="O4:P4"/>
    <mergeCell ref="I5:J5"/>
    <mergeCell ref="K5:L5"/>
    <mergeCell ref="I6:J6"/>
    <mergeCell ref="K6:L6"/>
    <mergeCell ref="I4:J4"/>
    <mergeCell ref="K4:L4"/>
    <mergeCell ref="M5:N5"/>
    <mergeCell ref="O5:P5"/>
    <mergeCell ref="M6:N6"/>
    <mergeCell ref="O6:P6"/>
    <mergeCell ref="M1:P1"/>
    <mergeCell ref="M2:N2"/>
    <mergeCell ref="O2:P2"/>
    <mergeCell ref="M3:N3"/>
    <mergeCell ref="O3:P3"/>
    <mergeCell ref="O7:P7"/>
    <mergeCell ref="M7:N7"/>
    <mergeCell ref="A10:B10"/>
    <mergeCell ref="A20:B20"/>
    <mergeCell ref="E10:F10"/>
    <mergeCell ref="E15:F15"/>
    <mergeCell ref="E20:F20"/>
    <mergeCell ref="I10:J10"/>
    <mergeCell ref="I7:J7"/>
    <mergeCell ref="K7:L7"/>
    <mergeCell ref="K14:L14"/>
    <mergeCell ref="M10:N10"/>
    <mergeCell ref="O10:P10"/>
    <mergeCell ref="M15:N15"/>
    <mergeCell ref="O15:P15"/>
    <mergeCell ref="M20:N20"/>
    <mergeCell ref="A30:B30"/>
    <mergeCell ref="C10:D10"/>
    <mergeCell ref="C15:D15"/>
    <mergeCell ref="C20:D20"/>
    <mergeCell ref="C25:D25"/>
    <mergeCell ref="C30:D30"/>
    <mergeCell ref="A15:B15"/>
    <mergeCell ref="E22:F22"/>
    <mergeCell ref="G10:H10"/>
    <mergeCell ref="G15:H15"/>
    <mergeCell ref="G20:H20"/>
    <mergeCell ref="A25:B25"/>
    <mergeCell ref="E23:F23"/>
    <mergeCell ref="E24:F24"/>
    <mergeCell ref="O20:P20"/>
    <mergeCell ref="I11:J11"/>
    <mergeCell ref="I12:J12"/>
    <mergeCell ref="I13:J13"/>
    <mergeCell ref="I14:J14"/>
    <mergeCell ref="K10:L10"/>
    <mergeCell ref="K11:L11"/>
    <mergeCell ref="K12:L12"/>
    <mergeCell ref="K13:L13"/>
    <mergeCell ref="E21:F21"/>
    <mergeCell ref="M25:N25"/>
    <mergeCell ref="O25:P25"/>
    <mergeCell ref="M30:N30"/>
    <mergeCell ref="O30:P30"/>
    <mergeCell ref="G25:H25"/>
    <mergeCell ref="G30:H30"/>
    <mergeCell ref="R7:R11"/>
    <mergeCell ref="R12:R16"/>
    <mergeCell ref="R17:R21"/>
    <mergeCell ref="R22:R26"/>
    <mergeCell ref="R2:R6"/>
  </mergeCells>
  <dataValidations count="2">
    <dataValidation type="list" allowBlank="1" showInputMessage="1" showErrorMessage="1" sqref="E42:E43 I42:I43 M42:M43 Q42:Q43 U42:U43 Q190 E69 I69 M69 Q69 U69 E83 I83 M83 Q83 U83 E96 I96 M96 Q96 U96 E111 I111 M111 Q111 U111 E124 I124 M124 Q124 U124 E138 I138 M138 Q138 U138 E150 I150 M150 Q150 U150 E163 I163 M163 Q163 U163 I175 M175 Q175 U175 U331 E195:E196 I195:I196 M195:M196 Q195:Q196 U195:U196 E208 I208 M208 Q208 U208 E218 I218 M218 Q218 U218 E229 I229 M229 Q229 U229 E240 I240 M240 Q240 U240 E251 I251 M251 Q251 U251 E259 I259 M259 Q259 U259 E267 I267 M267 Q267 U267 E281 I281 M281 Q281 U281 E274 I274 M274 Q274 U274 E289 I289 M289 Q289 U289 E296 I296 M296 Q296 U296 E304 I304 M304 Q304 U304 E312 I312 M312 Q312 U312 E321 I321 M321 Q321 U321 E331 I331 M331 Q331 E175 M178 Q178 U178 E178 I178 Q181 U181 E181 I181 M181 U184 E184 I184 M184 Q184 E187 I187 M187 Q187 U187 U190 E190 I190 M190">
      <formula1>IDS</formula1>
    </dataValidation>
    <dataValidation type="list" allowBlank="1" showInputMessage="1" showErrorMessage="1" sqref="E56:E57 H56:H57 K56:K57 N56:N57 Q56:Q57 V2:V26 Y2:Y26">
      <formula1>craftspar</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M94"/>
  <sheetViews>
    <sheetView topLeftCell="F38" workbookViewId="0">
      <selection activeCell="J43" sqref="J43"/>
    </sheetView>
  </sheetViews>
  <sheetFormatPr baseColWidth="10" defaultRowHeight="15" x14ac:dyDescent="0.25"/>
  <cols>
    <col min="1" max="2" width="16.42578125" customWidth="1"/>
    <col min="3" max="8" width="18.140625" customWidth="1"/>
    <col min="9" max="9" width="20.85546875" customWidth="1"/>
    <col min="10" max="10" width="18.140625" customWidth="1"/>
  </cols>
  <sheetData>
    <row r="1" spans="1:10" ht="27.75" customHeight="1" x14ac:dyDescent="0.25">
      <c r="A1" s="1" t="s">
        <v>15</v>
      </c>
      <c r="B1" s="3" t="s">
        <v>5</v>
      </c>
      <c r="C1" s="1" t="s">
        <v>6</v>
      </c>
      <c r="D1" s="3" t="s">
        <v>5</v>
      </c>
      <c r="E1" s="1" t="s">
        <v>13</v>
      </c>
      <c r="F1" s="3" t="s">
        <v>0</v>
      </c>
      <c r="G1" s="3" t="s">
        <v>1</v>
      </c>
      <c r="H1" s="3" t="s">
        <v>2</v>
      </c>
      <c r="I1" s="3" t="s">
        <v>3</v>
      </c>
      <c r="J1" s="3" t="s">
        <v>14</v>
      </c>
    </row>
    <row r="2" spans="1:10" x14ac:dyDescent="0.25">
      <c r="A2" t="s">
        <v>87</v>
      </c>
      <c r="B2" s="2">
        <f>'ECONOMIA &amp; PROFESIONES'!$B$16</f>
        <v>200</v>
      </c>
      <c r="C2" t="s">
        <v>7</v>
      </c>
      <c r="D2">
        <f>$B$2*2</f>
        <v>400</v>
      </c>
      <c r="E2" t="s">
        <v>9</v>
      </c>
      <c r="F2">
        <f>$B$2*5</f>
        <v>1000</v>
      </c>
      <c r="G2">
        <f>$B$3*5</f>
        <v>2000</v>
      </c>
      <c r="H2">
        <f>$B$4*5</f>
        <v>4000</v>
      </c>
      <c r="I2">
        <f>$B$5*5</f>
        <v>8000</v>
      </c>
      <c r="J2">
        <f>$B$6*5</f>
        <v>16000</v>
      </c>
    </row>
    <row r="3" spans="1:10" x14ac:dyDescent="0.25">
      <c r="A3" t="s">
        <v>88</v>
      </c>
      <c r="B3" s="2">
        <f>'ECONOMIA &amp; PROFESIONES'!$B$17</f>
        <v>400</v>
      </c>
      <c r="C3" t="s">
        <v>8</v>
      </c>
      <c r="D3">
        <f>$B$3*2</f>
        <v>800</v>
      </c>
      <c r="E3" t="s">
        <v>10</v>
      </c>
      <c r="F3">
        <f>$B$2*8</f>
        <v>1600</v>
      </c>
      <c r="G3">
        <f>$B$3*8</f>
        <v>3200</v>
      </c>
      <c r="H3">
        <f>$B$4*8</f>
        <v>6400</v>
      </c>
      <c r="I3">
        <f>$B$5*8</f>
        <v>12800</v>
      </c>
      <c r="J3">
        <f>$B$6*8</f>
        <v>25600</v>
      </c>
    </row>
    <row r="4" spans="1:10" x14ac:dyDescent="0.25">
      <c r="A4" t="s">
        <v>2</v>
      </c>
      <c r="B4" s="2">
        <f>'ECONOMIA &amp; PROFESIONES'!$B$18</f>
        <v>800</v>
      </c>
      <c r="C4" t="s">
        <v>2</v>
      </c>
      <c r="D4">
        <f>$B$4*2</f>
        <v>1600</v>
      </c>
      <c r="E4" t="s">
        <v>11</v>
      </c>
      <c r="F4">
        <f>$B$2*7</f>
        <v>1400</v>
      </c>
      <c r="G4">
        <f>$B$3*7</f>
        <v>2800</v>
      </c>
      <c r="H4">
        <f>$B$4*7</f>
        <v>5600</v>
      </c>
      <c r="I4">
        <f>$B$5*7</f>
        <v>11200</v>
      </c>
      <c r="J4">
        <f>$B$6*7</f>
        <v>22400</v>
      </c>
    </row>
    <row r="5" spans="1:10" x14ac:dyDescent="0.25">
      <c r="A5" t="s">
        <v>3</v>
      </c>
      <c r="B5" s="2">
        <f>'ECONOMIA &amp; PROFESIONES'!$B$19</f>
        <v>1600</v>
      </c>
      <c r="C5" t="s">
        <v>3</v>
      </c>
      <c r="D5">
        <f>$B$5*2</f>
        <v>3200</v>
      </c>
      <c r="E5" t="s">
        <v>12</v>
      </c>
      <c r="F5">
        <f>$B$2*4</f>
        <v>800</v>
      </c>
      <c r="G5">
        <f>$B$3*4</f>
        <v>1600</v>
      </c>
      <c r="H5">
        <f>$B$4*4</f>
        <v>3200</v>
      </c>
      <c r="I5">
        <f>$B$5*4</f>
        <v>6400</v>
      </c>
      <c r="J5">
        <f>$B$6*4</f>
        <v>12800</v>
      </c>
    </row>
    <row r="6" spans="1:10" x14ac:dyDescent="0.25">
      <c r="A6" t="s">
        <v>4</v>
      </c>
      <c r="B6" s="2">
        <f>'ECONOMIA &amp; PROFESIONES'!$B$20</f>
        <v>3200</v>
      </c>
      <c r="C6" t="s">
        <v>4</v>
      </c>
      <c r="D6">
        <f>$B$6*2</f>
        <v>6400</v>
      </c>
    </row>
    <row r="7" spans="1:10" ht="27.75" customHeight="1" x14ac:dyDescent="0.25">
      <c r="A7" s="1" t="s">
        <v>16</v>
      </c>
      <c r="B7" s="3" t="s">
        <v>5</v>
      </c>
      <c r="C7" s="1" t="s">
        <v>20</v>
      </c>
      <c r="D7" s="3" t="s">
        <v>55</v>
      </c>
      <c r="E7" s="1" t="s">
        <v>56</v>
      </c>
      <c r="F7" s="3" t="s">
        <v>60</v>
      </c>
      <c r="G7" s="1" t="s">
        <v>55</v>
      </c>
      <c r="H7" s="3" t="s">
        <v>56</v>
      </c>
      <c r="J7" s="14" t="s">
        <v>93</v>
      </c>
    </row>
    <row r="8" spans="1:10" x14ac:dyDescent="0.25">
      <c r="A8" t="s">
        <v>17</v>
      </c>
      <c r="B8" s="37">
        <v>200</v>
      </c>
      <c r="C8" s="37" t="s">
        <v>57</v>
      </c>
      <c r="D8" s="37">
        <v>1</v>
      </c>
      <c r="E8" s="37">
        <v>5</v>
      </c>
      <c r="H8">
        <v>5</v>
      </c>
      <c r="J8" t="s">
        <v>95</v>
      </c>
    </row>
    <row r="9" spans="1:10" x14ac:dyDescent="0.25">
      <c r="A9" t="s">
        <v>18</v>
      </c>
      <c r="B9" s="37">
        <v>200</v>
      </c>
      <c r="C9" s="37" t="s">
        <v>59</v>
      </c>
      <c r="D9" s="37">
        <v>1</v>
      </c>
      <c r="E9" s="28"/>
      <c r="J9" t="s">
        <v>96</v>
      </c>
    </row>
    <row r="10" spans="1:10" x14ac:dyDescent="0.25">
      <c r="A10" s="19" t="s">
        <v>19</v>
      </c>
      <c r="B10" s="37">
        <v>500</v>
      </c>
      <c r="C10" s="37" t="s">
        <v>58</v>
      </c>
      <c r="D10" s="37">
        <v>1</v>
      </c>
      <c r="E10" s="28"/>
      <c r="G10" s="2"/>
      <c r="J10" s="2" t="s">
        <v>94</v>
      </c>
    </row>
    <row r="11" spans="1:10" x14ac:dyDescent="0.25">
      <c r="A11" t="s">
        <v>78</v>
      </c>
      <c r="B11" s="37">
        <v>50</v>
      </c>
      <c r="C11" s="37" t="s">
        <v>1195</v>
      </c>
      <c r="D11" s="37">
        <v>1</v>
      </c>
      <c r="E11" s="28"/>
      <c r="G11" s="2"/>
    </row>
    <row r="12" spans="1:10" x14ac:dyDescent="0.25">
      <c r="C12" s="37" t="s">
        <v>1194</v>
      </c>
      <c r="D12" s="37">
        <v>1</v>
      </c>
      <c r="E12" s="28"/>
      <c r="G12" s="2"/>
    </row>
    <row r="13" spans="1:10" x14ac:dyDescent="0.25">
      <c r="C13" s="37"/>
      <c r="D13" s="37"/>
      <c r="E13" s="28"/>
      <c r="G13" s="2"/>
    </row>
    <row r="14" spans="1:10" s="274" customFormat="1" x14ac:dyDescent="0.25">
      <c r="C14" s="271"/>
      <c r="D14" s="271"/>
      <c r="E14" s="106"/>
      <c r="G14" s="2"/>
    </row>
    <row r="15" spans="1:10" s="274" customFormat="1" x14ac:dyDescent="0.25">
      <c r="C15" s="271"/>
      <c r="D15" s="271"/>
      <c r="E15" s="106"/>
      <c r="G15" s="2"/>
    </row>
    <row r="16" spans="1:10" s="268" customFormat="1" x14ac:dyDescent="0.25">
      <c r="C16" s="267"/>
      <c r="D16" s="267"/>
      <c r="E16" s="106"/>
      <c r="G16" s="2"/>
    </row>
    <row r="17" spans="1:9" ht="27.75" customHeight="1" x14ac:dyDescent="0.25">
      <c r="A17" s="351" t="s">
        <v>39</v>
      </c>
      <c r="B17" s="351"/>
      <c r="C17" s="3" t="s">
        <v>35</v>
      </c>
      <c r="D17" s="3" t="s">
        <v>51</v>
      </c>
      <c r="E17" s="3" t="s">
        <v>52</v>
      </c>
      <c r="F17" s="3" t="s">
        <v>53</v>
      </c>
      <c r="G17" s="3" t="s">
        <v>54</v>
      </c>
    </row>
    <row r="18" spans="1:9" x14ac:dyDescent="0.25">
      <c r="A18" s="346" t="s">
        <v>73</v>
      </c>
      <c r="B18" s="346"/>
      <c r="C18" s="37">
        <v>0</v>
      </c>
      <c r="D18" s="28">
        <f>$C$18+1</f>
        <v>1</v>
      </c>
      <c r="E18" s="28">
        <f>$D$18+1</f>
        <v>2</v>
      </c>
      <c r="F18" s="28">
        <f>$E$18+1</f>
        <v>3</v>
      </c>
      <c r="G18" s="28">
        <f>$F$18+1</f>
        <v>4</v>
      </c>
    </row>
    <row r="19" spans="1:9" x14ac:dyDescent="0.25">
      <c r="A19" s="346" t="s">
        <v>74</v>
      </c>
      <c r="B19" s="346"/>
      <c r="C19" s="37">
        <v>0</v>
      </c>
      <c r="D19" s="28">
        <f>$C$19+1</f>
        <v>1</v>
      </c>
      <c r="E19" s="28">
        <f>$D$19+2</f>
        <v>3</v>
      </c>
      <c r="F19" s="28">
        <f>$E$19+2</f>
        <v>5</v>
      </c>
      <c r="G19" s="28">
        <f>$F$19+2</f>
        <v>7</v>
      </c>
    </row>
    <row r="20" spans="1:9" x14ac:dyDescent="0.25">
      <c r="A20" s="346" t="s">
        <v>40</v>
      </c>
      <c r="B20" s="346"/>
      <c r="C20" s="37">
        <v>0</v>
      </c>
      <c r="D20" s="28">
        <f>$C$20+1</f>
        <v>1</v>
      </c>
      <c r="E20" s="28">
        <f>$D$20+1</f>
        <v>2</v>
      </c>
      <c r="F20" s="28">
        <f>$E$20+1</f>
        <v>3</v>
      </c>
      <c r="G20" s="28">
        <f>$F$20+1</f>
        <v>4</v>
      </c>
    </row>
    <row r="21" spans="1:9" x14ac:dyDescent="0.25">
      <c r="A21" s="346" t="s">
        <v>41</v>
      </c>
      <c r="B21" s="346"/>
      <c r="C21" s="37">
        <v>0</v>
      </c>
      <c r="D21" s="28">
        <f>$C$21+2</f>
        <v>2</v>
      </c>
      <c r="E21" s="28">
        <f>$D$21+1</f>
        <v>3</v>
      </c>
      <c r="F21" s="28">
        <f>$E$21+1</f>
        <v>4</v>
      </c>
      <c r="G21" s="28">
        <f>$F$21+1</f>
        <v>5</v>
      </c>
    </row>
    <row r="22" spans="1:9" x14ac:dyDescent="0.25">
      <c r="A22" s="346" t="s">
        <v>44</v>
      </c>
      <c r="B22" s="346"/>
      <c r="C22" s="37">
        <v>0</v>
      </c>
      <c r="D22" s="28">
        <f>$C$22+1</f>
        <v>1</v>
      </c>
      <c r="E22" s="28">
        <f>$D$22+1</f>
        <v>2</v>
      </c>
      <c r="F22" s="28">
        <f>$E$22+1</f>
        <v>3</v>
      </c>
      <c r="G22" s="28">
        <f>$F$22+1</f>
        <v>4</v>
      </c>
    </row>
    <row r="23" spans="1:9" x14ac:dyDescent="0.25">
      <c r="A23" s="346" t="s">
        <v>42</v>
      </c>
      <c r="B23" s="346"/>
      <c r="C23" s="37">
        <v>0</v>
      </c>
      <c r="D23" s="28">
        <f>C23</f>
        <v>0</v>
      </c>
      <c r="E23" s="28">
        <f>$D$23+1</f>
        <v>1</v>
      </c>
      <c r="F23" s="28">
        <f>$E$23+1</f>
        <v>2</v>
      </c>
      <c r="G23" s="28">
        <f>$F$23+1</f>
        <v>3</v>
      </c>
    </row>
    <row r="24" spans="1:9" x14ac:dyDescent="0.25">
      <c r="A24" s="346" t="s">
        <v>43</v>
      </c>
      <c r="B24" s="346"/>
      <c r="C24" s="37">
        <v>0</v>
      </c>
      <c r="D24" s="28">
        <f>$C$24+1</f>
        <v>1</v>
      </c>
      <c r="E24" s="28">
        <f>$D$24+1</f>
        <v>2</v>
      </c>
      <c r="F24" s="28">
        <f>$E$24+1</f>
        <v>3</v>
      </c>
      <c r="G24" s="28">
        <f>$F$24+1</f>
        <v>4</v>
      </c>
    </row>
    <row r="25" spans="1:9" x14ac:dyDescent="0.25">
      <c r="A25" s="346" t="s">
        <v>45</v>
      </c>
      <c r="B25" s="346"/>
      <c r="C25" s="37">
        <v>5</v>
      </c>
      <c r="D25" s="28">
        <f>$C$25+1</f>
        <v>6</v>
      </c>
      <c r="E25" s="28">
        <f>$D$25+1</f>
        <v>7</v>
      </c>
      <c r="F25" s="28">
        <f>$E$25+1</f>
        <v>8</v>
      </c>
      <c r="G25" s="28">
        <f>$F$25+1</f>
        <v>9</v>
      </c>
    </row>
    <row r="26" spans="1:9" x14ac:dyDescent="0.25">
      <c r="A26" s="346" t="s">
        <v>46</v>
      </c>
      <c r="B26" s="346"/>
      <c r="C26" s="37">
        <v>6</v>
      </c>
      <c r="D26" s="28">
        <f>$C$26+1</f>
        <v>7</v>
      </c>
      <c r="E26" s="28">
        <f>$D$26+1</f>
        <v>8</v>
      </c>
      <c r="F26" s="28">
        <f>$E$26+1</f>
        <v>9</v>
      </c>
      <c r="G26" s="28">
        <f>$F$26+1</f>
        <v>10</v>
      </c>
      <c r="I26" s="15" t="s">
        <v>99</v>
      </c>
    </row>
    <row r="27" spans="1:9" x14ac:dyDescent="0.25">
      <c r="A27" s="346" t="s">
        <v>47</v>
      </c>
      <c r="B27" s="346"/>
      <c r="C27" s="38">
        <v>0.7</v>
      </c>
      <c r="D27" s="28">
        <f>$C$27/2</f>
        <v>0.35</v>
      </c>
      <c r="E27" s="28">
        <f>$D$27/2</f>
        <v>0.17499999999999999</v>
      </c>
      <c r="F27" s="28">
        <f>$E$27/2</f>
        <v>8.7499999999999994E-2</v>
      </c>
      <c r="G27" s="28">
        <f>$F$27/2</f>
        <v>4.3749999999999997E-2</v>
      </c>
      <c r="I27" s="37">
        <v>5</v>
      </c>
    </row>
    <row r="28" spans="1:9" x14ac:dyDescent="0.25">
      <c r="A28" s="346" t="s">
        <v>48</v>
      </c>
      <c r="B28" s="346"/>
      <c r="C28" s="37">
        <f>C27/2</f>
        <v>0.35</v>
      </c>
      <c r="D28" s="28">
        <f>$D$27/2</f>
        <v>0.17499999999999999</v>
      </c>
      <c r="E28" s="28">
        <f>$E$27/2</f>
        <v>8.7499999999999994E-2</v>
      </c>
      <c r="F28" s="28">
        <f>$F$27/2</f>
        <v>4.3749999999999997E-2</v>
      </c>
      <c r="G28" s="28">
        <f>$G$27/2</f>
        <v>2.1874999999999999E-2</v>
      </c>
    </row>
    <row r="29" spans="1:9" x14ac:dyDescent="0.25">
      <c r="A29" s="346" t="s">
        <v>75</v>
      </c>
      <c r="B29" s="346"/>
      <c r="C29" s="37">
        <v>0</v>
      </c>
      <c r="D29" s="105">
        <v>1</v>
      </c>
      <c r="E29" s="105">
        <v>1</v>
      </c>
      <c r="F29" s="105">
        <v>2</v>
      </c>
      <c r="G29" s="105">
        <v>2</v>
      </c>
    </row>
    <row r="30" spans="1:9" x14ac:dyDescent="0.25">
      <c r="A30" s="346" t="s">
        <v>76</v>
      </c>
      <c r="B30" s="346"/>
      <c r="C30" s="37">
        <v>0</v>
      </c>
      <c r="D30" s="105">
        <v>1</v>
      </c>
      <c r="E30" s="105">
        <v>2</v>
      </c>
      <c r="F30" s="105">
        <v>3</v>
      </c>
      <c r="G30" s="105">
        <v>4</v>
      </c>
    </row>
    <row r="31" spans="1:9" x14ac:dyDescent="0.25">
      <c r="A31" s="356" t="s">
        <v>49</v>
      </c>
      <c r="B31" s="356"/>
      <c r="C31" s="356"/>
      <c r="D31" s="356"/>
      <c r="E31" s="356"/>
      <c r="F31" s="356"/>
      <c r="G31" s="356"/>
      <c r="H31" s="1" t="s">
        <v>65</v>
      </c>
      <c r="I31" s="15" t="s">
        <v>98</v>
      </c>
    </row>
    <row r="32" spans="1:9" x14ac:dyDescent="0.25">
      <c r="A32" s="346" t="s">
        <v>50</v>
      </c>
      <c r="B32" s="346"/>
      <c r="C32" s="37">
        <v>8.9</v>
      </c>
      <c r="D32" s="28">
        <f>C32*3</f>
        <v>26.700000000000003</v>
      </c>
      <c r="E32" s="28">
        <f>D32*3</f>
        <v>80.100000000000009</v>
      </c>
      <c r="F32" s="28">
        <f>E32*3</f>
        <v>240.3</v>
      </c>
      <c r="G32" s="28">
        <f>F32*2</f>
        <v>480.6</v>
      </c>
      <c r="H32" s="28">
        <f>ROUNDDOWN(G32/5*H64,0)</f>
        <v>768</v>
      </c>
      <c r="I32" s="28">
        <f>H32+(5*I27)</f>
        <v>793</v>
      </c>
    </row>
    <row r="33" spans="1:13" x14ac:dyDescent="0.25">
      <c r="A33" s="346" t="str">
        <f>C12</f>
        <v>Esencia</v>
      </c>
      <c r="B33" s="346"/>
      <c r="C33" s="37">
        <f>ROUNDDOWN(C32/2,0)</f>
        <v>4</v>
      </c>
      <c r="D33" s="28">
        <f>ROUNDDOWN(D32/2,0)</f>
        <v>13</v>
      </c>
      <c r="E33" s="28">
        <f t="shared" ref="D33:G35" si="0">ROUNDDOWN(E32/2,0)</f>
        <v>40</v>
      </c>
      <c r="F33" s="28">
        <f t="shared" si="0"/>
        <v>120</v>
      </c>
      <c r="G33" s="28">
        <f t="shared" si="0"/>
        <v>240</v>
      </c>
      <c r="H33" s="28"/>
      <c r="I33" s="28"/>
    </row>
    <row r="34" spans="1:13" x14ac:dyDescent="0.25">
      <c r="A34" s="346" t="str">
        <f>C12</f>
        <v>Esencia</v>
      </c>
      <c r="B34" s="346"/>
      <c r="C34" s="37">
        <f>ROUNDDOWN(C33/2,0)</f>
        <v>2</v>
      </c>
      <c r="D34" s="28">
        <f t="shared" si="0"/>
        <v>6</v>
      </c>
      <c r="E34" s="28">
        <f t="shared" si="0"/>
        <v>20</v>
      </c>
      <c r="F34" s="28">
        <f t="shared" si="0"/>
        <v>60</v>
      </c>
      <c r="G34" s="28">
        <f t="shared" si="0"/>
        <v>120</v>
      </c>
      <c r="H34" s="28"/>
      <c r="I34" s="28"/>
    </row>
    <row r="35" spans="1:13" x14ac:dyDescent="0.25">
      <c r="A35" s="350" t="str">
        <f>C11</f>
        <v>Inteligencia</v>
      </c>
      <c r="B35" s="350"/>
      <c r="C35" s="37">
        <f t="shared" ref="C35" si="1">ROUNDDOWN(C34/2,0)</f>
        <v>1</v>
      </c>
      <c r="D35" s="28">
        <f t="shared" si="0"/>
        <v>3</v>
      </c>
      <c r="E35" s="28">
        <f t="shared" si="0"/>
        <v>10</v>
      </c>
      <c r="F35" s="28">
        <f t="shared" si="0"/>
        <v>30</v>
      </c>
      <c r="G35" s="28">
        <f t="shared" si="0"/>
        <v>60</v>
      </c>
      <c r="H35" s="28"/>
      <c r="I35" s="28"/>
    </row>
    <row r="36" spans="1:13" x14ac:dyDescent="0.25">
      <c r="A36" s="356" t="s">
        <v>21</v>
      </c>
      <c r="B36" s="356"/>
      <c r="C36" s="356"/>
      <c r="D36" s="356"/>
      <c r="E36" s="356"/>
      <c r="F36" s="356"/>
      <c r="G36" s="356"/>
    </row>
    <row r="37" spans="1:13" x14ac:dyDescent="0.25">
      <c r="A37" s="354" t="s">
        <v>61</v>
      </c>
      <c r="B37" s="354"/>
      <c r="C37" s="354"/>
      <c r="D37" s="354"/>
      <c r="E37" s="354"/>
      <c r="F37" s="354"/>
      <c r="G37" s="354"/>
      <c r="H37" s="4" t="s">
        <v>82</v>
      </c>
    </row>
    <row r="38" spans="1:13" x14ac:dyDescent="0.25">
      <c r="A38" s="346" t="s">
        <v>69</v>
      </c>
      <c r="B38" s="346"/>
      <c r="C38" s="39"/>
      <c r="D38" s="28"/>
      <c r="E38" s="28"/>
      <c r="F38" s="28"/>
      <c r="G38" s="28"/>
      <c r="H38" s="28">
        <v>300</v>
      </c>
    </row>
    <row r="39" spans="1:13" x14ac:dyDescent="0.25">
      <c r="A39" s="346" t="s">
        <v>67</v>
      </c>
      <c r="B39" s="346"/>
      <c r="C39" s="105">
        <v>1800</v>
      </c>
      <c r="D39" s="28">
        <f>C39+$H$38</f>
        <v>2100</v>
      </c>
      <c r="E39" s="106">
        <f t="shared" ref="E39:G39" si="2">D39+$H$38</f>
        <v>2400</v>
      </c>
      <c r="F39" s="106">
        <f t="shared" si="2"/>
        <v>2700</v>
      </c>
      <c r="G39" s="106">
        <f t="shared" si="2"/>
        <v>3000</v>
      </c>
      <c r="H39" s="28"/>
    </row>
    <row r="40" spans="1:13" x14ac:dyDescent="0.25">
      <c r="A40" s="353" t="s">
        <v>68</v>
      </c>
      <c r="B40" s="353"/>
      <c r="C40" s="39">
        <v>1800</v>
      </c>
      <c r="D40" s="39">
        <v>1800</v>
      </c>
      <c r="E40" s="39">
        <v>1800</v>
      </c>
      <c r="F40" s="39">
        <v>1800</v>
      </c>
      <c r="G40" s="39">
        <v>1800</v>
      </c>
      <c r="H40" s="28"/>
    </row>
    <row r="41" spans="1:13" ht="27.75" customHeight="1" x14ac:dyDescent="0.25">
      <c r="A41" s="351" t="s">
        <v>38</v>
      </c>
      <c r="B41" s="351"/>
      <c r="C41" s="3" t="s">
        <v>7</v>
      </c>
      <c r="D41" s="3" t="s">
        <v>8</v>
      </c>
      <c r="E41" s="3" t="s">
        <v>83</v>
      </c>
      <c r="F41" s="3" t="s">
        <v>84</v>
      </c>
      <c r="G41" s="3" t="s">
        <v>85</v>
      </c>
      <c r="H41" s="3" t="s">
        <v>62</v>
      </c>
      <c r="I41" s="23" t="s">
        <v>119</v>
      </c>
      <c r="J41" s="351" t="s">
        <v>1197</v>
      </c>
      <c r="K41" s="351"/>
      <c r="L41" s="351" t="s">
        <v>1199</v>
      </c>
      <c r="M41" s="351"/>
    </row>
    <row r="42" spans="1:13" x14ac:dyDescent="0.25">
      <c r="A42" s="354" t="s">
        <v>20</v>
      </c>
      <c r="B42" s="354"/>
      <c r="C42" s="354"/>
      <c r="D42" s="354"/>
      <c r="E42" s="354"/>
      <c r="F42" s="354"/>
      <c r="G42" s="354"/>
      <c r="H42" s="6">
        <v>2</v>
      </c>
      <c r="I42" s="41">
        <v>1</v>
      </c>
      <c r="J42" s="301" t="s">
        <v>1200</v>
      </c>
      <c r="K42" s="301"/>
      <c r="L42" s="301">
        <v>2</v>
      </c>
      <c r="M42" s="301"/>
    </row>
    <row r="43" spans="1:13" x14ac:dyDescent="0.25">
      <c r="A43" s="346" t="str">
        <f>C8</f>
        <v>Vitalidad</v>
      </c>
      <c r="B43" s="346"/>
      <c r="C43" s="28">
        <f>D8*H42</f>
        <v>2</v>
      </c>
      <c r="D43" s="28">
        <f>C43*3</f>
        <v>6</v>
      </c>
      <c r="E43" s="28">
        <f>D43*3</f>
        <v>18</v>
      </c>
      <c r="F43" s="28">
        <f>E43*3</f>
        <v>54</v>
      </c>
      <c r="G43" s="28">
        <f>F43*3</f>
        <v>162</v>
      </c>
      <c r="H43" s="26" t="s">
        <v>120</v>
      </c>
    </row>
    <row r="44" spans="1:13" x14ac:dyDescent="0.25">
      <c r="A44" s="346" t="str">
        <f>C9</f>
        <v>Fuerza</v>
      </c>
      <c r="B44" s="346"/>
      <c r="C44" s="28">
        <f>D9*H42</f>
        <v>2</v>
      </c>
      <c r="D44" s="106">
        <f t="shared" ref="D44:G46" si="3">C44*3</f>
        <v>6</v>
      </c>
      <c r="E44" s="106">
        <f t="shared" si="3"/>
        <v>18</v>
      </c>
      <c r="F44" s="106">
        <f t="shared" si="3"/>
        <v>54</v>
      </c>
      <c r="G44" s="106">
        <f t="shared" si="3"/>
        <v>162</v>
      </c>
      <c r="H44" s="6">
        <v>2</v>
      </c>
    </row>
    <row r="45" spans="1:13" x14ac:dyDescent="0.25">
      <c r="A45" s="346" t="str">
        <f>C10</f>
        <v>Agilidad</v>
      </c>
      <c r="B45" s="346"/>
      <c r="C45" s="28">
        <f>D10*H42</f>
        <v>2</v>
      </c>
      <c r="D45" s="106">
        <f t="shared" si="3"/>
        <v>6</v>
      </c>
      <c r="E45" s="106">
        <f t="shared" si="3"/>
        <v>18</v>
      </c>
      <c r="F45" s="106">
        <f t="shared" si="3"/>
        <v>54</v>
      </c>
      <c r="G45" s="106">
        <f t="shared" si="3"/>
        <v>162</v>
      </c>
    </row>
    <row r="46" spans="1:13" x14ac:dyDescent="0.25">
      <c r="A46" s="346" t="str">
        <f>C11</f>
        <v>Inteligencia</v>
      </c>
      <c r="B46" s="346"/>
      <c r="C46" s="28">
        <f>D11*H42</f>
        <v>2</v>
      </c>
      <c r="D46" s="106">
        <f t="shared" si="3"/>
        <v>6</v>
      </c>
      <c r="E46" s="106">
        <f t="shared" si="3"/>
        <v>18</v>
      </c>
      <c r="F46" s="106">
        <f t="shared" si="3"/>
        <v>54</v>
      </c>
      <c r="G46" s="106">
        <f t="shared" si="3"/>
        <v>162</v>
      </c>
    </row>
    <row r="47" spans="1:13" x14ac:dyDescent="0.25">
      <c r="A47" s="346" t="s">
        <v>77</v>
      </c>
      <c r="B47" s="346"/>
      <c r="C47" s="28">
        <f>(C$23+C$24)/2*$H$42</f>
        <v>0</v>
      </c>
      <c r="D47" s="28">
        <f>($D$23+$D$24)/2*$H$42</f>
        <v>1</v>
      </c>
      <c r="E47" s="28">
        <f>($E$23+$E$24)/2*$H$42</f>
        <v>3</v>
      </c>
      <c r="F47" s="28">
        <f>($F$23+$F$24)/2*$H$42</f>
        <v>5</v>
      </c>
      <c r="G47" s="28">
        <f>($G$23+$G$24)/2*$H$42</f>
        <v>7</v>
      </c>
    </row>
    <row r="48" spans="1:13" x14ac:dyDescent="0.25">
      <c r="A48" s="354" t="s">
        <v>49</v>
      </c>
      <c r="B48" s="354"/>
      <c r="C48" s="354"/>
      <c r="D48" s="354"/>
      <c r="E48" s="354"/>
      <c r="F48" s="354"/>
      <c r="G48" s="354"/>
    </row>
    <row r="49" spans="1:13" x14ac:dyDescent="0.25">
      <c r="A49" s="346" t="s">
        <v>50</v>
      </c>
      <c r="B49" s="346"/>
      <c r="C49" s="40">
        <f>ROUNDDOWN(C32/5*H42,0)</f>
        <v>3</v>
      </c>
      <c r="D49" s="40">
        <f>ROUNDDOWN(D32/5*H42,0)</f>
        <v>10</v>
      </c>
      <c r="E49" s="40">
        <f>ROUNDDOWN(E32/5*H42,0)</f>
        <v>32</v>
      </c>
      <c r="F49" s="40">
        <f>ROUNDDOWN(F32/5*H42,0)</f>
        <v>96</v>
      </c>
      <c r="G49" s="40">
        <f>ROUNDDOWN(G32/5*H42,0)</f>
        <v>192</v>
      </c>
    </row>
    <row r="50" spans="1:13" x14ac:dyDescent="0.25">
      <c r="A50" s="346" t="str">
        <f>C12</f>
        <v>Esencia</v>
      </c>
      <c r="B50" s="346"/>
      <c r="C50" s="40">
        <f>ROUNDDOWN(C49/3,0)</f>
        <v>1</v>
      </c>
      <c r="D50" s="40">
        <f>ROUNDDOWN(D49/3,0)</f>
        <v>3</v>
      </c>
      <c r="E50" s="40">
        <f>ROUNDDOWN(E49/3,0)</f>
        <v>10</v>
      </c>
      <c r="F50" s="40">
        <f>ROUNDDOWN(F49/3,0)</f>
        <v>32</v>
      </c>
      <c r="G50" s="40">
        <f>ROUNDDOWN(G49/3,0)</f>
        <v>64</v>
      </c>
    </row>
    <row r="51" spans="1:13" x14ac:dyDescent="0.25">
      <c r="A51" s="346"/>
      <c r="B51" s="346"/>
    </row>
    <row r="52" spans="1:13" ht="27.75" customHeight="1" x14ac:dyDescent="0.25">
      <c r="A52" s="351" t="s">
        <v>63</v>
      </c>
      <c r="B52" s="351"/>
      <c r="C52" s="3" t="s">
        <v>0</v>
      </c>
      <c r="D52" s="3" t="s">
        <v>86</v>
      </c>
      <c r="E52" s="3" t="s">
        <v>83</v>
      </c>
      <c r="F52" s="3" t="s">
        <v>84</v>
      </c>
      <c r="G52" s="3" t="s">
        <v>85</v>
      </c>
      <c r="H52" s="3" t="s">
        <v>62</v>
      </c>
      <c r="J52" s="351" t="s">
        <v>1197</v>
      </c>
      <c r="K52" s="351"/>
      <c r="L52" s="351" t="s">
        <v>1199</v>
      </c>
      <c r="M52" s="351"/>
    </row>
    <row r="53" spans="1:13" x14ac:dyDescent="0.25">
      <c r="A53" s="354" t="s">
        <v>20</v>
      </c>
      <c r="B53" s="354"/>
      <c r="C53" s="354"/>
      <c r="D53" s="354"/>
      <c r="E53" s="354"/>
      <c r="F53" s="354"/>
      <c r="G53" s="354"/>
      <c r="H53" s="6">
        <f>$H$55*$I$42</f>
        <v>5</v>
      </c>
      <c r="J53" s="301" t="s">
        <v>1198</v>
      </c>
      <c r="K53" s="301"/>
      <c r="L53" s="301">
        <v>1</v>
      </c>
      <c r="M53" s="301"/>
    </row>
    <row r="54" spans="1:13" x14ac:dyDescent="0.25">
      <c r="A54" s="346" t="str">
        <f>C8</f>
        <v>Vitalidad</v>
      </c>
      <c r="B54" s="346"/>
      <c r="C54">
        <f>D8*H53</f>
        <v>5</v>
      </c>
      <c r="D54" s="291">
        <f>ROUNDDOWN(C54*1.7,0)</f>
        <v>8</v>
      </c>
      <c r="E54" s="291">
        <f>ROUNDDOWN(D54*1.7,0)</f>
        <v>13</v>
      </c>
      <c r="F54" s="291">
        <f>ROUNDDOWN(E54*1.7,0)</f>
        <v>22</v>
      </c>
      <c r="G54" s="291">
        <f>ROUNDDOWN(F54*1.7,0)</f>
        <v>37</v>
      </c>
      <c r="H54" s="26" t="s">
        <v>120</v>
      </c>
    </row>
    <row r="55" spans="1:13" x14ac:dyDescent="0.25">
      <c r="A55" s="346" t="str">
        <f>C9</f>
        <v>Fuerza</v>
      </c>
      <c r="B55" s="346"/>
      <c r="C55">
        <f>D9*H53</f>
        <v>5</v>
      </c>
      <c r="D55" s="291">
        <f t="shared" ref="D55:G55" si="4">ROUNDDOWN(C55*1.7,0)</f>
        <v>8</v>
      </c>
      <c r="E55" s="291">
        <f t="shared" si="4"/>
        <v>13</v>
      </c>
      <c r="F55" s="291">
        <f t="shared" si="4"/>
        <v>22</v>
      </c>
      <c r="G55" s="291">
        <f t="shared" si="4"/>
        <v>37</v>
      </c>
      <c r="H55" s="6">
        <v>5</v>
      </c>
    </row>
    <row r="56" spans="1:13" x14ac:dyDescent="0.25">
      <c r="A56" s="346" t="str">
        <f>C10</f>
        <v>Agilidad</v>
      </c>
      <c r="B56" s="346"/>
      <c r="C56">
        <f>D10*H53</f>
        <v>5</v>
      </c>
      <c r="D56" s="291">
        <f t="shared" ref="D56:G56" si="5">ROUNDDOWN(C56*1.7,0)</f>
        <v>8</v>
      </c>
      <c r="E56" s="291">
        <f t="shared" si="5"/>
        <v>13</v>
      </c>
      <c r="F56" s="291">
        <f t="shared" si="5"/>
        <v>22</v>
      </c>
      <c r="G56" s="291">
        <f t="shared" si="5"/>
        <v>37</v>
      </c>
    </row>
    <row r="57" spans="1:13" x14ac:dyDescent="0.25">
      <c r="A57" s="346" t="str">
        <f>C11</f>
        <v>Inteligencia</v>
      </c>
      <c r="B57" s="346"/>
      <c r="C57">
        <f>D11*H53</f>
        <v>5</v>
      </c>
      <c r="D57" s="291">
        <f t="shared" ref="D57:G57" si="6">ROUNDDOWN(C57*1.7,0)</f>
        <v>8</v>
      </c>
      <c r="E57" s="291">
        <f t="shared" si="6"/>
        <v>13</v>
      </c>
      <c r="F57" s="291">
        <f t="shared" si="6"/>
        <v>22</v>
      </c>
      <c r="G57" s="291">
        <f t="shared" si="6"/>
        <v>37</v>
      </c>
    </row>
    <row r="58" spans="1:13" x14ac:dyDescent="0.25">
      <c r="A58" s="346" t="s">
        <v>77</v>
      </c>
      <c r="B58" s="346"/>
      <c r="C58">
        <f>(C$23+C$24)/2*$H$53</f>
        <v>0</v>
      </c>
      <c r="D58">
        <f>(D$23+D$24)/2*$H$53</f>
        <v>2.5</v>
      </c>
      <c r="E58">
        <f>(E$23+E$24)/2*$H$53</f>
        <v>7.5</v>
      </c>
      <c r="F58">
        <f>(F$23+F$24)/2*$H$53</f>
        <v>12.5</v>
      </c>
      <c r="G58">
        <f>(G$23+G$24)/2*$H$53</f>
        <v>17.5</v>
      </c>
    </row>
    <row r="59" spans="1:13" x14ac:dyDescent="0.25">
      <c r="A59" s="354" t="s">
        <v>49</v>
      </c>
      <c r="B59" s="354"/>
      <c r="C59" s="354"/>
      <c r="D59" s="354"/>
      <c r="E59" s="354"/>
      <c r="F59" s="354"/>
      <c r="G59" s="354"/>
    </row>
    <row r="60" spans="1:13" x14ac:dyDescent="0.25">
      <c r="A60" s="346" t="s">
        <v>50</v>
      </c>
      <c r="B60" s="346"/>
      <c r="C60" s="5">
        <f>ROUNDDOWN(C32/5*H53,0)</f>
        <v>8</v>
      </c>
      <c r="D60" s="5">
        <f>ROUNDDOWN(D32/5*H53,0)</f>
        <v>26</v>
      </c>
      <c r="E60" s="5">
        <f>ROUNDDOWN(E32/5*H53,0)</f>
        <v>80</v>
      </c>
      <c r="F60" s="5">
        <f>ROUNDDOWN(F32/5*H53,0)</f>
        <v>240</v>
      </c>
      <c r="G60" s="5">
        <f>ROUNDDOWN(G32/5*H53,0)</f>
        <v>480</v>
      </c>
    </row>
    <row r="61" spans="1:13" x14ac:dyDescent="0.25">
      <c r="A61" s="346" t="str">
        <f>C12</f>
        <v>Esencia</v>
      </c>
      <c r="B61" s="346"/>
      <c r="C61" s="5">
        <f>ROUNDDOWN(C60/3,0)</f>
        <v>2</v>
      </c>
      <c r="D61" s="5">
        <f>ROUNDDOWN(D60/3,0)</f>
        <v>8</v>
      </c>
      <c r="E61" s="5">
        <f>ROUNDDOWN(E60/3,0)</f>
        <v>26</v>
      </c>
      <c r="F61" s="5">
        <f>ROUNDDOWN(F60/3,0)</f>
        <v>80</v>
      </c>
      <c r="G61" s="5">
        <f>ROUNDDOWN(G60/3,0)</f>
        <v>160</v>
      </c>
    </row>
    <row r="62" spans="1:13" x14ac:dyDescent="0.25">
      <c r="A62" s="355"/>
      <c r="B62" s="355"/>
    </row>
    <row r="63" spans="1:13" ht="27.75" customHeight="1" x14ac:dyDescent="0.25">
      <c r="A63" s="351" t="s">
        <v>64</v>
      </c>
      <c r="B63" s="351"/>
      <c r="C63" s="3" t="s">
        <v>0</v>
      </c>
      <c r="D63" s="3" t="s">
        <v>86</v>
      </c>
      <c r="E63" s="3" t="s">
        <v>83</v>
      </c>
      <c r="F63" s="3" t="s">
        <v>84</v>
      </c>
      <c r="G63" s="3" t="s">
        <v>85</v>
      </c>
      <c r="H63" s="3" t="s">
        <v>62</v>
      </c>
    </row>
    <row r="64" spans="1:13" x14ac:dyDescent="0.25">
      <c r="A64" s="354" t="s">
        <v>20</v>
      </c>
      <c r="B64" s="354"/>
      <c r="C64" s="354"/>
      <c r="D64" s="354"/>
      <c r="E64" s="354"/>
      <c r="F64" s="354"/>
      <c r="G64" s="354"/>
      <c r="H64" s="6">
        <f>$H$66*$I$42</f>
        <v>8</v>
      </c>
    </row>
    <row r="65" spans="1:8" x14ac:dyDescent="0.25">
      <c r="A65" s="346" t="str">
        <f>C8</f>
        <v>Vitalidad</v>
      </c>
      <c r="B65" s="346"/>
      <c r="C65">
        <f>D8*H64</f>
        <v>8</v>
      </c>
      <c r="D65">
        <f>ROUNDDOWN(C65*1.7,0)</f>
        <v>13</v>
      </c>
      <c r="E65">
        <f>ROUNDDOWN(D65*1.7,0)</f>
        <v>22</v>
      </c>
      <c r="F65">
        <f>ROUNDDOWN(E65*1.7,0)</f>
        <v>37</v>
      </c>
      <c r="G65">
        <f>ROUNDDOWN(F65*1.7,0)</f>
        <v>62</v>
      </c>
      <c r="H65" s="26" t="s">
        <v>120</v>
      </c>
    </row>
    <row r="66" spans="1:8" x14ac:dyDescent="0.25">
      <c r="A66" s="346" t="str">
        <f>C9</f>
        <v>Fuerza</v>
      </c>
      <c r="B66" s="346"/>
      <c r="C66">
        <f>D9*H64</f>
        <v>8</v>
      </c>
      <c r="D66" s="291">
        <f t="shared" ref="D66:G68" si="7">ROUNDDOWN(C66*1.7,0)</f>
        <v>13</v>
      </c>
      <c r="E66" s="291">
        <f t="shared" si="7"/>
        <v>22</v>
      </c>
      <c r="F66" s="291">
        <f t="shared" si="7"/>
        <v>37</v>
      </c>
      <c r="G66" s="291">
        <f t="shared" si="7"/>
        <v>62</v>
      </c>
      <c r="H66" s="6">
        <v>8</v>
      </c>
    </row>
    <row r="67" spans="1:8" x14ac:dyDescent="0.25">
      <c r="A67" s="346" t="str">
        <f>C10</f>
        <v>Agilidad</v>
      </c>
      <c r="B67" s="346"/>
      <c r="C67">
        <f>D9*H64</f>
        <v>8</v>
      </c>
      <c r="D67" s="291">
        <f t="shared" si="7"/>
        <v>13</v>
      </c>
      <c r="E67" s="291">
        <f t="shared" si="7"/>
        <v>22</v>
      </c>
      <c r="F67" s="291">
        <f t="shared" si="7"/>
        <v>37</v>
      </c>
      <c r="G67" s="291">
        <f t="shared" si="7"/>
        <v>62</v>
      </c>
    </row>
    <row r="68" spans="1:8" x14ac:dyDescent="0.25">
      <c r="A68" s="346" t="str">
        <f>C11</f>
        <v>Inteligencia</v>
      </c>
      <c r="B68" s="346"/>
      <c r="C68">
        <f>D9*H64</f>
        <v>8</v>
      </c>
      <c r="D68" s="291">
        <f t="shared" si="7"/>
        <v>13</v>
      </c>
      <c r="E68" s="291">
        <f t="shared" si="7"/>
        <v>22</v>
      </c>
      <c r="F68" s="291">
        <f t="shared" si="7"/>
        <v>37</v>
      </c>
      <c r="G68" s="291">
        <f t="shared" si="7"/>
        <v>62</v>
      </c>
    </row>
    <row r="69" spans="1:8" x14ac:dyDescent="0.25">
      <c r="A69" s="346" t="s">
        <v>77</v>
      </c>
      <c r="B69" s="346"/>
      <c r="C69">
        <f>(C$23+C$24)/2*$H$64</f>
        <v>0</v>
      </c>
      <c r="D69">
        <f>(D$23+D$24)/2*$H$64</f>
        <v>4</v>
      </c>
      <c r="E69">
        <f>(E$23+E$24)/2*$H$64</f>
        <v>12</v>
      </c>
      <c r="F69">
        <f>(F$23+F$24)/2*$H$64</f>
        <v>20</v>
      </c>
      <c r="G69">
        <f>(G$23+G$24)/2*$H$64</f>
        <v>28</v>
      </c>
    </row>
    <row r="70" spans="1:8" x14ac:dyDescent="0.25">
      <c r="A70" s="354" t="s">
        <v>49</v>
      </c>
      <c r="B70" s="354"/>
      <c r="C70" s="354"/>
      <c r="D70" s="354"/>
      <c r="E70" s="354"/>
      <c r="F70" s="354"/>
      <c r="G70" s="354"/>
    </row>
    <row r="71" spans="1:8" x14ac:dyDescent="0.25">
      <c r="A71" s="346" t="s">
        <v>50</v>
      </c>
      <c r="B71" s="346"/>
      <c r="C71" s="5">
        <f>ROUNDDOWN(C32/5*H64,0)</f>
        <v>14</v>
      </c>
      <c r="D71" s="5">
        <f>ROUNDDOWN(D32/5*H64,0)</f>
        <v>42</v>
      </c>
      <c r="E71" s="5">
        <f>ROUNDDOWN(E32/5*H64,0)</f>
        <v>128</v>
      </c>
      <c r="F71" s="5">
        <f>ROUNDDOWN(F32/5*H64,0)</f>
        <v>384</v>
      </c>
      <c r="G71" s="5">
        <f>ROUNDDOWN(G32/5*H64,0)</f>
        <v>768</v>
      </c>
    </row>
    <row r="72" spans="1:8" x14ac:dyDescent="0.25">
      <c r="A72" s="346" t="str">
        <f>C12</f>
        <v>Esencia</v>
      </c>
      <c r="B72" s="346"/>
      <c r="C72" s="5">
        <f>ROUNDDOWN(C71/3,0)</f>
        <v>4</v>
      </c>
      <c r="D72" s="5">
        <f>ROUNDDOWN(D71/3,0)</f>
        <v>14</v>
      </c>
      <c r="E72" s="5">
        <f>ROUNDDOWN(E71/3,0)</f>
        <v>42</v>
      </c>
      <c r="F72" s="5">
        <f>ROUNDDOWN(F71/3,0)</f>
        <v>128</v>
      </c>
      <c r="G72" s="5">
        <f>ROUNDDOWN(G71/3,0)</f>
        <v>256</v>
      </c>
    </row>
    <row r="73" spans="1:8" x14ac:dyDescent="0.25">
      <c r="A73" s="352"/>
      <c r="B73" s="352"/>
    </row>
    <row r="74" spans="1:8" ht="27.75" customHeight="1" x14ac:dyDescent="0.25">
      <c r="A74" s="351" t="s">
        <v>11</v>
      </c>
      <c r="B74" s="351"/>
      <c r="C74" s="3" t="s">
        <v>0</v>
      </c>
      <c r="D74" s="3" t="s">
        <v>86</v>
      </c>
      <c r="E74" s="3" t="s">
        <v>83</v>
      </c>
      <c r="F74" s="3" t="s">
        <v>84</v>
      </c>
      <c r="G74" s="3" t="s">
        <v>85</v>
      </c>
      <c r="H74" s="3" t="s">
        <v>62</v>
      </c>
    </row>
    <row r="75" spans="1:8" x14ac:dyDescent="0.25">
      <c r="A75" s="354" t="s">
        <v>20</v>
      </c>
      <c r="B75" s="354"/>
      <c r="C75" s="354"/>
      <c r="D75" s="354"/>
      <c r="E75" s="354"/>
      <c r="F75" s="354"/>
      <c r="G75" s="354"/>
      <c r="H75" s="6">
        <f>$H$77*$I$42</f>
        <v>7</v>
      </c>
    </row>
    <row r="76" spans="1:8" x14ac:dyDescent="0.25">
      <c r="A76" s="346" t="str">
        <f>C8</f>
        <v>Vitalidad</v>
      </c>
      <c r="B76" s="346"/>
      <c r="C76">
        <f>D8*H75</f>
        <v>7</v>
      </c>
      <c r="D76" s="291">
        <f>ROUNDDOWN(C76*1.7,0)</f>
        <v>11</v>
      </c>
      <c r="E76" s="291">
        <f>ROUNDDOWN(D76*1.7,0)</f>
        <v>18</v>
      </c>
      <c r="F76" s="291">
        <f>ROUNDDOWN(E76*1.7,0)</f>
        <v>30</v>
      </c>
      <c r="G76" s="291">
        <f>ROUNDDOWN(F76*1.7,0)</f>
        <v>51</v>
      </c>
      <c r="H76" s="26" t="s">
        <v>120</v>
      </c>
    </row>
    <row r="77" spans="1:8" x14ac:dyDescent="0.25">
      <c r="A77" s="346" t="str">
        <f>C9</f>
        <v>Fuerza</v>
      </c>
      <c r="B77" s="346"/>
      <c r="C77">
        <f>D9*H75</f>
        <v>7</v>
      </c>
      <c r="D77" s="291">
        <f t="shared" ref="D77:G77" si="8">ROUNDDOWN(C77*1.7,0)</f>
        <v>11</v>
      </c>
      <c r="E77" s="291">
        <f t="shared" si="8"/>
        <v>18</v>
      </c>
      <c r="F77" s="291">
        <f t="shared" si="8"/>
        <v>30</v>
      </c>
      <c r="G77" s="291">
        <f t="shared" si="8"/>
        <v>51</v>
      </c>
      <c r="H77" s="6">
        <v>7</v>
      </c>
    </row>
    <row r="78" spans="1:8" x14ac:dyDescent="0.25">
      <c r="A78" s="346" t="str">
        <f>C10</f>
        <v>Agilidad</v>
      </c>
      <c r="B78" s="346"/>
      <c r="C78">
        <f>D10*H75</f>
        <v>7</v>
      </c>
      <c r="D78" s="291">
        <f t="shared" ref="D78:G78" si="9">ROUNDDOWN(C78*1.7,0)</f>
        <v>11</v>
      </c>
      <c r="E78" s="291">
        <f t="shared" si="9"/>
        <v>18</v>
      </c>
      <c r="F78" s="291">
        <f t="shared" si="9"/>
        <v>30</v>
      </c>
      <c r="G78" s="291">
        <f t="shared" si="9"/>
        <v>51</v>
      </c>
    </row>
    <row r="79" spans="1:8" x14ac:dyDescent="0.25">
      <c r="A79" s="346" t="str">
        <f>C11</f>
        <v>Inteligencia</v>
      </c>
      <c r="B79" s="346"/>
      <c r="C79">
        <f>D11*H75</f>
        <v>7</v>
      </c>
      <c r="D79" s="291">
        <f t="shared" ref="D79:G79" si="10">ROUNDDOWN(C79*1.7,0)</f>
        <v>11</v>
      </c>
      <c r="E79" s="291">
        <f t="shared" si="10"/>
        <v>18</v>
      </c>
      <c r="F79" s="291">
        <f t="shared" si="10"/>
        <v>30</v>
      </c>
      <c r="G79" s="291">
        <f t="shared" si="10"/>
        <v>51</v>
      </c>
    </row>
    <row r="80" spans="1:8" x14ac:dyDescent="0.25">
      <c r="A80" s="346" t="s">
        <v>77</v>
      </c>
      <c r="B80" s="346"/>
      <c r="C80">
        <f>(C$23+C$24)/2*$H$75</f>
        <v>0</v>
      </c>
      <c r="D80">
        <f>(D$23+D$24)/2*$H$75</f>
        <v>3.5</v>
      </c>
      <c r="E80">
        <f>(E$23+E$24)/2*$H$75</f>
        <v>10.5</v>
      </c>
      <c r="F80">
        <f>(F$23+F$24)/2*$H$75</f>
        <v>17.5</v>
      </c>
      <c r="G80">
        <f>(G$23+G$24)/2*$H$75</f>
        <v>24.5</v>
      </c>
    </row>
    <row r="81" spans="1:8" x14ac:dyDescent="0.25">
      <c r="A81" s="354" t="s">
        <v>49</v>
      </c>
      <c r="B81" s="354"/>
      <c r="C81" s="354"/>
      <c r="D81" s="354"/>
      <c r="E81" s="354"/>
      <c r="F81" s="354"/>
      <c r="G81" s="354"/>
    </row>
    <row r="82" spans="1:8" x14ac:dyDescent="0.25">
      <c r="A82" s="346" t="s">
        <v>50</v>
      </c>
      <c r="B82" s="346"/>
      <c r="C82" s="5">
        <f>ROUNDDOWN(C32/5*H75,0)</f>
        <v>12</v>
      </c>
      <c r="D82" s="5">
        <f>ROUNDDOWN(D32/5*H75,0)</f>
        <v>37</v>
      </c>
      <c r="E82" s="5">
        <f>ROUNDDOWN(E32/5*H75,0)</f>
        <v>112</v>
      </c>
      <c r="F82" s="5">
        <f>ROUNDDOWN(F32/5*H75,0)</f>
        <v>336</v>
      </c>
      <c r="G82" s="5">
        <f>ROUNDDOWN(G32/5*H75,0)</f>
        <v>672</v>
      </c>
    </row>
    <row r="83" spans="1:8" x14ac:dyDescent="0.25">
      <c r="A83" s="346" t="str">
        <f>C12</f>
        <v>Esencia</v>
      </c>
      <c r="B83" s="346"/>
      <c r="C83" s="5">
        <f>ROUNDDOWN(C82/3,0)</f>
        <v>4</v>
      </c>
      <c r="D83" s="5">
        <f t="shared" ref="D83:G83" si="11">ROUNDDOWN(D82/3,0)</f>
        <v>12</v>
      </c>
      <c r="E83" s="5">
        <f t="shared" si="11"/>
        <v>37</v>
      </c>
      <c r="F83" s="5">
        <f t="shared" si="11"/>
        <v>112</v>
      </c>
      <c r="G83" s="5">
        <f t="shared" si="11"/>
        <v>224</v>
      </c>
    </row>
    <row r="84" spans="1:8" x14ac:dyDescent="0.25">
      <c r="A84" s="352"/>
      <c r="B84" s="352"/>
    </row>
    <row r="85" spans="1:8" ht="27.75" customHeight="1" x14ac:dyDescent="0.25">
      <c r="A85" s="351" t="s">
        <v>66</v>
      </c>
      <c r="B85" s="351"/>
      <c r="C85" s="3" t="s">
        <v>0</v>
      </c>
      <c r="D85" s="3" t="s">
        <v>86</v>
      </c>
      <c r="E85" s="3" t="s">
        <v>83</v>
      </c>
      <c r="F85" s="3" t="s">
        <v>84</v>
      </c>
      <c r="G85" s="3" t="s">
        <v>85</v>
      </c>
      <c r="H85" s="3" t="s">
        <v>62</v>
      </c>
    </row>
    <row r="86" spans="1:8" x14ac:dyDescent="0.25">
      <c r="A86" s="354" t="s">
        <v>20</v>
      </c>
      <c r="B86" s="354"/>
      <c r="C86" s="354"/>
      <c r="D86" s="354"/>
      <c r="E86" s="354"/>
      <c r="F86" s="354"/>
      <c r="G86" s="354"/>
      <c r="H86" s="6">
        <v>4</v>
      </c>
    </row>
    <row r="87" spans="1:8" x14ac:dyDescent="0.25">
      <c r="A87" s="346" t="str">
        <f>C8</f>
        <v>Vitalidad</v>
      </c>
      <c r="B87" s="346"/>
      <c r="C87">
        <f>D9*H86</f>
        <v>4</v>
      </c>
      <c r="D87" s="291">
        <f>ROUNDDOWN(C87*1.7,0)</f>
        <v>6</v>
      </c>
      <c r="E87" s="291">
        <f>ROUNDDOWN(D87*1.7,0)</f>
        <v>10</v>
      </c>
      <c r="F87" s="291">
        <f>ROUNDDOWN(E87*1.7,0)</f>
        <v>17</v>
      </c>
      <c r="G87" s="291">
        <f>ROUNDDOWN(F87*1.7,0)</f>
        <v>28</v>
      </c>
      <c r="H87" s="26" t="s">
        <v>120</v>
      </c>
    </row>
    <row r="88" spans="1:8" x14ac:dyDescent="0.25">
      <c r="A88" s="346" t="str">
        <f>C9</f>
        <v>Fuerza</v>
      </c>
      <c r="B88" s="346"/>
      <c r="C88">
        <f>D10*H86</f>
        <v>4</v>
      </c>
      <c r="D88" s="291">
        <f t="shared" ref="D88:G88" si="12">ROUNDDOWN(C88*1.7,0)</f>
        <v>6</v>
      </c>
      <c r="E88" s="291">
        <f t="shared" si="12"/>
        <v>10</v>
      </c>
      <c r="F88" s="291">
        <f t="shared" si="12"/>
        <v>17</v>
      </c>
      <c r="G88" s="291">
        <f t="shared" si="12"/>
        <v>28</v>
      </c>
      <c r="H88" s="6">
        <v>4</v>
      </c>
    </row>
    <row r="89" spans="1:8" x14ac:dyDescent="0.25">
      <c r="A89" s="346" t="str">
        <f>C10</f>
        <v>Agilidad</v>
      </c>
      <c r="B89" s="346"/>
      <c r="C89">
        <f>D11*H86</f>
        <v>4</v>
      </c>
      <c r="D89" s="291">
        <f t="shared" ref="D89:G89" si="13">ROUNDDOWN(C89*1.7,0)</f>
        <v>6</v>
      </c>
      <c r="E89" s="291">
        <f t="shared" si="13"/>
        <v>10</v>
      </c>
      <c r="F89" s="291">
        <f t="shared" si="13"/>
        <v>17</v>
      </c>
      <c r="G89" s="291">
        <f t="shared" si="13"/>
        <v>28</v>
      </c>
    </row>
    <row r="90" spans="1:8" x14ac:dyDescent="0.25">
      <c r="A90" s="346" t="str">
        <f>C11</f>
        <v>Inteligencia</v>
      </c>
      <c r="B90" s="346"/>
      <c r="C90">
        <f>D12*H86</f>
        <v>4</v>
      </c>
      <c r="D90" s="291">
        <f t="shared" ref="D90:G90" si="14">ROUNDDOWN(C90*1.7,0)</f>
        <v>6</v>
      </c>
      <c r="E90" s="291">
        <f t="shared" si="14"/>
        <v>10</v>
      </c>
      <c r="F90" s="291">
        <f t="shared" si="14"/>
        <v>17</v>
      </c>
      <c r="G90" s="291">
        <f t="shared" si="14"/>
        <v>28</v>
      </c>
    </row>
    <row r="91" spans="1:8" x14ac:dyDescent="0.25">
      <c r="A91" s="346" t="s">
        <v>77</v>
      </c>
      <c r="B91" s="346"/>
      <c r="C91">
        <f>(C$23+C$24)/2*$H$86</f>
        <v>0</v>
      </c>
      <c r="D91">
        <f>(D$23+D$24)/2*$H$86</f>
        <v>2</v>
      </c>
      <c r="E91">
        <f>(E$23+E$24)/2*$H$86</f>
        <v>6</v>
      </c>
      <c r="F91">
        <f>(F$23+F$24)/2*$H$86</f>
        <v>10</v>
      </c>
      <c r="G91">
        <f>(G$23+G$24)/2*$H$86</f>
        <v>14</v>
      </c>
    </row>
    <row r="92" spans="1:8" x14ac:dyDescent="0.25">
      <c r="A92" s="354" t="s">
        <v>49</v>
      </c>
      <c r="B92" s="354"/>
      <c r="C92" s="354"/>
      <c r="D92" s="354"/>
      <c r="E92" s="354"/>
      <c r="F92" s="354"/>
      <c r="G92" s="354"/>
    </row>
    <row r="93" spans="1:8" x14ac:dyDescent="0.25">
      <c r="A93" s="346" t="s">
        <v>50</v>
      </c>
      <c r="B93" s="346"/>
      <c r="C93" s="5">
        <f>ROUNDDOWN(C32/5*H86,0)</f>
        <v>7</v>
      </c>
      <c r="D93" s="5">
        <f>ROUNDDOWN(D32/5*H86,0)</f>
        <v>21</v>
      </c>
      <c r="E93" s="5">
        <f>ROUNDDOWN(E32/5*H86,0)</f>
        <v>64</v>
      </c>
      <c r="F93" s="5">
        <f>ROUNDDOWN(F32/5*H86,0)</f>
        <v>192</v>
      </c>
      <c r="G93" s="5">
        <f>ROUNDDOWN(G32/5*H86,0)</f>
        <v>384</v>
      </c>
    </row>
    <row r="94" spans="1:8" x14ac:dyDescent="0.25">
      <c r="A94" s="346" t="str">
        <f>C12</f>
        <v>Esencia</v>
      </c>
      <c r="B94" s="346"/>
      <c r="C94" s="5">
        <f>ROUNDDOWN(C93/3,0)</f>
        <v>2</v>
      </c>
      <c r="D94" s="5">
        <f t="shared" ref="D94:G94" si="15">ROUNDDOWN(D93/3,0)</f>
        <v>7</v>
      </c>
      <c r="E94" s="5">
        <f t="shared" si="15"/>
        <v>21</v>
      </c>
      <c r="F94" s="5">
        <f t="shared" si="15"/>
        <v>64</v>
      </c>
      <c r="G94" s="5">
        <f t="shared" si="15"/>
        <v>128</v>
      </c>
    </row>
  </sheetData>
  <mergeCells count="86">
    <mergeCell ref="A32:B32"/>
    <mergeCell ref="A33:B33"/>
    <mergeCell ref="A34:B34"/>
    <mergeCell ref="A35:B35"/>
    <mergeCell ref="A43:B43"/>
    <mergeCell ref="A36:G36"/>
    <mergeCell ref="A38:B38"/>
    <mergeCell ref="A39:B39"/>
    <mergeCell ref="A41:B41"/>
    <mergeCell ref="A17:B17"/>
    <mergeCell ref="A18:B18"/>
    <mergeCell ref="A19:B19"/>
    <mergeCell ref="A20:B20"/>
    <mergeCell ref="A21:B21"/>
    <mergeCell ref="A22:B22"/>
    <mergeCell ref="A23:B23"/>
    <mergeCell ref="A24:B24"/>
    <mergeCell ref="A25:B25"/>
    <mergeCell ref="A31:G31"/>
    <mergeCell ref="A30:B30"/>
    <mergeCell ref="A29:B29"/>
    <mergeCell ref="A26:B26"/>
    <mergeCell ref="A27:B27"/>
    <mergeCell ref="A28:B28"/>
    <mergeCell ref="A55:B55"/>
    <mergeCell ref="A50:B50"/>
    <mergeCell ref="A46:B46"/>
    <mergeCell ref="A47:B47"/>
    <mergeCell ref="A48:G48"/>
    <mergeCell ref="A49:B49"/>
    <mergeCell ref="A51:B51"/>
    <mergeCell ref="A54:B54"/>
    <mergeCell ref="A45:B45"/>
    <mergeCell ref="A37:G37"/>
    <mergeCell ref="A52:B52"/>
    <mergeCell ref="A53:G53"/>
    <mergeCell ref="A42:G42"/>
    <mergeCell ref="A44:B44"/>
    <mergeCell ref="A56:B56"/>
    <mergeCell ref="A57:B57"/>
    <mergeCell ref="A58:B58"/>
    <mergeCell ref="A59:G59"/>
    <mergeCell ref="A60:B60"/>
    <mergeCell ref="A72:B72"/>
    <mergeCell ref="A74:B74"/>
    <mergeCell ref="A70:G70"/>
    <mergeCell ref="A61:B61"/>
    <mergeCell ref="A63:B63"/>
    <mergeCell ref="A64:G64"/>
    <mergeCell ref="A65:B65"/>
    <mergeCell ref="A66:B66"/>
    <mergeCell ref="A67:B67"/>
    <mergeCell ref="A68:B68"/>
    <mergeCell ref="A69:B69"/>
    <mergeCell ref="A62:B62"/>
    <mergeCell ref="A94:B94"/>
    <mergeCell ref="A85:B85"/>
    <mergeCell ref="A86:G86"/>
    <mergeCell ref="A87:B87"/>
    <mergeCell ref="A88:B88"/>
    <mergeCell ref="A89:B89"/>
    <mergeCell ref="A90:B90"/>
    <mergeCell ref="A84:B84"/>
    <mergeCell ref="A40:B40"/>
    <mergeCell ref="A91:B91"/>
    <mergeCell ref="A92:G92"/>
    <mergeCell ref="A93:B93"/>
    <mergeCell ref="A81:G81"/>
    <mergeCell ref="A82:B82"/>
    <mergeCell ref="A83:B83"/>
    <mergeCell ref="A73:B73"/>
    <mergeCell ref="A76:B76"/>
    <mergeCell ref="A77:B77"/>
    <mergeCell ref="A78:B78"/>
    <mergeCell ref="A79:B79"/>
    <mergeCell ref="A80:B80"/>
    <mergeCell ref="A75:G75"/>
    <mergeCell ref="A71:B71"/>
    <mergeCell ref="J53:K53"/>
    <mergeCell ref="L53:M53"/>
    <mergeCell ref="J41:K41"/>
    <mergeCell ref="L41:M41"/>
    <mergeCell ref="J42:K42"/>
    <mergeCell ref="L42:M42"/>
    <mergeCell ref="J52:K52"/>
    <mergeCell ref="L52:M5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pageSetUpPr fitToPage="1"/>
  </sheetPr>
  <dimension ref="A1:Z148"/>
  <sheetViews>
    <sheetView topLeftCell="R1" workbookViewId="0">
      <selection activeCell="Z4" sqref="Z4:Z8"/>
    </sheetView>
  </sheetViews>
  <sheetFormatPr baseColWidth="10" defaultRowHeight="15" x14ac:dyDescent="0.25"/>
  <cols>
    <col min="22" max="26" width="17.140625" customWidth="1"/>
  </cols>
  <sheetData>
    <row r="1" spans="1:26" ht="30.75" customHeight="1" x14ac:dyDescent="0.25">
      <c r="A1" s="351" t="s">
        <v>19</v>
      </c>
      <c r="B1" s="351"/>
      <c r="C1" s="351" t="s">
        <v>70</v>
      </c>
      <c r="D1" s="351"/>
      <c r="E1" s="351" t="s">
        <v>80</v>
      </c>
      <c r="F1" s="351"/>
      <c r="G1" s="351" t="s">
        <v>89</v>
      </c>
      <c r="H1" s="351"/>
      <c r="I1" s="351" t="s">
        <v>1197</v>
      </c>
      <c r="J1" s="351"/>
      <c r="K1" s="351" t="s">
        <v>1199</v>
      </c>
      <c r="L1" s="351"/>
    </row>
    <row r="2" spans="1:26" x14ac:dyDescent="0.25">
      <c r="A2" s="301" t="s">
        <v>36</v>
      </c>
      <c r="B2" s="301"/>
      <c r="C2" s="301">
        <f>'ECONOMIA &amp; PROFESIONES'!$N$3</f>
        <v>1</v>
      </c>
      <c r="D2" s="301"/>
      <c r="E2" s="301" t="s">
        <v>81</v>
      </c>
      <c r="F2" s="301"/>
      <c r="G2" s="301" t="s">
        <v>90</v>
      </c>
      <c r="H2" s="301"/>
      <c r="I2" s="301" t="str">
        <f>MAIN!$J$42</f>
        <v>&amp;7Ataque:</v>
      </c>
      <c r="J2" s="301"/>
      <c r="K2" s="301">
        <f>MAIN!$L$42</f>
        <v>2</v>
      </c>
      <c r="L2" s="301"/>
    </row>
    <row r="3" spans="1:26" ht="29.25" customHeight="1" x14ac:dyDescent="0.25">
      <c r="A3" s="357" t="s">
        <v>7</v>
      </c>
      <c r="B3" s="357"/>
      <c r="C3" s="357"/>
      <c r="D3" s="357"/>
      <c r="E3" s="357" t="s">
        <v>8</v>
      </c>
      <c r="F3" s="357"/>
      <c r="G3" s="357"/>
      <c r="H3" s="357"/>
      <c r="I3" s="357" t="s">
        <v>83</v>
      </c>
      <c r="J3" s="357"/>
      <c r="K3" s="357"/>
      <c r="L3" s="357"/>
      <c r="M3" s="357" t="s">
        <v>84</v>
      </c>
      <c r="N3" s="357"/>
      <c r="O3" s="357"/>
      <c r="P3" s="357"/>
      <c r="Q3" s="357" t="s">
        <v>85</v>
      </c>
      <c r="R3" s="357"/>
      <c r="S3" s="357"/>
      <c r="T3" s="357"/>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v>1</v>
      </c>
      <c r="V4" s="291" t="str">
        <f>$I$2&amp;" "&amp;ROUND(MAIN!$C$44*$C$2*$K$2/5*$U$4,0)</f>
        <v>&amp;7Ataque: 1</v>
      </c>
      <c r="W4" s="291" t="str">
        <f>$I$2&amp;" "&amp;ROUND(MAIN!$D$44*$C$2*$K$2/5*$U$4,0)</f>
        <v>&amp;7Ataque: 2</v>
      </c>
      <c r="X4" s="291" t="str">
        <f>$I$2&amp;" "&amp;ROUND(MAIN!$E$44*$C$2*$K$2/5*$U$4,0)</f>
        <v>&amp;7Ataque: 7</v>
      </c>
      <c r="Y4" s="291" t="str">
        <f>$I$2&amp;" "&amp;ROUND(MAIN!$F$44*$C$2*$K$2/5*$U$4,0)</f>
        <v>&amp;7Ataque: 22</v>
      </c>
      <c r="Z4" s="291" t="str">
        <f>$I$2&amp;" "&amp;ROUND(MAIN!$G$44*$C$2*$K$2/5*$U$4,0)</f>
        <v>&amp;7Ataque: 65</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v>2</v>
      </c>
      <c r="V5" s="291" t="str">
        <f>$I$2&amp;" "&amp;ROUND(MAIN!$C$44*$C$2*$K$2/5*$U$5,0)</f>
        <v>&amp;7Ataque: 2</v>
      </c>
      <c r="W5" s="291" t="str">
        <f>$I$2&amp;" "&amp;ROUND(MAIN!$D$44*$C$2*$K$2/5*$U$5,0)</f>
        <v>&amp;7Ataque: 5</v>
      </c>
      <c r="X5" s="291" t="str">
        <f>$I$2&amp;" "&amp;ROUND(MAIN!$E$44*$C$2*$K$2/5*$U$5,0)</f>
        <v>&amp;7Ataque: 14</v>
      </c>
      <c r="Y5" s="291" t="str">
        <f>$I$2&amp;" "&amp;ROUND(MAIN!$F$44*$C$2*$K$2/5*$U$5,0)</f>
        <v>&amp;7Ataque: 43</v>
      </c>
      <c r="Z5" s="291" t="str">
        <f>$I$2&amp;" "&amp;ROUND(MAIN!$G$44*$C$2*$K$2/5*$U$5,0)</f>
        <v>&amp;7Ataque: 130</v>
      </c>
    </row>
    <row r="6" spans="1:26" x14ac:dyDescent="0.25">
      <c r="A6" s="9" t="s">
        <v>22</v>
      </c>
      <c r="B6" s="9"/>
      <c r="C6" s="9"/>
      <c r="D6" s="9"/>
      <c r="E6" s="9" t="s">
        <v>22</v>
      </c>
      <c r="F6" s="9"/>
      <c r="G6" s="9"/>
      <c r="H6" s="9"/>
      <c r="I6" s="9" t="s">
        <v>22</v>
      </c>
      <c r="J6" s="9"/>
      <c r="K6" s="9"/>
      <c r="L6" s="9"/>
      <c r="M6" s="9" t="s">
        <v>22</v>
      </c>
      <c r="N6" s="9"/>
      <c r="O6" s="9"/>
      <c r="P6" s="9"/>
      <c r="Q6" s="9" t="s">
        <v>22</v>
      </c>
      <c r="R6" s="9"/>
      <c r="S6" s="9"/>
      <c r="T6" s="9"/>
      <c r="U6">
        <v>3</v>
      </c>
      <c r="V6" s="291" t="str">
        <f>$I$2&amp;" "&amp;ROUND(MAIN!$C$44*$C$2*$K$2/5*$U$6,0)</f>
        <v>&amp;7Ataque: 2</v>
      </c>
      <c r="W6" s="291" t="str">
        <f>$I$2&amp;" "&amp;ROUND(MAIN!$D$44*$C$2*$K$2/5*$U$6,0)</f>
        <v>&amp;7Ataque: 7</v>
      </c>
      <c r="X6" s="291" t="str">
        <f>$I$2&amp;" "&amp;ROUND(MAIN!$E$44*$C$2*$K$2/5*$U$6,0)</f>
        <v>&amp;7Ataque: 22</v>
      </c>
      <c r="Y6" s="291" t="str">
        <f>$I$2&amp;" "&amp;ROUND(MAIN!$F$44*$C$2*$K$2/5*$U$6,0)</f>
        <v>&amp;7Ataque: 65</v>
      </c>
      <c r="Z6" s="291" t="str">
        <f>$I$2&amp;" "&amp;ROUND(MAIN!$G$44*$C$2*$K$2/5*$U$6,0)</f>
        <v>&amp;7Ataque: 194</v>
      </c>
    </row>
    <row r="7" spans="1:26" x14ac:dyDescent="0.25">
      <c r="A7" s="9" t="s">
        <v>23</v>
      </c>
      <c r="B7" s="9"/>
      <c r="C7" s="9"/>
      <c r="D7" s="9"/>
      <c r="E7" s="9" t="s">
        <v>23</v>
      </c>
      <c r="F7" s="9"/>
      <c r="G7" s="9"/>
      <c r="H7" s="9"/>
      <c r="I7" s="9" t="s">
        <v>23</v>
      </c>
      <c r="J7" s="9"/>
      <c r="K7" s="9"/>
      <c r="L7" s="9"/>
      <c r="M7" s="9" t="s">
        <v>23</v>
      </c>
      <c r="N7" s="9"/>
      <c r="O7" s="9"/>
      <c r="P7" s="9"/>
      <c r="Q7" s="9" t="s">
        <v>23</v>
      </c>
      <c r="R7" s="9"/>
      <c r="S7" s="9"/>
      <c r="T7" s="9"/>
      <c r="U7">
        <v>4</v>
      </c>
      <c r="V7" s="291" t="str">
        <f>$I$2&amp;" "&amp;ROUND(MAIN!$C$44*$C$2*$K$2/5*$U$7,0)</f>
        <v>&amp;7Ataque: 3</v>
      </c>
      <c r="W7" s="291" t="str">
        <f>$I$2&amp;" "&amp;ROUND(MAIN!$D$44*$C$2*$K$2/5*$U$7,0)</f>
        <v>&amp;7Ataque: 10</v>
      </c>
      <c r="X7" s="291" t="str">
        <f>$I$2&amp;" "&amp;ROUND(MAIN!$E$44*$C$2*$K$2/5*$U$7,0)</f>
        <v>&amp;7Ataque: 29</v>
      </c>
      <c r="Y7" s="291" t="str">
        <f>$I$2&amp;" "&amp;ROUND(MAIN!$F$44*$C$2*$K$2/5*$U$7,0)</f>
        <v>&amp;7Ataque: 86</v>
      </c>
      <c r="Z7" s="291" t="str">
        <f>$I$2&amp;" "&amp;ROUND(MAIN!$G$44*$C$2*$K$2/5*$U$7,0)</f>
        <v>&amp;7Ataque: 259</v>
      </c>
    </row>
    <row r="8" spans="1:26" x14ac:dyDescent="0.25">
      <c r="A8" s="9" t="s">
        <v>24</v>
      </c>
      <c r="B8" s="9"/>
      <c r="C8" s="9"/>
      <c r="D8" s="9"/>
      <c r="E8" s="9" t="s">
        <v>24</v>
      </c>
      <c r="F8" s="9"/>
      <c r="G8" s="9"/>
      <c r="H8" s="9"/>
      <c r="I8" s="9" t="s">
        <v>24</v>
      </c>
      <c r="J8" s="9"/>
      <c r="K8" s="9"/>
      <c r="L8" s="9"/>
      <c r="M8" s="9" t="s">
        <v>24</v>
      </c>
      <c r="N8" s="9"/>
      <c r="O8" s="9"/>
      <c r="P8" s="9"/>
      <c r="Q8" s="9" t="s">
        <v>24</v>
      </c>
      <c r="R8" s="9"/>
      <c r="S8" s="9"/>
      <c r="T8" s="9"/>
      <c r="U8">
        <v>5</v>
      </c>
      <c r="V8" s="291" t="str">
        <f>$I$2&amp;" "&amp;ROUND(MAIN!$C$44*$C$2*$K$2/5*$U$8,0)</f>
        <v>&amp;7Ataque: 4</v>
      </c>
      <c r="W8" s="291" t="str">
        <f>$I$2&amp;" "&amp;ROUND(MAIN!$D$44*$C$2*$K$2/5*$U$8,0)</f>
        <v>&amp;7Ataque: 12</v>
      </c>
      <c r="X8" s="291" t="str">
        <f>$I$2&amp;" "&amp;ROUND(MAIN!$E$44*$C$2*$K$2/5*$U$8,0)</f>
        <v>&amp;7Ataque: 36</v>
      </c>
      <c r="Y8" s="291" t="str">
        <f>$I$2&amp;" "&amp;ROUND(MAIN!$F$44*$C$2*$K$2/5*$U$8,0)</f>
        <v>&amp;7Ataque: 108</v>
      </c>
      <c r="Z8" s="291" t="str">
        <f>$I$2&amp;" "&amp;ROUND(MAIN!$G$44*$C$2*$K$2/5*$U$8,0)</f>
        <v>&amp;7Ataque: 324</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"&amp;MAIN!$C$20</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  maximumBonusEnchantments: "&amp;MAIN!$C$21</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  - DURABILITY:"&amp;MAIN!$C$25&amp;":"&amp;MAIN!$C$26</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  minimumBonusLore: "&amp;MAIN!$C$23</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  maximumBonusLore: "&amp;MAIN!$C$24</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&amp;6"&amp;(MAIN!$D$2+(MAIN!$C$18+MAIN!$C$19)/2*MAIN!$B$9+(MAIN!$C$20+MAIN!$C$21)/2*MAIN!$B$8+(MAIN!$C$47*MAIN!$B$11)+($C$2*MAIN!$B$10))/10&amp;" &amp;aAlmakos'"</f>
        <v xml:space="preserve">  - '&amp;aVenta: &amp;690 &amp;aAlmakos'</v>
      </c>
      <c r="B21" s="20"/>
      <c r="C21" s="20"/>
      <c r="D21" s="20"/>
      <c r="E21" s="20" t="str">
        <f>"  - '&amp;aVenta: &amp;6"&amp;(MAIN!$D$3+(MAIN!$C$18+MAIN!$C$19)/2*MAIN!$B$9+(MAIN!$C$20+MAIN!$C$21)/2*MAIN!$B$8+(MAIN!$C$47*MAIN!$B$11)+($C$2*MAIN!$B$10))/10&amp;" &amp;aAlmakos'"</f>
        <v xml:space="preserve">  - '&amp;aVenta: &amp;6130 &amp;aAlmakos'</v>
      </c>
      <c r="F21" s="20"/>
      <c r="G21" s="20"/>
      <c r="H21" s="20"/>
      <c r="I21" s="20" t="str">
        <f>"  - '&amp;aVenta: &amp;6"&amp;(MAIN!$D$4+(MAIN!$C$18+MAIN!$C$19)/2*MAIN!$B$9+(MAIN!$C$20+MAIN!$C$21)/2*MAIN!$B$8+(MAIN!$C$47*MAIN!$B$11)+($C$2*MAIN!$B$10))/10&amp;" &amp;aAlmakos'"</f>
        <v xml:space="preserve">  - '&amp;aVenta: &amp;6210 &amp;aAlmakos'</v>
      </c>
      <c r="J21" s="20"/>
      <c r="K21" s="20"/>
      <c r="L21" s="20"/>
      <c r="M21" s="20" t="str">
        <f>"  - '&amp;aVenta: &amp;6"&amp;(MAIN!$D$5+(MAIN!$C$18+MAIN!$C$19)/2*MAIN!$B$9+(MAIN!$C$20+MAIN!$C$21)/2*MAIN!$B$8+(MAIN!$C$47*MAIN!$B$11)+($C$2*MAIN!$B$10))/10&amp;" &amp;aAlmakos'"</f>
        <v xml:space="preserve">  - '&amp;aVenta: &amp;6370 &amp;aAlmakos'</v>
      </c>
      <c r="N21" s="20"/>
      <c r="O21" s="20"/>
      <c r="P21" s="20"/>
      <c r="Q21" s="20" t="str">
        <f>"  - '&amp;aVenta: &amp;6"&amp;(MAIN!$D$6+(MAIN!$C$18+MAIN!$C$19)/2*MAIN!$B$9+(MAIN!$C$20+MAIN!$C$21)/2*MAIN!$B$8+(MAIN!$C$47*MAIN!$B$11)+($C$2*MAIN!$B$10))/10&amp;" &amp;aAlmakos'"</f>
        <v xml:space="preserve">  - '&amp;aVenta: &amp;6690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&amp;a"&amp;MAIN!$C$49+($C$2*MAIN!$I$27)&amp;"'"</f>
        <v xml:space="preserve">  - '&amp;7• &amp;8Nivel: &amp;a8'</v>
      </c>
      <c r="B25" s="10"/>
      <c r="C25" s="10"/>
      <c r="D25" s="10"/>
      <c r="E25" s="10" t="str">
        <f>"  - '&amp;7• &amp;8Nivel: &amp;a"&amp;MAIN!$D$49+($C$2*MAIN!$I$27)&amp;"'"</f>
        <v xml:space="preserve">  - '&amp;7• &amp;8Nivel: &amp;a15'</v>
      </c>
      <c r="F25" s="10"/>
      <c r="G25" s="10"/>
      <c r="H25" s="10"/>
      <c r="I25" s="10" t="str">
        <f>"  - '&amp;7• &amp;8Nivel: &amp;a"&amp;MAIN!$E$49+($C$2*MAIN!$I$27)&amp;"'"</f>
        <v xml:space="preserve">  - '&amp;7• &amp;8Nivel: &amp;a37'</v>
      </c>
      <c r="J25" s="10"/>
      <c r="K25" s="10"/>
      <c r="L25" s="10"/>
      <c r="M25" s="10" t="str">
        <f>"  - '&amp;7• &amp;8Nivel: &amp;a"&amp;MAIN!$F$49+($C$2*MAIN!$I$27)&amp;"'"</f>
        <v xml:space="preserve">  - '&amp;7• &amp;8Nivel: &amp;a101'</v>
      </c>
      <c r="N25" s="10"/>
      <c r="O25" s="10"/>
      <c r="P25" s="10"/>
      <c r="Q25" s="10" t="str">
        <f>"  - '&amp;7• &amp;8Nivel: &amp;a"&amp;MAIN!$G$49+($C$2*MAIN!$I$27)&amp;"'"</f>
        <v xml:space="preserve">  - '&amp;7• &amp;8Nivel: &amp;a197'</v>
      </c>
      <c r="R25" s="10"/>
      <c r="S25" s="10"/>
      <c r="T25" s="10"/>
    </row>
    <row r="26" spans="1:20" x14ac:dyDescent="0.25">
      <c r="A26" s="12" t="str">
        <f>"  - '&amp;7• &amp;8"&amp;MAIN!$C$12&amp;" lvl: &amp;a"&amp;ROUNDUP((MAIN!$C$49+($C$2*MAIN!$I$27))/3,0)&amp;"'"</f>
        <v xml:space="preserve">  - '&amp;7• &amp;8Esencia lvl: &amp;a3'</v>
      </c>
      <c r="B26" s="12"/>
      <c r="C26" s="12"/>
      <c r="D26" s="12"/>
      <c r="E26" s="12" t="str">
        <f>"  - '&amp;7• &amp;8"&amp;MAIN!$C$12&amp;" lvl: &amp;a"&amp;ROUNDUP((MAIN!$D$49+($C$2*MAIN!$I$27))/3,0)&amp;"'"</f>
        <v xml:space="preserve">  - '&amp;7• &amp;8Esencia lvl: &amp;a5'</v>
      </c>
      <c r="F26" s="12"/>
      <c r="G26" s="12"/>
      <c r="H26" s="12"/>
      <c r="I26" s="12" t="str">
        <f>"  - '&amp;7• &amp;8"&amp;MAIN!$C$12&amp;" lvl: &amp;a"&amp;ROUNDUP((MAIN!$E$49+($C$2*MAIN!$I$27))/3,0)&amp;"'"</f>
        <v xml:space="preserve">  - '&amp;7• &amp;8Esencia lvl: &amp;a13'</v>
      </c>
      <c r="J26" s="12"/>
      <c r="K26" s="12"/>
      <c r="L26" s="12"/>
      <c r="M26" s="12" t="str">
        <f>"  - '&amp;7• &amp;8"&amp;MAIN!$C$12&amp;" lvl: &amp;a"&amp;ROUNDUP((MAIN!$F$49+($C$2*MAIN!$I$27))/3,0)&amp;"'"</f>
        <v xml:space="preserve">  - '&amp;7• &amp;8Esencia lvl: &amp;a34'</v>
      </c>
      <c r="N26" s="12"/>
      <c r="O26" s="12"/>
      <c r="P26" s="12"/>
      <c r="Q26" s="12" t="str">
        <f>"  - '&amp;7• &amp;8"&amp;MAIN!$C$12&amp;" lvl: &amp;a"&amp;ROUNDUP((MAIN!$G$49+($C$2*MAIN!$I$27))/3,0)&amp;"'"</f>
        <v xml:space="preserve">  - '&amp;7• &amp;8Esencia lvl: &amp;a66'</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1196</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&amp;a"&amp;MAIN!$C$44*$C$2&amp;"'"</f>
        <v xml:space="preserve">  - '&amp;4• &amp;fFuerza: &amp;a2'</v>
      </c>
      <c r="B30" s="10"/>
      <c r="C30" s="10"/>
      <c r="D30" s="10"/>
      <c r="E30" s="10" t="str">
        <f>"  - '&amp;4• &amp;f"&amp;MAIN!$C$9&amp;": &amp;a"&amp;MAIN!$D$44*$C$2&amp;"'"</f>
        <v xml:space="preserve">  - '&amp;4• &amp;fFuerza: &amp;a6'</v>
      </c>
      <c r="F30" s="10"/>
      <c r="G30" s="10"/>
      <c r="H30" s="10"/>
      <c r="I30" s="10" t="str">
        <f>"  - '&amp;4• &amp;f"&amp;MAIN!$C$9&amp;": &amp;a"&amp;MAIN!$E$44*$C$2&amp;"'"</f>
        <v xml:space="preserve">  - '&amp;4• &amp;fFuerza: &amp;a18'</v>
      </c>
      <c r="J30" s="10"/>
      <c r="K30" s="10"/>
      <c r="L30" s="10"/>
      <c r="M30" s="10" t="str">
        <f>"  - '&amp;4• &amp;f"&amp;MAIN!$C$9&amp;": &amp;a"&amp;MAIN!$F$44*$C$2&amp;"'"</f>
        <v xml:space="preserve">  - '&amp;4• &amp;fFuerza: &amp;a54'</v>
      </c>
      <c r="N30" s="10"/>
      <c r="O30" s="10"/>
      <c r="P30" s="10"/>
      <c r="Q30" s="10" t="str">
        <f>"  - '&amp;4• &amp;f"&amp;MAIN!$C$9&amp;": &amp;a"&amp;MAIN!$G$44*$C$2&amp;"'"</f>
        <v xml:space="preserve">  - '&amp;4• &amp;fFuerza: &amp;a162'</v>
      </c>
      <c r="R30" s="10"/>
      <c r="S30" s="10"/>
      <c r="T30" s="10"/>
    </row>
    <row r="31" spans="1:20" x14ac:dyDescent="0.25">
      <c r="A31" s="10" t="str">
        <f>"  - '&amp;4• &amp;f"&amp;MAIN!$C$8&amp;": &amp;a"&amp;MAIN!$C$43*$C$2&amp;"'"</f>
        <v xml:space="preserve">  - '&amp;4• &amp;fVitalidad: &amp;a2'</v>
      </c>
      <c r="B31" s="10"/>
      <c r="C31" s="10"/>
      <c r="D31" s="10"/>
      <c r="E31" s="10" t="str">
        <f>"  - '&amp;4• &amp;f"&amp;MAIN!$C$8&amp;": &amp;a"&amp;MAIN!$D$43*$C$2&amp;"'"</f>
        <v xml:space="preserve">  - '&amp;4• &amp;fVitalidad: &amp;a6'</v>
      </c>
      <c r="F31" s="10"/>
      <c r="G31" s="10"/>
      <c r="H31" s="10"/>
      <c r="I31" s="10" t="str">
        <f>"  - '&amp;4• &amp;f"&amp;MAIN!$C$8&amp;": &amp;a"&amp;MAIN!$E$43*$C$2&amp;"'"</f>
        <v xml:space="preserve">  - '&amp;4• &amp;fVitalidad: &amp;a18'</v>
      </c>
      <c r="J31" s="10"/>
      <c r="K31" s="10"/>
      <c r="L31" s="10"/>
      <c r="M31" s="10" t="str">
        <f>"  - '&amp;4• &amp;f"&amp;MAIN!$C$8&amp;": &amp;a"&amp;MAIN!$F$43*$C$2&amp;"'"</f>
        <v xml:space="preserve">  - '&amp;4• &amp;fVitalidad: &amp;a54'</v>
      </c>
      <c r="N31" s="10"/>
      <c r="O31" s="10"/>
      <c r="P31" s="10"/>
      <c r="Q31" s="10" t="str">
        <f>"  - '&amp;4• &amp;f"&amp;MAIN!$C$8&amp;": &amp;a"&amp;MAIN!$G$43*$C$2&amp;"'"</f>
        <v xml:space="preserve">  - '&amp;4• &amp;fVitalidad: &amp;a162'</v>
      </c>
      <c r="R31" s="10"/>
      <c r="S31" s="10"/>
      <c r="T31" s="10"/>
    </row>
    <row r="32" spans="1:20" x14ac:dyDescent="0.25">
      <c r="A32" s="10" t="str">
        <f>"  - '&amp;4• &amp;f"&amp;MAIN!$C$11&amp;": &amp;a"&amp;MAIN!$C$43*$C$2&amp;"'"</f>
        <v xml:space="preserve">  - '&amp;4• &amp;fInteligencia: &amp;a2'</v>
      </c>
      <c r="B32" s="10"/>
      <c r="C32" s="10"/>
      <c r="D32" s="10"/>
      <c r="E32" s="10" t="str">
        <f>"  - '&amp;4• &amp;f"&amp;MAIN!$C$11&amp;": &amp;a"&amp;MAIN!$D$43*$C$2&amp;"'"</f>
        <v xml:space="preserve">  - '&amp;4• &amp;fInteligencia: &amp;a6'</v>
      </c>
      <c r="F32" s="10"/>
      <c r="G32" s="10"/>
      <c r="H32" s="10"/>
      <c r="I32" s="10" t="str">
        <f>"  - '&amp;4• &amp;f"&amp;MAIN!$C$11&amp;": &amp;a"&amp;MAIN!$E$43*$C$2&amp;"'"</f>
        <v xml:space="preserve">  - '&amp;4• &amp;fInteligencia: &amp;a18'</v>
      </c>
      <c r="J32" s="10"/>
      <c r="K32" s="10"/>
      <c r="L32" s="10"/>
      <c r="M32" s="10" t="str">
        <f>"  - '&amp;4• &amp;f"&amp;MAIN!$C$11&amp;": &amp;a"&amp;MAIN!$F$43*$C$2&amp;"'"</f>
        <v xml:space="preserve">  - '&amp;4• &amp;fInteligencia: &amp;a54'</v>
      </c>
      <c r="N32" s="10"/>
      <c r="O32" s="10"/>
      <c r="P32" s="10"/>
      <c r="Q32" s="10" t="str">
        <f>"  - '&amp;4• &amp;f"&amp;MAIN!$C$11&amp;": &amp;a"&amp;MAIN!$G$43*$C$2&amp;"'"</f>
        <v xml:space="preserve">  - '&amp;4• &amp;fInteligencia: &amp;a162'</v>
      </c>
      <c r="R32" s="10"/>
      <c r="S32" s="10"/>
      <c r="T32" s="10"/>
    </row>
    <row r="33" spans="1:20" x14ac:dyDescent="0.25">
      <c r="A33" s="10" t="str">
        <f>"  - '&amp;4• &amp;f"&amp;MAIN!$C$10&amp;": &amp;a"&amp;MAIN!$C$45*$C$2&amp;"'"</f>
        <v xml:space="preserve">  - '&amp;4• &amp;fAgilidad: &amp;a2'</v>
      </c>
      <c r="B33" s="10"/>
      <c r="C33" s="10"/>
      <c r="D33" s="10"/>
      <c r="E33" s="10" t="str">
        <f>"  - '&amp;4• &amp;f"&amp;MAIN!$C$10&amp;": &amp;a"&amp;MAIN!$D$45*$C$2&amp;"'"</f>
        <v xml:space="preserve">  - '&amp;4• &amp;fAgilidad: &amp;a6'</v>
      </c>
      <c r="F33" s="10"/>
      <c r="G33" s="10"/>
      <c r="H33" s="10"/>
      <c r="I33" s="10" t="str">
        <f>"  - '&amp;4• &amp;f"&amp;MAIN!$C$10&amp;": &amp;a"&amp;MAIN!$E$45*$C$2&amp;"'"</f>
        <v xml:space="preserve">  - '&amp;4• &amp;fAgilidad: &amp;a18'</v>
      </c>
      <c r="J33" s="10"/>
      <c r="K33" s="10"/>
      <c r="L33" s="10"/>
      <c r="M33" s="10" t="str">
        <f>"  - '&amp;4• &amp;f"&amp;MAIN!$C$10&amp;": &amp;a"&amp;MAIN!$F$45*$C$2&amp;"'"</f>
        <v xml:space="preserve">  - '&amp;4• &amp;fAgilidad: &amp;a54'</v>
      </c>
      <c r="N33" s="10"/>
      <c r="O33" s="10"/>
      <c r="P33" s="10"/>
      <c r="Q33" s="10" t="str">
        <f>"  - '&amp;4• &amp;f"&amp;MAIN!$C$10&amp;": &amp;a"&amp;MAIN!$G$45*$C$2&amp;"'"</f>
        <v xml:space="preserve">  - '&amp;4• &amp;fAgilidad: &amp;a162'</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"minimumSockets: "&amp;MAIN!$C$29</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"maximumSockets: "&amp;MAIN!$C$30</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3"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3"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"broadcastOnFind: "&amp;$E$2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"optimalDistance: "&amp;MAIN!$C$39</f>
        <v>optimalDistance: 1800</v>
      </c>
      <c r="B43" s="11"/>
      <c r="C43" s="11"/>
      <c r="D43" s="11"/>
      <c r="E43" s="11" t="str">
        <f>$A$43</f>
        <v>optimalDistance: 1800</v>
      </c>
      <c r="F43" s="11"/>
      <c r="G43" s="11"/>
      <c r="H43" s="11"/>
      <c r="I43" s="11" t="str">
        <f t="shared" ref="I43" si="28">$A$43</f>
        <v>optimalDistance: 1800</v>
      </c>
      <c r="J43" s="11"/>
      <c r="K43" s="11"/>
      <c r="L43" s="11"/>
      <c r="M43" s="11" t="str">
        <f>$A$43</f>
        <v>optimalDistance: 1800</v>
      </c>
      <c r="N43" s="11"/>
      <c r="O43" s="11"/>
      <c r="P43" s="11"/>
      <c r="Q43" s="11" t="str">
        <f>$A$43</f>
        <v>optimalDistance: 1800</v>
      </c>
      <c r="R43" s="11"/>
      <c r="S43" s="11"/>
      <c r="T43" s="11"/>
    </row>
    <row r="44" spans="1:20" x14ac:dyDescent="0.25">
      <c r="A44" s="11" t="str">
        <f>"maximumDistance: "&amp;MAIN!$C$40</f>
        <v>maximumDistance: 1800</v>
      </c>
      <c r="B44" s="11"/>
      <c r="C44" s="11"/>
      <c r="D44" s="11"/>
      <c r="E44" s="11" t="str">
        <f>$A$44</f>
        <v>maximumDistance: 1800</v>
      </c>
      <c r="F44" s="11"/>
      <c r="G44" s="11"/>
      <c r="H44" s="11"/>
      <c r="I44" s="11" t="str">
        <f t="shared" ref="I44" si="29">$A$44</f>
        <v>maximumDistance: 1800</v>
      </c>
      <c r="J44" s="11"/>
      <c r="K44" s="11"/>
      <c r="L44" s="11"/>
      <c r="M44" s="11" t="str">
        <f>$A$44</f>
        <v>maximumDistance: 1800</v>
      </c>
      <c r="N44" s="11"/>
      <c r="O44" s="11"/>
      <c r="P44" s="11"/>
      <c r="Q44" s="11" t="str">
        <f>$A$44</f>
        <v>maximumDistance: 1800</v>
      </c>
      <c r="R44" s="11"/>
      <c r="S44" s="11"/>
      <c r="T44" s="11"/>
    </row>
    <row r="45" spans="1:20" x14ac:dyDescent="0.25">
      <c r="A45" s="8"/>
      <c r="B45" s="8"/>
      <c r="C45" s="8"/>
      <c r="D45" s="8"/>
    </row>
    <row r="46" spans="1:20" x14ac:dyDescent="0.25">
      <c r="A46" s="8"/>
      <c r="B46" s="8"/>
      <c r="C46" s="8"/>
      <c r="D46" s="8"/>
    </row>
    <row r="47" spans="1:20" x14ac:dyDescent="0.25">
      <c r="A47" s="8"/>
      <c r="B47" s="8"/>
      <c r="C47" s="8"/>
      <c r="D47" s="8"/>
    </row>
    <row r="48" spans="1:20" x14ac:dyDescent="0.25">
      <c r="A48" s="8"/>
      <c r="B48" s="8"/>
      <c r="C48" s="8"/>
      <c r="D48" s="8"/>
    </row>
    <row r="49" spans="1:4" x14ac:dyDescent="0.25">
      <c r="A49" s="8"/>
      <c r="B49" s="8"/>
      <c r="C49" s="8"/>
      <c r="D49" s="8"/>
    </row>
    <row r="50" spans="1:4" x14ac:dyDescent="0.25">
      <c r="A50" s="8"/>
      <c r="B50" s="8"/>
      <c r="C50" s="8"/>
      <c r="D50" s="8"/>
    </row>
    <row r="51" spans="1:4" x14ac:dyDescent="0.25">
      <c r="A51" s="8"/>
      <c r="B51" s="8"/>
      <c r="C51" s="8"/>
      <c r="D51" s="8"/>
    </row>
    <row r="52" spans="1:4" x14ac:dyDescent="0.25">
      <c r="A52" s="8"/>
      <c r="B52" s="8"/>
      <c r="C52" s="8"/>
      <c r="D52" s="8"/>
    </row>
    <row r="53" spans="1:4" x14ac:dyDescent="0.25">
      <c r="A53" s="8"/>
      <c r="B53" s="8"/>
      <c r="C53" s="8"/>
      <c r="D53" s="8"/>
    </row>
    <row r="54" spans="1:4" x14ac:dyDescent="0.25">
      <c r="A54" s="8"/>
      <c r="B54" s="8"/>
      <c r="C54" s="8"/>
      <c r="D54" s="8"/>
    </row>
    <row r="55" spans="1:4" x14ac:dyDescent="0.25">
      <c r="A55" s="8"/>
      <c r="B55" s="8"/>
      <c r="C55" s="8"/>
      <c r="D55" s="8"/>
    </row>
    <row r="56" spans="1:4" x14ac:dyDescent="0.25">
      <c r="A56" s="8"/>
      <c r="B56" s="8"/>
      <c r="C56" s="8"/>
      <c r="D56" s="8"/>
    </row>
    <row r="57" spans="1:4" x14ac:dyDescent="0.25">
      <c r="A57" s="8"/>
      <c r="B57" s="8"/>
      <c r="C57" s="8"/>
      <c r="D57" s="8"/>
    </row>
    <row r="58" spans="1:4" x14ac:dyDescent="0.25">
      <c r="A58" s="8"/>
      <c r="B58" s="8"/>
      <c r="C58" s="8"/>
      <c r="D58" s="8"/>
    </row>
    <row r="59" spans="1:4" x14ac:dyDescent="0.25">
      <c r="A59" s="8"/>
      <c r="B59" s="8"/>
      <c r="C59" s="8"/>
      <c r="D59" s="8"/>
    </row>
    <row r="60" spans="1:4" x14ac:dyDescent="0.25">
      <c r="A60" s="8"/>
      <c r="B60" s="8"/>
      <c r="C60" s="8"/>
      <c r="D60" s="8"/>
    </row>
    <row r="61" spans="1:4" x14ac:dyDescent="0.25">
      <c r="A61" s="8"/>
      <c r="B61" s="8"/>
      <c r="C61" s="8"/>
      <c r="D61" s="8"/>
    </row>
    <row r="62" spans="1:4" x14ac:dyDescent="0.25">
      <c r="A62" s="8"/>
      <c r="B62" s="8"/>
      <c r="C62" s="8"/>
      <c r="D62" s="8"/>
    </row>
    <row r="63" spans="1:4" x14ac:dyDescent="0.25">
      <c r="A63" s="8"/>
      <c r="B63" s="8"/>
      <c r="C63" s="8"/>
      <c r="D63" s="8"/>
    </row>
    <row r="64" spans="1:4" x14ac:dyDescent="0.25">
      <c r="A64" s="8"/>
      <c r="B64" s="8"/>
      <c r="C64" s="8"/>
      <c r="D64" s="8"/>
    </row>
    <row r="65" spans="1:4" x14ac:dyDescent="0.25">
      <c r="A65" s="8"/>
      <c r="B65" s="8"/>
      <c r="C65" s="8"/>
      <c r="D65" s="8"/>
    </row>
    <row r="66" spans="1:4" x14ac:dyDescent="0.25">
      <c r="A66" s="8"/>
      <c r="B66" s="8"/>
      <c r="C66" s="8"/>
      <c r="D66" s="8"/>
    </row>
    <row r="67" spans="1:4" x14ac:dyDescent="0.25">
      <c r="A67" s="8"/>
      <c r="B67" s="8"/>
      <c r="C67" s="8"/>
      <c r="D67" s="8"/>
    </row>
    <row r="68" spans="1:4" x14ac:dyDescent="0.25">
      <c r="A68" s="8"/>
      <c r="B68" s="8"/>
      <c r="C68" s="8"/>
      <c r="D68" s="8"/>
    </row>
    <row r="69" spans="1:4" x14ac:dyDescent="0.25">
      <c r="A69" s="8"/>
      <c r="B69" s="8"/>
      <c r="C69" s="8"/>
      <c r="D69" s="8"/>
    </row>
    <row r="70" spans="1:4" x14ac:dyDescent="0.25">
      <c r="A70" s="8"/>
      <c r="B70" s="8"/>
      <c r="C70" s="8"/>
      <c r="D70" s="8"/>
    </row>
    <row r="71" spans="1:4" x14ac:dyDescent="0.25">
      <c r="A71" s="8"/>
      <c r="B71" s="8"/>
      <c r="C71" s="8"/>
      <c r="D71" s="8"/>
    </row>
    <row r="72" spans="1:4" x14ac:dyDescent="0.25">
      <c r="A72" s="8"/>
      <c r="B72" s="8"/>
      <c r="C72" s="8"/>
      <c r="D72" s="8"/>
    </row>
    <row r="73" spans="1:4" x14ac:dyDescent="0.25">
      <c r="A73" s="8"/>
      <c r="B73" s="8"/>
      <c r="C73" s="8"/>
      <c r="D73" s="8"/>
    </row>
    <row r="74" spans="1:4" x14ac:dyDescent="0.25">
      <c r="A74" s="8"/>
      <c r="B74" s="8"/>
      <c r="C74" s="8"/>
      <c r="D74" s="8"/>
    </row>
    <row r="75" spans="1:4" x14ac:dyDescent="0.25">
      <c r="A75" s="8"/>
      <c r="B75" s="8"/>
      <c r="C75" s="8"/>
      <c r="D75" s="8"/>
    </row>
    <row r="76" spans="1:4" x14ac:dyDescent="0.25">
      <c r="A76" s="8"/>
      <c r="B76" s="8"/>
      <c r="C76" s="8"/>
      <c r="D76" s="8"/>
    </row>
    <row r="77" spans="1:4" x14ac:dyDescent="0.25">
      <c r="A77" s="8"/>
      <c r="B77" s="8"/>
      <c r="C77" s="8"/>
      <c r="D77" s="8"/>
    </row>
    <row r="78" spans="1:4" x14ac:dyDescent="0.25">
      <c r="A78" s="8"/>
      <c r="B78" s="8"/>
      <c r="C78" s="8"/>
      <c r="D78" s="8"/>
    </row>
    <row r="79" spans="1:4" x14ac:dyDescent="0.25">
      <c r="A79" s="8"/>
      <c r="B79" s="8"/>
      <c r="C79" s="8"/>
      <c r="D79" s="8"/>
    </row>
    <row r="80" spans="1:4"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row r="148" spans="1:4" x14ac:dyDescent="0.25">
      <c r="A148" s="8"/>
      <c r="B148" s="8"/>
      <c r="C148" s="8"/>
      <c r="D148" s="8"/>
    </row>
  </sheetData>
  <mergeCells count="17">
    <mergeCell ref="E2:F2"/>
    <mergeCell ref="K1:L1"/>
    <mergeCell ref="K2:L2"/>
    <mergeCell ref="M3:P3"/>
    <mergeCell ref="Q3:T3"/>
    <mergeCell ref="A3:D3"/>
    <mergeCell ref="E3:H3"/>
    <mergeCell ref="I3:L3"/>
    <mergeCell ref="A1:B1"/>
    <mergeCell ref="A2:B2"/>
    <mergeCell ref="C1:D1"/>
    <mergeCell ref="I1:J1"/>
    <mergeCell ref="I2:J2"/>
    <mergeCell ref="G1:H1"/>
    <mergeCell ref="G2:H2"/>
    <mergeCell ref="E1:F1"/>
    <mergeCell ref="C2:D2"/>
  </mergeCells>
  <pageMargins left="0.7" right="0.7" top="0.75" bottom="0.75" header="0.3" footer="0.3"/>
  <pageSetup paperSize="9" scale="38"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Z147"/>
  <sheetViews>
    <sheetView topLeftCell="A28" workbookViewId="0">
      <selection activeCell="A38" sqref="A38:XFD40"/>
    </sheetView>
  </sheetViews>
  <sheetFormatPr baseColWidth="10" defaultRowHeight="15" x14ac:dyDescent="0.25"/>
  <sheetData>
    <row r="1" spans="1:26" ht="30.75" customHeight="1" x14ac:dyDescent="0.25">
      <c r="A1" s="351" t="s">
        <v>19</v>
      </c>
      <c r="B1" s="351"/>
      <c r="C1" s="351" t="s">
        <v>70</v>
      </c>
      <c r="D1" s="351"/>
      <c r="E1" s="351" t="s">
        <v>80</v>
      </c>
      <c r="F1" s="351"/>
      <c r="G1" s="351" t="s">
        <v>89</v>
      </c>
      <c r="H1" s="351"/>
      <c r="I1" s="351" t="s">
        <v>1197</v>
      </c>
      <c r="J1" s="351"/>
      <c r="K1" s="351" t="s">
        <v>1199</v>
      </c>
      <c r="L1" s="351"/>
    </row>
    <row r="2" spans="1:26" x14ac:dyDescent="0.25">
      <c r="A2" s="301" t="s">
        <v>36</v>
      </c>
      <c r="B2" s="301"/>
      <c r="C2" s="301">
        <f>'ECONOMIA &amp; PROFESIONES'!$N$3</f>
        <v>1</v>
      </c>
      <c r="D2" s="301"/>
      <c r="E2" s="301" t="s">
        <v>81</v>
      </c>
      <c r="F2" s="301"/>
      <c r="G2" s="301" t="s">
        <v>90</v>
      </c>
      <c r="H2" s="301"/>
      <c r="I2" s="301" t="str">
        <f>MAIN!$J$53</f>
        <v>Armor</v>
      </c>
      <c r="J2" s="301"/>
      <c r="K2" s="301">
        <f>MAIN!$L$53</f>
        <v>1</v>
      </c>
      <c r="L2" s="301"/>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91"/>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91">
        <v>1</v>
      </c>
      <c r="V4" s="291" t="str">
        <f>"+"&amp;ROUND(MAIN!$C$55*$C$2*$K$2/5*$U$4,0)&amp;" "&amp;$I$2</f>
        <v>+1 Armor</v>
      </c>
      <c r="W4" s="291" t="str">
        <f>"+"&amp;ROUND(MAIN!$D$55*$C$2*$K$2/5*$U$4,0)&amp;" "&amp;$I$2</f>
        <v>+2 Armor</v>
      </c>
      <c r="X4" s="291" t="str">
        <f>"+"&amp;ROUND(MAIN!$E$55*$C$2*$K$2/5*$U$4,0)&amp;" "&amp;$I$2</f>
        <v>+3 Armor</v>
      </c>
      <c r="Y4" s="291" t="str">
        <f>"+"&amp;ROUND(MAIN!$F$55*$C$2*$K$2/5*$U$4,0)&amp;" "&amp;$I$2</f>
        <v>+4 Armor</v>
      </c>
      <c r="Z4" s="291" t="str">
        <f>"+"&amp;ROUND(MAIN!$G$55*$C$2*$K$2/5*$U$4,0)&amp;" "&amp;$I$2</f>
        <v>+7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91">
        <v>2</v>
      </c>
      <c r="V5" s="291" t="str">
        <f>"+"&amp;ROUND(MAIN!$C$55*$C$2*$K$2/5*$U$5,0)&amp;" "&amp;$I$2</f>
        <v>+2 Armor</v>
      </c>
      <c r="W5" s="291" t="str">
        <f>"+"&amp;ROUND(MAIN!$D$55*$C$2*$K$2/5*$U$5,0)&amp;" "&amp;$I$2</f>
        <v>+3 Armor</v>
      </c>
      <c r="X5" s="291" t="str">
        <f>"+"&amp;ROUND(MAIN!$E$55*$C$2*$K$2/5*$U$5,0)&amp;" "&amp;$I$2</f>
        <v>+5 Armor</v>
      </c>
      <c r="Y5" s="291" t="str">
        <f>"+"&amp;ROUND(MAIN!$F$55*$C$2*$K$2/5*$U$5,0)&amp;" "&amp;$I$2</f>
        <v>+9 Armor</v>
      </c>
      <c r="Z5" s="291" t="str">
        <f>"+"&amp;ROUND(MAIN!$G$55*$C$2*$K$2/5*$U$5,0)&amp;" "&amp;$I$2</f>
        <v>+15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+3 Armor</v>
      </c>
      <c r="W6" s="291" t="str">
        <f>"+"&amp;ROUND(MAIN!$D$55*$C$2*$K$2/5*$U$6,0)&amp;" "&amp;$I$2</f>
        <v>+5 Armor</v>
      </c>
      <c r="X6" s="291" t="str">
        <f>"+"&amp;ROUND(MAIN!$E$55*$C$2*$K$2/5*$U$6,0)&amp;" "&amp;$I$2</f>
        <v>+8 Armor</v>
      </c>
      <c r="Y6" s="291" t="str">
        <f>"+"&amp;ROUND(MAIN!$F$55*$C$2*$K$2/5*$U$6,0)&amp;" "&amp;$I$2</f>
        <v>+13 Armor</v>
      </c>
      <c r="Z6" s="291" t="str">
        <f>"+"&amp;ROUND(MAIN!$G$55*$C$2*$K$2/5*$U$6,0)&amp;" "&amp;$I$2</f>
        <v>+22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+4 Armor</v>
      </c>
      <c r="W7" s="291" t="str">
        <f>"+"&amp;ROUND(MAIN!$D$55*$C$2*$K$2/5*$U$7,0)&amp;" "&amp;$I$2</f>
        <v>+6 Armor</v>
      </c>
      <c r="X7" s="291" t="str">
        <f>"+"&amp;ROUND(MAIN!$E$55*$C$2*$K$2/5*$U$7,0)&amp;" "&amp;$I$2</f>
        <v>+10 Armor</v>
      </c>
      <c r="Y7" s="291" t="str">
        <f>"+"&amp;ROUND(MAIN!$F$55*$C$2*$K$2/5*$U$7,0)&amp;" "&amp;$I$2</f>
        <v>+18 Armor</v>
      </c>
      <c r="Z7" s="291" t="str">
        <f>"+"&amp;ROUND(MAIN!$G$55*$C$2*$K$2/5*$U$7,0)&amp;" "&amp;$I$2</f>
        <v>+30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+5 Armor</v>
      </c>
      <c r="W8" s="291" t="str">
        <f>"+"&amp;ROUND(MAIN!$D$55*$C$2*$K$2/5*$U$8,0)&amp;" "&amp;$I$2</f>
        <v>+8 Armor</v>
      </c>
      <c r="X8" s="291" t="str">
        <f>"+"&amp;ROUND(MAIN!$E$55*$C$2*$K$2/5*$U$8,0)&amp;" "&amp;$I$2</f>
        <v>+13 Armor</v>
      </c>
      <c r="Y8" s="291" t="str">
        <f>"+"&amp;ROUND(MAIN!$F$55*$C$2*$K$2/5*$U$8,0)&amp;" "&amp;$I$2</f>
        <v>+22 Armor</v>
      </c>
      <c r="Z8" s="291" t="str">
        <f>"+"&amp;ROUND(MAIN!$G$55*$C$2*$K$2/5*$U$8,0)&amp;" "&amp;$I$2</f>
        <v>+37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&amp;6"&amp;(MAIN!$F$2+(MAIN!$C$18+MAIN!$C$19)/2*MAIN!$B$9+(MAIN!$C$20+MAIN!$C$21)/2*MAIN!$B$8+(MAIN!$C$58*MAIN!$B$11)+($C$2*MAIN!$B$10))/10&amp;" &amp;aAlmakos'"</f>
        <v xml:space="preserve">  - '&amp;aVenta: &amp;6150 &amp;aAlmakos'</v>
      </c>
      <c r="B21" s="20"/>
      <c r="C21" s="20"/>
      <c r="D21" s="20"/>
      <c r="E21" s="20" t="str">
        <f>"  - '&amp;aVenta: &amp;6"&amp;(MAIN!$G$2+(MAIN!$C$18+MAIN!$C$19)/2*MAIN!$B$9+(MAIN!$C$20+MAIN!$C$21)/2*MAIN!$B$8+(MAIN!$C$58*MAIN!$B$11)+($C$2*MAIN!$B$10))/10&amp;" &amp;aAlmakos'"</f>
        <v xml:space="preserve">  - '&amp;aVenta: &amp;6250 &amp;aAlmakos'</v>
      </c>
      <c r="F21" s="20"/>
      <c r="G21" s="20"/>
      <c r="H21" s="20"/>
      <c r="I21" s="20" t="str">
        <f>"  - '&amp;aVenta: &amp;6"&amp;(MAIN!$H$2+(MAIN!$C$18+MAIN!$C$19)/2*MAIN!$B$9+(MAIN!$C$20+MAIN!$C$21)/2*MAIN!$B$8+(MAIN!$C$58*MAIN!$B$11)+($C$2*MAIN!$B$10))/10&amp;" &amp;aAlmakos'"</f>
        <v xml:space="preserve">  - '&amp;aVenta: &amp;6450 &amp;aAlmakos'</v>
      </c>
      <c r="J21" s="20"/>
      <c r="K21" s="20"/>
      <c r="L21" s="20"/>
      <c r="M21" s="20" t="str">
        <f>"  - '&amp;aVenta: &amp;6"&amp;(MAIN!$I$2+(MAIN!$C$18+MAIN!$C$19)/2*MAIN!$B$9+(MAIN!$C$20+MAIN!$C$21)/2*MAIN!$B$8+(MAIN!$C$58*MAIN!$B$11)+($C$2*MAIN!$B$10))/10&amp;" &amp;aAlmakos'"</f>
        <v xml:space="preserve">  - '&amp;aVenta: &amp;6850 &amp;aAlmakos'</v>
      </c>
      <c r="N21" s="20"/>
      <c r="O21" s="20"/>
      <c r="P21" s="20"/>
      <c r="Q21" s="20" t="str">
        <f>"  - '&amp;aVenta: &amp;6"&amp;(MAIN!$J$2+(MAIN!$C$18+MAIN!$C$19)/2*MAIN!$B$9+(MAIN!$C$20+MAIN!$C$21)/2*MAIN!$B$8+(MAIN!$C$58*MAIN!$B$11)+($C$2*MAIN!$B$10))/10&amp;" &amp;aAlmakos'"</f>
        <v xml:space="preserve">  - '&amp;aVenta: &amp;61650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&amp;a"&amp;MAIN!$C$60+($C$2*MAIN!$I$27)&amp;"'"</f>
        <v xml:space="preserve">  - '&amp;7• &amp;8Nivel: &amp;a13'</v>
      </c>
      <c r="B25" s="10"/>
      <c r="C25" s="10"/>
      <c r="D25" s="10"/>
      <c r="E25" s="10" t="str">
        <f>"  - '&amp;7• &amp;8Nivel: &amp;a"&amp;MAIN!$D$60+($C$2*MAIN!$I$27)&amp;"'"</f>
        <v xml:space="preserve">  - '&amp;7• &amp;8Nivel: &amp;a31'</v>
      </c>
      <c r="F25" s="10"/>
      <c r="G25" s="10"/>
      <c r="H25" s="10"/>
      <c r="I25" s="10" t="str">
        <f>"  - '&amp;7• &amp;8Nivel: &amp;a"&amp;MAIN!$E$60+($C$2*MAIN!$I$27)&amp;"'"</f>
        <v xml:space="preserve">  - '&amp;7• &amp;8Nivel: &amp;a85'</v>
      </c>
      <c r="J25" s="10"/>
      <c r="K25" s="10"/>
      <c r="L25" s="10"/>
      <c r="M25" s="10" t="str">
        <f>"  - '&amp;7• &amp;8Nivel: &amp;a"&amp;MAIN!$F$60+($C$2*MAIN!$I$27)&amp;"'"</f>
        <v xml:space="preserve">  - '&amp;7• &amp;8Nivel: &amp;a245'</v>
      </c>
      <c r="N25" s="10"/>
      <c r="O25" s="10"/>
      <c r="P25" s="10"/>
      <c r="Q25" s="10" t="str">
        <f>"  - '&amp;7• &amp;8Nivel: &amp;a"&amp;MAIN!$G$60+($C$2*MAIN!$I$27)&amp;"'"</f>
        <v xml:space="preserve">  - '&amp;7• &amp;8Nivel: &amp;a485'</v>
      </c>
      <c r="R25" s="10"/>
      <c r="S25" s="10"/>
      <c r="T25" s="10"/>
    </row>
    <row r="26" spans="1:20" x14ac:dyDescent="0.25">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1196</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&amp;a"&amp;MAIN!$C$55*$C$2&amp;"'"</f>
        <v xml:space="preserve">  - '&amp;4• &amp;fFuerza: &amp;a5'</v>
      </c>
      <c r="B30" s="10"/>
      <c r="C30" s="10"/>
      <c r="D30" s="10"/>
      <c r="E30" s="10" t="str">
        <f>"  - '&amp;4• &amp;f"&amp;MAIN!$C$9&amp;": &amp;a"&amp;MAIN!$D$55*$C$2&amp;"'"</f>
        <v xml:space="preserve">  - '&amp;4• &amp;fFuerza: &amp;a8'</v>
      </c>
      <c r="F30" s="10"/>
      <c r="G30" s="10"/>
      <c r="H30" s="10"/>
      <c r="I30" s="10" t="str">
        <f>"  - '&amp;4• &amp;f"&amp;MAIN!$C$9&amp;": &amp;a"&amp;MAIN!$E$55*$C$2&amp;"'"</f>
        <v xml:space="preserve">  - '&amp;4• &amp;fFuerza: &amp;a13'</v>
      </c>
      <c r="J30" s="10"/>
      <c r="K30" s="10"/>
      <c r="L30" s="10"/>
      <c r="M30" s="10" t="str">
        <f>"  - '&amp;4• &amp;f"&amp;MAIN!$C$9&amp;": &amp;a"&amp;MAIN!$F$55*$C$2&amp;"'"</f>
        <v xml:space="preserve">  - '&amp;4• &amp;fFuerza: &amp;a22'</v>
      </c>
      <c r="N30" s="10"/>
      <c r="O30" s="10"/>
      <c r="P30" s="10"/>
      <c r="Q30" s="10" t="str">
        <f>"  - '&amp;4• &amp;f"&amp;MAIN!$C$9&amp;": &amp;a"&amp;MAIN!$G$55*$C$2&amp;"'"</f>
        <v xml:space="preserve">  - '&amp;4• &amp;fFuerza: &amp;a37'</v>
      </c>
      <c r="R30" s="10"/>
      <c r="S30" s="10"/>
      <c r="T30" s="10"/>
    </row>
    <row r="31" spans="1:20" x14ac:dyDescent="0.25">
      <c r="A31" s="10" t="str">
        <f>"  - '&amp;4• &amp;f"&amp;MAIN!$C$8&amp;": &amp;a"&amp;MAIN!$C$54*$C$2&amp;"'"</f>
        <v xml:space="preserve">  - '&amp;4• &amp;fVitalidad: &amp;a5'</v>
      </c>
      <c r="B31" s="10"/>
      <c r="C31" s="10"/>
      <c r="D31" s="10"/>
      <c r="E31" s="10" t="str">
        <f>"  - '&amp;4• &amp;f"&amp;MAIN!$C$8&amp;": &amp;a"&amp;MAIN!$D$54*$C$2&amp;"'"</f>
        <v xml:space="preserve">  - '&amp;4• &amp;fVitalidad: &amp;a8'</v>
      </c>
      <c r="F31" s="10"/>
      <c r="G31" s="10"/>
      <c r="H31" s="10"/>
      <c r="I31" s="10" t="str">
        <f>"  - '&amp;4• &amp;f"&amp;MAIN!$C$8&amp;": &amp;a"&amp;MAIN!$E$54*$C$2&amp;"'"</f>
        <v xml:space="preserve">  - '&amp;4• &amp;fVitalidad: &amp;a13'</v>
      </c>
      <c r="J31" s="10"/>
      <c r="K31" s="10"/>
      <c r="L31" s="10"/>
      <c r="M31" s="10" t="str">
        <f>"  - '&amp;4• &amp;f"&amp;MAIN!$C$8&amp;": &amp;a"&amp;MAIN!$F$54*$C$2&amp;"'"</f>
        <v xml:space="preserve">  - '&amp;4• &amp;fVitalidad: &amp;a22'</v>
      </c>
      <c r="N31" s="10"/>
      <c r="O31" s="10"/>
      <c r="P31" s="10"/>
      <c r="Q31" s="10" t="str">
        <f>"  - '&amp;4• &amp;f"&amp;MAIN!$C$8&amp;": &amp;a"&amp;MAIN!$G$54*$C$2&amp;"'"</f>
        <v xml:space="preserve">  - '&amp;4• &amp;fVitalidad: &amp;a37'</v>
      </c>
      <c r="R31" s="10"/>
      <c r="S31" s="10"/>
      <c r="T31" s="10"/>
    </row>
    <row r="32" spans="1:20" x14ac:dyDescent="0.25">
      <c r="A32" s="10" t="str">
        <f>"  - '&amp;4• &amp;f"&amp;MAIN!$C$11&amp;": &amp;a"&amp;MAIN!$C$57*$C$2&amp;"'"</f>
        <v xml:space="preserve">  - '&amp;4• &amp;fInteligencia: &amp;a5'</v>
      </c>
      <c r="B32" s="10"/>
      <c r="C32" s="10"/>
      <c r="D32" s="10"/>
      <c r="E32" s="10" t="str">
        <f>"  - '&amp;4• &amp;f"&amp;MAIN!$C$11&amp;": &amp;a"&amp;MAIN!$D$57*$C$2&amp;"'"</f>
        <v xml:space="preserve">  - '&amp;4• &amp;fInteligencia: &amp;a8'</v>
      </c>
      <c r="F32" s="10"/>
      <c r="G32" s="10"/>
      <c r="H32" s="10"/>
      <c r="I32" s="10" t="str">
        <f>"  - '&amp;4• &amp;f"&amp;MAIN!$C$11&amp;": &amp;a"&amp;MAIN!$E$57*$C$2&amp;"'"</f>
        <v xml:space="preserve">  - '&amp;4• &amp;fInteligencia: &amp;a13'</v>
      </c>
      <c r="J32" s="10"/>
      <c r="K32" s="10"/>
      <c r="L32" s="10"/>
      <c r="M32" s="10" t="str">
        <f>"  - '&amp;4• &amp;f"&amp;MAIN!$C$11&amp;": &amp;a"&amp;MAIN!$F$57*$C$2&amp;"'"</f>
        <v xml:space="preserve">  - '&amp;4• &amp;fInteligencia: &amp;a22'</v>
      </c>
      <c r="N32" s="10"/>
      <c r="O32" s="10"/>
      <c r="P32" s="10"/>
      <c r="Q32" s="10" t="str">
        <f>"  - '&amp;4• &amp;f"&amp;MAIN!$C$11&amp;": &amp;a"&amp;MAIN!$G$57*$C$2&amp;"'"</f>
        <v xml:space="preserve">  - '&amp;4• &amp;fInteligencia: &amp;a37'</v>
      </c>
      <c r="R32" s="10"/>
      <c r="S32" s="10"/>
      <c r="T32" s="10"/>
    </row>
    <row r="33" spans="1:20" x14ac:dyDescent="0.25">
      <c r="A33" s="10" t="str">
        <f>"  - '&amp;4• &amp;f"&amp;MAIN!$C$10&amp;": &amp;a"&amp;MAIN!$C$56*$C$2&amp;"'"</f>
        <v xml:space="preserve">  - '&amp;4• &amp;fAgilidad: &amp;a5'</v>
      </c>
      <c r="B33" s="10"/>
      <c r="C33" s="10"/>
      <c r="D33" s="10"/>
      <c r="E33" s="10" t="str">
        <f>"  - '&amp;4• &amp;f"&amp;MAIN!$C$10&amp;": &amp;a"&amp;MAIN!$D$56*$C$2&amp;"'"</f>
        <v xml:space="preserve">  - '&amp;4• &amp;fAgilidad: &amp;a8'</v>
      </c>
      <c r="F33" s="10"/>
      <c r="G33" s="10"/>
      <c r="H33" s="10"/>
      <c r="I33" s="10" t="str">
        <f>"  - '&amp;4• &amp;f"&amp;MAIN!$C$10&amp;": &amp;a"&amp;MAIN!$E$56*$C$2&amp;"'"</f>
        <v xml:space="preserve">  - '&amp;4• &amp;fAgilidad: &amp;a13'</v>
      </c>
      <c r="J33" s="10"/>
      <c r="K33" s="10"/>
      <c r="L33" s="10"/>
      <c r="M33" s="10" t="str">
        <f>"  - '&amp;4• &amp;f"&amp;MAIN!$C$10&amp;": &amp;a"&amp;MAIN!$F$56*$C$2&amp;"'"</f>
        <v xml:space="preserve">  - '&amp;4• &amp;fAgilidad: &amp;a22'</v>
      </c>
      <c r="N33" s="10"/>
      <c r="O33" s="10"/>
      <c r="P33" s="10"/>
      <c r="Q33" s="10" t="str">
        <f>"  - '&amp;4• &amp;f"&amp;MAIN!$C$10&amp;": &amp;a"&amp;MAIN!$G$56*$C$2&amp;"'"</f>
        <v xml:space="preserve">  - '&amp;4• &amp;fAgilidad: &amp;a37'</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3"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92"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3"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row>
    <row r="46" spans="1:20" x14ac:dyDescent="0.25">
      <c r="A46" s="8"/>
    </row>
    <row r="47" spans="1:20" x14ac:dyDescent="0.25">
      <c r="A47" s="8"/>
      <c r="E47" s="13"/>
      <c r="F47" s="13"/>
    </row>
    <row r="48" spans="1:20" x14ac:dyDescent="0.25">
      <c r="A48" s="8"/>
      <c r="D48" s="13"/>
      <c r="E48" s="13"/>
      <c r="F48" s="13"/>
    </row>
    <row r="49" spans="1:17" x14ac:dyDescent="0.25">
      <c r="A49" s="8"/>
      <c r="D49" s="13"/>
      <c r="E49" s="13"/>
      <c r="F49" s="13"/>
    </row>
    <row r="50" spans="1:17" x14ac:dyDescent="0.25">
      <c r="A50" s="8"/>
      <c r="D50" s="13"/>
      <c r="E50" s="13"/>
      <c r="F50" s="13"/>
    </row>
    <row r="51" spans="1:17" x14ac:dyDescent="0.25">
      <c r="A51" s="8"/>
      <c r="D51" s="13"/>
      <c r="G51" s="13"/>
      <c r="H51" s="13"/>
      <c r="I51" s="13"/>
    </row>
    <row r="52" spans="1:17" x14ac:dyDescent="0.25">
      <c r="A52" s="8"/>
      <c r="B52" s="8"/>
      <c r="C52" s="8"/>
      <c r="D52" s="8"/>
      <c r="G52" s="13"/>
      <c r="H52" s="13"/>
      <c r="I52" s="13"/>
    </row>
    <row r="53" spans="1:17" x14ac:dyDescent="0.25">
      <c r="A53" s="8" t="str">
        <f>"  - '&amp;4• &amp;f"&amp;MAIN!$C$12&amp;": &amp;a"&amp;MAIN!$C$88*$C$2&amp;"'"</f>
        <v xml:space="preserve">  - '&amp;4• &amp;fEsencia: &amp;a4'</v>
      </c>
      <c r="B53" s="8"/>
      <c r="C53" s="8"/>
      <c r="D53" s="8"/>
      <c r="E53" t="str">
        <f>"  - '&amp;4• &amp;f"&amp;MAIN!$C$12&amp;": &amp;a"&amp;MAIN!$D$88*$C$2&amp;"'"</f>
        <v xml:space="preserve">  - '&amp;4• &amp;fEsencia: &amp;a6'</v>
      </c>
      <c r="G53" s="13"/>
      <c r="H53" s="13"/>
      <c r="I53" s="13" t="str">
        <f>"  - '&amp;4• &amp;f"&amp;MAIN!$C$12&amp;": &amp;a"&amp;MAIN!$E$88*$C$2&amp;"'"</f>
        <v xml:space="preserve">  - '&amp;4• &amp;fEsencia: &amp;a10'</v>
      </c>
      <c r="M53" t="str">
        <f>"  - '&amp;4• &amp;f"&amp;MAIN!$C$12&amp;": &amp;a"&amp;MAIN!$F$88*$C$2&amp;"'"</f>
        <v xml:space="preserve">  - '&amp;4• &amp;fEsencia: &amp;a17'</v>
      </c>
      <c r="Q53" t="str">
        <f>"  - '&amp;4• &amp;f"&amp;MAIN!$C$12&amp;": &amp;a"&amp;MAIN!$G$88*$C$2&amp;"'"</f>
        <v xml:space="preserve">  - '&amp;4• &amp;fEsencia: &amp;a28'</v>
      </c>
    </row>
    <row r="54" spans="1:17" x14ac:dyDescent="0.25">
      <c r="A54" s="8"/>
      <c r="B54" s="8"/>
      <c r="C54" s="8"/>
      <c r="D54" s="8"/>
      <c r="G54" s="13"/>
      <c r="H54" s="13"/>
      <c r="I54" s="13"/>
    </row>
    <row r="55" spans="1:17" x14ac:dyDescent="0.25">
      <c r="A55" s="8"/>
      <c r="B55" s="8"/>
      <c r="C55" s="8"/>
      <c r="D55" s="8"/>
    </row>
    <row r="56" spans="1:17" x14ac:dyDescent="0.25">
      <c r="A56" s="8"/>
      <c r="B56" s="8"/>
      <c r="C56" s="8"/>
      <c r="D56" s="8"/>
    </row>
    <row r="57" spans="1:17" x14ac:dyDescent="0.25">
      <c r="A57" s="8"/>
      <c r="B57" s="8"/>
      <c r="C57" s="8"/>
      <c r="D57" s="8"/>
    </row>
    <row r="58" spans="1:17" x14ac:dyDescent="0.25">
      <c r="A58" s="8"/>
      <c r="B58" s="8"/>
      <c r="C58" s="8"/>
      <c r="D58" s="8"/>
    </row>
    <row r="59" spans="1:17" x14ac:dyDescent="0.25">
      <c r="A59" s="8"/>
      <c r="B59" s="8"/>
      <c r="C59" s="8"/>
      <c r="D59" s="8"/>
    </row>
    <row r="60" spans="1:17" x14ac:dyDescent="0.25">
      <c r="A60" s="8"/>
      <c r="B60" s="8"/>
      <c r="C60" s="8"/>
      <c r="D60" s="8"/>
    </row>
    <row r="61" spans="1:17" x14ac:dyDescent="0.25">
      <c r="A61" s="8"/>
      <c r="B61" s="8"/>
      <c r="C61" s="8"/>
      <c r="D61" s="8"/>
    </row>
    <row r="62" spans="1:17" x14ac:dyDescent="0.25">
      <c r="A62" s="8"/>
      <c r="B62" s="8"/>
      <c r="C62" s="8"/>
      <c r="D62" s="8"/>
    </row>
    <row r="63" spans="1:17" x14ac:dyDescent="0.25">
      <c r="A63" s="8"/>
      <c r="B63" s="8"/>
      <c r="C63" s="8"/>
      <c r="D63" s="8"/>
    </row>
    <row r="64" spans="1:17" x14ac:dyDescent="0.25">
      <c r="A64" s="8"/>
      <c r="B64" s="8"/>
      <c r="C64" s="8"/>
      <c r="D64" s="8"/>
    </row>
    <row r="65" spans="1:17" x14ac:dyDescent="0.25">
      <c r="A65" s="8" t="str">
        <f>"  - '&amp;7• &amp;8"&amp;MAIN!$C$12&amp;" lvl: &amp;a"&amp;ROUNDUP((MAIN!$C$93+($C$2*MAIN!$I$27))/3,0)&amp;"'"</f>
        <v xml:space="preserve">  - '&amp;7• &amp;8Esencia lvl: &amp;a4'</v>
      </c>
      <c r="B65" s="8"/>
      <c r="C65" s="8"/>
      <c r="D65" s="8"/>
      <c r="E65" t="str">
        <f>"  - '&amp;7• &amp;8"&amp;MAIN!$C$12&amp;" lvl: &amp;a"&amp;ROUNDUP((MAIN!$D$93+($C$2*MAIN!$I$27))/3,0)&amp;"'"</f>
        <v xml:space="preserve">  - '&amp;7• &amp;8Esencia lvl: &amp;a9'</v>
      </c>
      <c r="I65" t="str">
        <f>"  - '&amp;7• &amp;8"&amp;MAIN!$C$12&amp;" lvl: &amp;a"&amp;ROUNDUP((MAIN!$E$93+($C$2*MAIN!$I$27))/3,0)&amp;"'"</f>
        <v xml:space="preserve">  - '&amp;7• &amp;8Esencia lvl: &amp;a23'</v>
      </c>
      <c r="M65" t="str">
        <f>"  - '&amp;7• &amp;8"&amp;MAIN!$C$12&amp;" lvl: &amp;a"&amp;ROUNDUP((MAIN!$F$93+($C$2*MAIN!$I$27))/3,0)&amp;"'"</f>
        <v xml:space="preserve">  - '&amp;7• &amp;8Esencia lvl: &amp;a66'</v>
      </c>
      <c r="Q65" t="str">
        <f>"  - '&amp;7• &amp;8"&amp;MAIN!$C$12&amp;" lvl: &amp;a"&amp;ROUNDUP((MAIN!$G$93+($C$2*MAIN!$I$27))/3,0)&amp;"'"</f>
        <v xml:space="preserve">  - '&amp;7• &amp;8Esencia lvl: &amp;a130'</v>
      </c>
    </row>
    <row r="66" spans="1:17" x14ac:dyDescent="0.25">
      <c r="A66" s="8"/>
      <c r="B66" s="8"/>
      <c r="C66" s="8"/>
      <c r="D66" s="8"/>
    </row>
    <row r="67" spans="1:17" x14ac:dyDescent="0.25">
      <c r="A67" s="8"/>
      <c r="B67" s="8"/>
      <c r="C67" s="8"/>
      <c r="D67" s="8"/>
    </row>
    <row r="68" spans="1:17" x14ac:dyDescent="0.25">
      <c r="A68" s="8"/>
      <c r="B68" s="8"/>
      <c r="C68" s="8"/>
      <c r="D68" s="8"/>
    </row>
    <row r="69" spans="1:17" x14ac:dyDescent="0.25">
      <c r="A69" s="8"/>
      <c r="B69" s="8"/>
      <c r="C69" s="8"/>
      <c r="D69" s="8"/>
    </row>
    <row r="70" spans="1:17" x14ac:dyDescent="0.25">
      <c r="A70" s="8"/>
      <c r="B70" s="8"/>
      <c r="C70" s="8"/>
      <c r="D70" s="8"/>
    </row>
    <row r="71" spans="1:17" x14ac:dyDescent="0.25">
      <c r="A71" s="8"/>
      <c r="B71" s="8"/>
      <c r="C71" s="8"/>
      <c r="D71" s="8"/>
    </row>
    <row r="72" spans="1:17" x14ac:dyDescent="0.25">
      <c r="A72" s="8"/>
      <c r="B72" s="8"/>
      <c r="C72" s="8"/>
      <c r="D72" s="8"/>
    </row>
    <row r="73" spans="1:17" x14ac:dyDescent="0.25">
      <c r="A73" s="8"/>
      <c r="B73" s="8"/>
      <c r="C73" s="8"/>
      <c r="D73" s="8"/>
    </row>
    <row r="74" spans="1:17" x14ac:dyDescent="0.25">
      <c r="A74" s="8" t="str">
        <f>"  - '&amp;4• &amp;f"&amp;MAIN!$C$12&amp;": &amp;a"&amp;MAIN!$C$88*$C$2&amp;"'"</f>
        <v xml:space="preserve">  - '&amp;4• &amp;fEsencia: &amp;a4'</v>
      </c>
      <c r="B74" s="8"/>
      <c r="C74" s="8"/>
      <c r="D74" s="8"/>
      <c r="E74" t="str">
        <f>"  - '&amp;4• &amp;f"&amp;MAIN!$C$12&amp;": &amp;a"&amp;MAIN!$D$88*$C$2&amp;"'"</f>
        <v xml:space="preserve">  - '&amp;4• &amp;fEsencia: &amp;a6'</v>
      </c>
      <c r="I74" t="str">
        <f>"  - '&amp;4• &amp;f"&amp;MAIN!$C$12&amp;": &amp;a"&amp;MAIN!$E$88*$C$2&amp;"'"</f>
        <v xml:space="preserve">  - '&amp;4• &amp;fEsencia: &amp;a10'</v>
      </c>
      <c r="M74" t="str">
        <f>"  - '&amp;4• &amp;f"&amp;MAIN!$C$12&amp;": &amp;a"&amp;MAIN!$F$88*$C$2&amp;"'"</f>
        <v xml:space="preserve">  - '&amp;4• &amp;fEsencia: &amp;a17'</v>
      </c>
      <c r="Q74" t="str">
        <f>"  - '&amp;4• &amp;f"&amp;MAIN!$C$12&amp;": &amp;a"&amp;MAIN!$G$88*$C$2&amp;"'"</f>
        <v xml:space="preserve">  - '&amp;4• &amp;fEsencia: &amp;a28'</v>
      </c>
    </row>
    <row r="75" spans="1:17" x14ac:dyDescent="0.25">
      <c r="A75" s="8"/>
      <c r="B75" s="8"/>
      <c r="C75" s="8"/>
      <c r="D75" s="8"/>
    </row>
    <row r="76" spans="1:17" x14ac:dyDescent="0.25">
      <c r="A76" s="8"/>
      <c r="B76" s="8"/>
      <c r="C76" s="8"/>
      <c r="D76" s="8"/>
    </row>
    <row r="77" spans="1:17" x14ac:dyDescent="0.25">
      <c r="A77" s="8"/>
      <c r="B77" s="8"/>
      <c r="C77" s="8"/>
      <c r="D77" s="8"/>
    </row>
    <row r="78" spans="1:17" x14ac:dyDescent="0.25">
      <c r="A78" s="8"/>
      <c r="B78" s="8"/>
      <c r="C78" s="8"/>
      <c r="D78" s="8"/>
    </row>
    <row r="79" spans="1:17" x14ac:dyDescent="0.25">
      <c r="A79" s="8"/>
      <c r="B79" s="8"/>
      <c r="C79" s="8"/>
      <c r="D79" s="8"/>
    </row>
    <row r="80" spans="1:17"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sheetData>
  <mergeCells count="17">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 ref="K2:L2"/>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Z148"/>
  <sheetViews>
    <sheetView topLeftCell="A25" workbookViewId="0">
      <selection activeCell="A38" sqref="A38:XFD40"/>
    </sheetView>
  </sheetViews>
  <sheetFormatPr baseColWidth="10" defaultRowHeight="15" x14ac:dyDescent="0.25"/>
  <sheetData>
    <row r="1" spans="1:26" ht="30.75" customHeight="1" x14ac:dyDescent="0.25">
      <c r="A1" s="351" t="s">
        <v>19</v>
      </c>
      <c r="B1" s="351"/>
      <c r="C1" s="351" t="s">
        <v>70</v>
      </c>
      <c r="D1" s="351"/>
      <c r="E1" s="351" t="s">
        <v>80</v>
      </c>
      <c r="F1" s="351"/>
      <c r="G1" s="351" t="s">
        <v>89</v>
      </c>
      <c r="H1" s="351"/>
      <c r="I1" s="351" t="s">
        <v>1197</v>
      </c>
      <c r="J1" s="351"/>
      <c r="K1" s="351" t="s">
        <v>1199</v>
      </c>
      <c r="L1" s="351"/>
    </row>
    <row r="2" spans="1:26" x14ac:dyDescent="0.25">
      <c r="A2" s="301" t="s">
        <v>36</v>
      </c>
      <c r="B2" s="301"/>
      <c r="C2" s="301">
        <f>'ECONOMIA &amp; PROFESIONES'!$N$3</f>
        <v>1</v>
      </c>
      <c r="D2" s="301"/>
      <c r="E2" s="301" t="s">
        <v>81</v>
      </c>
      <c r="F2" s="301"/>
      <c r="G2" s="301" t="s">
        <v>90</v>
      </c>
      <c r="H2" s="301"/>
      <c r="I2" s="301" t="str">
        <f>MAIN!$J$53</f>
        <v>Armor</v>
      </c>
      <c r="J2" s="301"/>
      <c r="K2" s="301">
        <f>MAIN!$L$53</f>
        <v>1</v>
      </c>
      <c r="L2" s="301"/>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"+"&amp;ROUND(MAIN!$C$66*$C$2*$K$2/5*$U$4,0)&amp;" "&amp;$I$2</f>
        <v>+2 Armor</v>
      </c>
      <c r="W4" s="2" t="str">
        <f>"+"&amp;ROUND(MAIN!$D$66*$C$2*$K$2/5*$U$4,0)&amp;" "&amp;$I$2</f>
        <v>+3 Armor</v>
      </c>
      <c r="X4" s="2" t="str">
        <f>"+"&amp;ROUND(MAIN!$E$66*$C$2*$K$2/5*$U$4,0)&amp;" "&amp;$I$2</f>
        <v>+4 Armor</v>
      </c>
      <c r="Y4" s="2" t="str">
        <f>"+"&amp;ROUND(MAIN!$F$66*$C$2*$K$2/5*$U$4,0)&amp;" "&amp;$I$2</f>
        <v>+7 Armor</v>
      </c>
      <c r="Z4" s="2" t="str">
        <f>"+"&amp;ROUND(MAIN!$G$66*$C$2*$K$2/5*$U$4,0)&amp;" "&amp;$I$2</f>
        <v>+12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"+"&amp;ROUND(MAIN!$C$66*$C$2*$K$2/5*$U$5,0)&amp;" "&amp;$I$2</f>
        <v>+3 Armor</v>
      </c>
      <c r="W5" s="2" t="str">
        <f>"+"&amp;ROUND(MAIN!$D$66*$C$2*$K$2/5*$U$5,0)&amp;" "&amp;$I$2</f>
        <v>+5 Armor</v>
      </c>
      <c r="X5" s="2" t="str">
        <f>"+"&amp;ROUND(MAIN!$E$66*$C$2*$K$2/5*$U$5,0)&amp;" "&amp;$I$2</f>
        <v>+9 Armor</v>
      </c>
      <c r="Y5" s="2" t="str">
        <f>"+"&amp;ROUND(MAIN!$F$66*$C$2*$K$2/5*$U$5,0)&amp;" "&amp;$I$2</f>
        <v>+15 Armor</v>
      </c>
      <c r="Z5" s="2" t="str">
        <f>"+"&amp;ROUND(MAIN!$G$66*$C$2*$K$2/5*$U$5,0)&amp;" "&amp;$I$2</f>
        <v>+25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+5 Armor</v>
      </c>
      <c r="W6" s="2" t="str">
        <f>"+"&amp;ROUND(MAIN!$D$66*$C$2*$K$2/5*$U$6,0)&amp;" "&amp;$I$2</f>
        <v>+8 Armor</v>
      </c>
      <c r="X6" s="2" t="str">
        <f>"+"&amp;ROUND(MAIN!$E$66*$C$2*$K$2/5*$U$6,0)&amp;" "&amp;$I$2</f>
        <v>+13 Armor</v>
      </c>
      <c r="Y6" s="2" t="str">
        <f>"+"&amp;ROUND(MAIN!$F$66*$C$2*$K$2/5*$U$6,0)&amp;" "&amp;$I$2</f>
        <v>+22 Armor</v>
      </c>
      <c r="Z6" s="2" t="str">
        <f>"+"&amp;ROUND(MAIN!$G$66*$C$2*$K$2/5*$U$6,0)&amp;" "&amp;$I$2</f>
        <v>+37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+6 Armor</v>
      </c>
      <c r="W7" s="2" t="str">
        <f>"+"&amp;ROUND(MAIN!$D$66*$C$2*$K$2/5*$U$7,0)&amp;" "&amp;$I$2</f>
        <v>+10 Armor</v>
      </c>
      <c r="X7" s="2" t="str">
        <f>"+"&amp;ROUND(MAIN!$E$66*$C$2*$K$2/5*$U$7,0)&amp;" "&amp;$I$2</f>
        <v>+18 Armor</v>
      </c>
      <c r="Y7" s="2" t="str">
        <f>"+"&amp;ROUND(MAIN!$F$66*$C$2*$K$2/5*$U$7,0)&amp;" "&amp;$I$2</f>
        <v>+30 Armor</v>
      </c>
      <c r="Z7" s="2" t="str">
        <f>"+"&amp;ROUND(MAIN!$G$66*$C$2*$K$2/5*$U$7,0)&amp;" "&amp;$I$2</f>
        <v>+50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+8 Armor</v>
      </c>
      <c r="W8" s="2" t="str">
        <f>"+"&amp;ROUND(MAIN!$D$66*$C$2*$K$2/5*$U$8,0)&amp;" "&amp;$I$2</f>
        <v>+13 Armor</v>
      </c>
      <c r="X8" s="2" t="str">
        <f>"+"&amp;ROUND(MAIN!$E$66*$C$2*$K$2/5*$U$8,0)&amp;" "&amp;$I$2</f>
        <v>+22 Armor</v>
      </c>
      <c r="Y8" s="2" t="str">
        <f>"+"&amp;ROUND(MAIN!$F$66*$C$2*$K$2/5*$U$8,0)&amp;" "&amp;$I$2</f>
        <v>+37 Armor</v>
      </c>
      <c r="Z8" s="2" t="str">
        <f>"+"&amp;ROUND(MAIN!$G$66*$C$2*$K$2/5*$U$8,0)&amp;" "&amp;$I$2</f>
        <v>+62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'armas comun'!$A$12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'armas comun'!$A$13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'armas comun'!$A$15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'armas comun'!$A$18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'armas comun'!$A$19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&amp;6"&amp;(MAIN!$F$3+(MAIN!$C$18+MAIN!$C$19)/2*MAIN!$B$9+(MAIN!$C$20+MAIN!$C$21)/2*MAIN!$B$8+(MAIN!$C$69*MAIN!$B$11)+($C$2*MAIN!$B$10))/10&amp;" &amp;aAlmakos'"</f>
        <v xml:space="preserve">  - '&amp;aVenta: &amp;6210 &amp;aAlmakos'</v>
      </c>
      <c r="B21" s="20"/>
      <c r="C21" s="20"/>
      <c r="D21" s="20"/>
      <c r="E21" s="20" t="str">
        <f>"  - '&amp;aVenta: &amp;6"&amp;(MAIN!$G$3+(MAIN!$C$18+MAIN!$C$19)/2*MAIN!$B$9+(MAIN!$C$20+MAIN!$C$21)/2*MAIN!$B$8+(MAIN!$C$69*MAIN!$B$11)+($C$2*MAIN!$B$10))/10&amp;" &amp;aAlmakos'"</f>
        <v xml:space="preserve">  - '&amp;aVenta: &amp;6370 &amp;aAlmakos'</v>
      </c>
      <c r="F21" s="20"/>
      <c r="G21" s="20"/>
      <c r="H21" s="20"/>
      <c r="I21" s="20" t="str">
        <f>"  - '&amp;aVenta: &amp;6"&amp;(MAIN!$H$3+(MAIN!$C$18+MAIN!$C$19)/2*MAIN!$B$9+(MAIN!$C$20+MAIN!$C$21)/2*MAIN!$B$8+(MAIN!$C$69*MAIN!$B$11)+($C$2*MAIN!$B$10))/10&amp;" &amp;aAlmakos'"</f>
        <v xml:space="preserve">  - '&amp;aVenta: &amp;6690 &amp;aAlmakos'</v>
      </c>
      <c r="J21" s="20"/>
      <c r="K21" s="20"/>
      <c r="L21" s="20"/>
      <c r="M21" s="20" t="str">
        <f>"  - '&amp;aVenta: &amp;6"&amp;(MAIN!$I$3+(MAIN!$C$18+MAIN!$C$19)/2*MAIN!$B$9+(MAIN!$C$20+MAIN!$C$21)/2*MAIN!$B$8+(MAIN!$C$69*MAIN!$B$11)+($C$2*MAIN!$B$10))/10&amp;" &amp;aAlmakos'"</f>
        <v xml:space="preserve">  - '&amp;aVenta: &amp;61330 &amp;aAlmakos'</v>
      </c>
      <c r="N21" s="20"/>
      <c r="O21" s="20"/>
      <c r="P21" s="20"/>
      <c r="Q21" s="20" t="str">
        <f>"  - '&amp;aVenta: &amp;6"&amp;(MAIN!$J$3+(MAIN!$C$18+MAIN!$C$19)/2*MAIN!$B$9+(MAIN!$C$20+MAIN!$C$21)/2*MAIN!$B$8+(MAIN!$C$69*MAIN!$B$11)+($C$2*MAIN!$B$10))/10&amp;" &amp;aAlmakos'"</f>
        <v xml:space="preserve">  - '&amp;aVenta: &amp;62610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&amp;a"&amp;MAIN!$C$71+($C$2*MAIN!$I$27)&amp;"'"</f>
        <v xml:space="preserve">  - '&amp;7• &amp;8Nivel: &amp;a19'</v>
      </c>
      <c r="B25" s="10"/>
      <c r="C25" s="10"/>
      <c r="D25" s="10"/>
      <c r="E25" s="10" t="str">
        <f>"  - '&amp;7• &amp;8Nivel: &amp;a"&amp;MAIN!$D$71+($C$2*MAIN!$I$27)&amp;"'"</f>
        <v xml:space="preserve">  - '&amp;7• &amp;8Nivel: &amp;a47'</v>
      </c>
      <c r="F25" s="10"/>
      <c r="G25" s="10"/>
      <c r="H25" s="10"/>
      <c r="I25" s="10" t="str">
        <f>"  - '&amp;7• &amp;8Nivel: &amp;a"&amp;MAIN!$E$71+($C$2*MAIN!$I$27)&amp;"'"</f>
        <v xml:space="preserve">  - '&amp;7• &amp;8Nivel: &amp;a133'</v>
      </c>
      <c r="J25" s="10"/>
      <c r="K25" s="10"/>
      <c r="L25" s="10"/>
      <c r="M25" s="10" t="str">
        <f>"  - '&amp;7• &amp;8Nivel: &amp;a"&amp;MAIN!$F$71+($C$2*MAIN!$I$27)&amp;"'"</f>
        <v xml:space="preserve">  - '&amp;7• &amp;8Nivel: &amp;a389'</v>
      </c>
      <c r="N25" s="10"/>
      <c r="O25" s="10"/>
      <c r="P25" s="10"/>
      <c r="Q25" s="10" t="str">
        <f>"  - '&amp;7• &amp;8Nivel: &amp;a"&amp;MAIN!$G$71+($C$2*MAIN!$I$27)&amp;"'"</f>
        <v xml:space="preserve">  - '&amp;7• &amp;8Nivel: &amp;a773'</v>
      </c>
      <c r="R25" s="10"/>
      <c r="S25" s="10"/>
      <c r="T25" s="10"/>
    </row>
    <row r="26" spans="1:20" x14ac:dyDescent="0.25">
      <c r="A26" s="12" t="str">
        <f>"  - '&amp;7• &amp;8"&amp;MAIN!$C$12&amp;" lvl: &amp;a"&amp;ROUNDUP((MAIN!$C$71+($C$2*MAIN!$I$27))/3,0)&amp;"'"</f>
        <v xml:space="preserve">  - '&amp;7• &amp;8Esencia lvl: &amp;a7'</v>
      </c>
      <c r="B26" s="12"/>
      <c r="C26" s="12"/>
      <c r="D26" s="12"/>
      <c r="E26" s="12" t="str">
        <f>"  - '&amp;7• &amp;8"&amp;MAIN!$C$12&amp;" lvl: &amp;a"&amp;ROUNDUP((MAIN!$D$71+($C$2*MAIN!$I$27))/3,0)&amp;"'"</f>
        <v xml:space="preserve">  - '&amp;7• &amp;8Esencia lvl: &amp;a16'</v>
      </c>
      <c r="F26" s="12"/>
      <c r="G26" s="12"/>
      <c r="H26" s="12"/>
      <c r="I26" s="12" t="str">
        <f>"  - '&amp;7• &amp;8"&amp;MAIN!$C$12&amp;" lvl: &amp;a"&amp;ROUNDUP((MAIN!$E$71+($C$2*MAIN!$I$27))/3,0)&amp;"'"</f>
        <v xml:space="preserve">  - '&amp;7• &amp;8Esencia lvl: &amp;a45'</v>
      </c>
      <c r="J26" s="12"/>
      <c r="K26" s="12"/>
      <c r="L26" s="12"/>
      <c r="M26" s="12" t="str">
        <f>"  - '&amp;7• &amp;8"&amp;MAIN!$C$12&amp;" lvl: &amp;a"&amp;ROUNDUP((MAIN!$F$71+($C$2*MAIN!$I$27))/3,0)&amp;"'"</f>
        <v xml:space="preserve">  - '&amp;7• &amp;8Esencia lvl: &amp;a130'</v>
      </c>
      <c r="N26" s="12"/>
      <c r="O26" s="12"/>
      <c r="P26" s="12"/>
      <c r="Q26" s="12" t="str">
        <f>"  - '&amp;7• &amp;8"&amp;MAIN!$C$12&amp;" lvl: &amp;a"&amp;ROUNDUP((MAIN!$G$71+($C$2*MAIN!$I$27))/3,0)&amp;"'"</f>
        <v xml:space="preserve">  - '&amp;7• &amp;8Esencia lvl: &amp;a258'</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1196</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&amp;a"&amp;MAIN!$C$66*$C$2&amp;"'"</f>
        <v xml:space="preserve">  - '&amp;4• &amp;fFuerza: &amp;a8'</v>
      </c>
      <c r="B30" s="10"/>
      <c r="C30" s="10"/>
      <c r="D30" s="10"/>
      <c r="E30" s="10" t="str">
        <f>"  - '&amp;4• &amp;f"&amp;MAIN!$C$9&amp;": &amp;a"&amp;MAIN!$D$66*$C$2&amp;"'"</f>
        <v xml:space="preserve">  - '&amp;4• &amp;fFuerza: &amp;a13'</v>
      </c>
      <c r="F30" s="10"/>
      <c r="G30" s="10"/>
      <c r="H30" s="10"/>
      <c r="I30" s="10" t="str">
        <f>"  - '&amp;4• &amp;f"&amp;MAIN!$C$9&amp;": &amp;a"&amp;MAIN!$E$66*$C$2&amp;"'"</f>
        <v xml:space="preserve">  - '&amp;4• &amp;fFuerza: &amp;a22'</v>
      </c>
      <c r="J30" s="10"/>
      <c r="K30" s="10"/>
      <c r="L30" s="10"/>
      <c r="M30" s="10" t="str">
        <f>"  - '&amp;4• &amp;f"&amp;MAIN!$C$9&amp;": &amp;a"&amp;MAIN!$F$66*$C$2&amp;"'"</f>
        <v xml:space="preserve">  - '&amp;4• &amp;fFuerza: &amp;a37'</v>
      </c>
      <c r="N30" s="10"/>
      <c r="O30" s="10"/>
      <c r="P30" s="10"/>
      <c r="Q30" s="10" t="str">
        <f>"  - '&amp;4• &amp;f"&amp;MAIN!$C$9&amp;": &amp;a"&amp;MAIN!$G$66*$C$2&amp;"'"</f>
        <v xml:space="preserve">  - '&amp;4• &amp;fFuerza: &amp;a62'</v>
      </c>
      <c r="R30" s="10"/>
      <c r="S30" s="10"/>
      <c r="T30" s="10"/>
    </row>
    <row r="31" spans="1:20" x14ac:dyDescent="0.25">
      <c r="A31" s="10" t="str">
        <f>"  - '&amp;4• &amp;f"&amp;MAIN!$C$8&amp;": &amp;a"&amp;MAIN!$C$66*$C$2&amp;"'"</f>
        <v xml:space="preserve">  - '&amp;4• &amp;fVitalidad: &amp;a8'</v>
      </c>
      <c r="B31" s="10"/>
      <c r="C31" s="10"/>
      <c r="D31" s="10"/>
      <c r="E31" s="10" t="str">
        <f>"  - '&amp;4• &amp;f"&amp;MAIN!$C$8&amp;": &amp;a"&amp;MAIN!$D$66*$C$2&amp;"'"</f>
        <v xml:space="preserve">  - '&amp;4• &amp;fVitalidad: &amp;a13'</v>
      </c>
      <c r="F31" s="10"/>
      <c r="G31" s="10"/>
      <c r="H31" s="10"/>
      <c r="I31" s="10" t="str">
        <f>"  - '&amp;4• &amp;f"&amp;MAIN!$C$8&amp;": &amp;a"&amp;MAIN!$F$66*$C$2&amp;"'"</f>
        <v xml:space="preserve">  - '&amp;4• &amp;fVitalidad: &amp;a37'</v>
      </c>
      <c r="J31" s="10"/>
      <c r="K31" s="10"/>
      <c r="L31" s="10"/>
      <c r="M31" s="10" t="str">
        <f>"  - '&amp;4• &amp;f"&amp;MAIN!$C$8&amp;": &amp;a"&amp;MAIN!$F$66*$C$2&amp;"'"</f>
        <v xml:space="preserve">  - '&amp;4• &amp;fVitalidad: &amp;a37'</v>
      </c>
      <c r="N31" s="10"/>
      <c r="O31" s="10"/>
      <c r="P31" s="10"/>
      <c r="Q31" s="10" t="str">
        <f>"  - '&amp;4• &amp;f"&amp;MAIN!$C$8&amp;": &amp;a"&amp;MAIN!$G$66*$C$2&amp;"'"</f>
        <v xml:space="preserve">  - '&amp;4• &amp;fVitalidad: &amp;a62'</v>
      </c>
      <c r="R31" s="10"/>
      <c r="S31" s="10"/>
      <c r="T31" s="10"/>
    </row>
    <row r="32" spans="1:20" x14ac:dyDescent="0.25">
      <c r="A32" s="10" t="str">
        <f>"  - '&amp;4• &amp;f"&amp;MAIN!$C$11&amp;": &amp;a"&amp;MAIN!$C$68*$C$2&amp;"'"</f>
        <v xml:space="preserve">  - '&amp;4• &amp;fInteligencia: &amp;a8'</v>
      </c>
      <c r="B32" s="10"/>
      <c r="C32" s="10"/>
      <c r="D32" s="10"/>
      <c r="E32" s="10" t="str">
        <f>"  - '&amp;4• &amp;f"&amp;MAIN!$C$11&amp;": &amp;a"&amp;MAIN!$D$68*$C$2&amp;"'"</f>
        <v xml:space="preserve">  - '&amp;4• &amp;fInteligencia: &amp;a13'</v>
      </c>
      <c r="F32" s="10"/>
      <c r="G32" s="10"/>
      <c r="H32" s="10"/>
      <c r="I32" s="10" t="str">
        <f>"  - '&amp;4• &amp;f"&amp;MAIN!$C$11&amp;": &amp;a"&amp;MAIN!$E$67*$C$2&amp;"'"</f>
        <v xml:space="preserve">  - '&amp;4• &amp;fInteligencia: &amp;a22'</v>
      </c>
      <c r="J32" s="10"/>
      <c r="K32" s="10"/>
      <c r="L32" s="10"/>
      <c r="M32" s="10" t="str">
        <f>"  - '&amp;4• &amp;f"&amp;MAIN!$C$11&amp;": &amp;a"&amp;MAIN!$F$68*$C$2&amp;"'"</f>
        <v xml:space="preserve">  - '&amp;4• &amp;fInteligencia: &amp;a37'</v>
      </c>
      <c r="N32" s="10"/>
      <c r="O32" s="10"/>
      <c r="P32" s="10"/>
      <c r="Q32" s="10" t="str">
        <f>"  - '&amp;4• &amp;f"&amp;MAIN!$C$11&amp;": &amp;a"&amp;MAIN!$G$68*$C$2&amp;"'"</f>
        <v xml:space="preserve">  - '&amp;4• &amp;fInteligencia: &amp;a62'</v>
      </c>
      <c r="R32" s="10"/>
      <c r="S32" s="10"/>
      <c r="T32" s="10"/>
    </row>
    <row r="33" spans="1:20" x14ac:dyDescent="0.25">
      <c r="A33" s="10" t="str">
        <f>"  - '&amp;4• &amp;f"&amp;MAIN!$C$10&amp;": &amp;a"&amp;MAIN!$C$67*$C$2&amp;"'"</f>
        <v xml:space="preserve">  - '&amp;4• &amp;fAgilidad: &amp;a8'</v>
      </c>
      <c r="B33" s="10"/>
      <c r="C33" s="10"/>
      <c r="D33" s="10"/>
      <c r="E33" s="10" t="str">
        <f>"  - '&amp;4• &amp;f"&amp;MAIN!$C$10&amp;": &amp;a"&amp;MAIN!$D$67*$C$2&amp;"'"</f>
        <v xml:space="preserve">  - '&amp;4• &amp;fAgilidad: &amp;a13'</v>
      </c>
      <c r="F33" s="10"/>
      <c r="G33" s="10"/>
      <c r="H33" s="10"/>
      <c r="I33" s="10" t="str">
        <f>"  - '&amp;4• &amp;f"&amp;MAIN!$C$10&amp;": &amp;a"&amp;MAIN!$E$67*$C$2&amp;"'"</f>
        <v xml:space="preserve">  - '&amp;4• &amp;fAgilidad: &amp;a22'</v>
      </c>
      <c r="J33" s="10"/>
      <c r="K33" s="10"/>
      <c r="L33" s="10"/>
      <c r="M33" s="10" t="str">
        <f>"  - '&amp;4• &amp;f"&amp;MAIN!$C$10&amp;": &amp;a"&amp;MAIN!$F$67*$C$2&amp;"'"</f>
        <v xml:space="preserve">  - '&amp;4• &amp;fAgilidad: &amp;a37'</v>
      </c>
      <c r="N33" s="10"/>
      <c r="O33" s="10"/>
      <c r="P33" s="10"/>
      <c r="Q33" s="10" t="str">
        <f>"  - '&amp;4• &amp;f"&amp;MAIN!$C$10&amp;": &amp;a"&amp;MAIN!$G$67*$C$2&amp;"'"</f>
        <v xml:space="preserve">  - '&amp;4• &amp;fAgilidad: &amp;a62'</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 t="shared" ref="E36" si="21">$A$36</f>
        <v>minimumSockets: 0</v>
      </c>
      <c r="F36" s="11"/>
      <c r="G36" s="11"/>
      <c r="H36" s="11"/>
      <c r="I36" s="11" t="str">
        <f t="shared" ref="I36" si="22">$A$36</f>
        <v>minimumSockets: 0</v>
      </c>
      <c r="J36" s="11"/>
      <c r="K36" s="11"/>
      <c r="L36" s="11"/>
      <c r="M36" s="11" t="str">
        <f t="shared" ref="M36" si="23">$A$36</f>
        <v>minimumSockets: 0</v>
      </c>
      <c r="N36" s="11"/>
      <c r="O36" s="11"/>
      <c r="P36" s="11"/>
      <c r="Q36" s="11" t="str">
        <f t="shared" ref="Q36" si="24">$A$36</f>
        <v>minimumSockets: 0</v>
      </c>
      <c r="R36" s="11"/>
      <c r="S36" s="11"/>
      <c r="T36" s="11"/>
    </row>
    <row r="37" spans="1:20" x14ac:dyDescent="0.25">
      <c r="A37" s="11" t="str">
        <f>'armas comun'!$A$37</f>
        <v>maximumSockets: 0</v>
      </c>
      <c r="B37" s="11"/>
      <c r="C37" s="11"/>
      <c r="D37" s="11"/>
      <c r="E37" s="11" t="str">
        <f t="shared" ref="E37" si="25">$A$37</f>
        <v>maximumSockets: 0</v>
      </c>
      <c r="F37" s="11"/>
      <c r="G37" s="11"/>
      <c r="H37" s="11"/>
      <c r="I37" s="11" t="str">
        <f t="shared" ref="I37" si="26">$A$37</f>
        <v>maximumSockets: 0</v>
      </c>
      <c r="J37" s="11"/>
      <c r="K37" s="11"/>
      <c r="L37" s="11"/>
      <c r="M37" s="11" t="str">
        <f t="shared" ref="M37" si="27">$A$37</f>
        <v>maximumSockets: 0</v>
      </c>
      <c r="N37" s="11"/>
      <c r="O37" s="11"/>
      <c r="P37" s="11"/>
      <c r="Q37" s="11" t="str">
        <f t="shared" ref="Q37" si="28">$A$37</f>
        <v>maximumSockets: 0</v>
      </c>
      <c r="R37" s="11"/>
      <c r="S37" s="11"/>
      <c r="T37" s="11"/>
    </row>
    <row r="38" spans="1:20" s="293"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92"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3"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09" t="str">
        <f>$A$42</f>
        <v>broadcastOnFind: false</v>
      </c>
      <c r="F42" s="11"/>
      <c r="G42" s="11"/>
      <c r="H42" s="11"/>
      <c r="I42" s="11" t="str">
        <f>E42</f>
        <v>broadcastOnFind: false</v>
      </c>
      <c r="J42" s="11"/>
      <c r="K42" s="11"/>
      <c r="L42" s="11"/>
      <c r="M42" s="11" t="str">
        <f>I42</f>
        <v>broadcastOnFind: false</v>
      </c>
      <c r="N42" s="11"/>
      <c r="O42" s="11"/>
      <c r="P42" s="11"/>
      <c r="Q42" s="11" t="str">
        <f t="shared" ref="Q42" si="29">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8"/>
    </row>
    <row r="48" spans="1:20" x14ac:dyDescent="0.25">
      <c r="A48" s="8"/>
      <c r="E48" s="13"/>
      <c r="F48" s="13"/>
    </row>
    <row r="49" spans="1:9" x14ac:dyDescent="0.25">
      <c r="A49" s="8"/>
      <c r="D49" s="13"/>
      <c r="E49" s="13"/>
      <c r="F49" s="13"/>
    </row>
    <row r="50" spans="1:9" x14ac:dyDescent="0.25">
      <c r="A50" s="8"/>
      <c r="D50" s="13"/>
      <c r="E50" s="13"/>
      <c r="F50" s="13"/>
    </row>
    <row r="51" spans="1:9" x14ac:dyDescent="0.25">
      <c r="A51" s="8"/>
      <c r="D51" s="13"/>
      <c r="G51" s="13"/>
      <c r="H51" s="13"/>
      <c r="I51" s="13"/>
    </row>
    <row r="52" spans="1:9" x14ac:dyDescent="0.25">
      <c r="A52" s="8"/>
      <c r="B52" s="8"/>
      <c r="C52" s="8"/>
      <c r="D52" s="8"/>
      <c r="G52" s="13"/>
      <c r="H52" s="13"/>
      <c r="I52" s="13"/>
    </row>
    <row r="53" spans="1:9" x14ac:dyDescent="0.25">
      <c r="A53" s="8"/>
      <c r="B53" s="8"/>
      <c r="C53" s="8"/>
      <c r="D53" s="8"/>
      <c r="G53" s="13"/>
      <c r="H53" s="13"/>
      <c r="I53" s="13"/>
    </row>
    <row r="54" spans="1:9" x14ac:dyDescent="0.25">
      <c r="A54" s="8"/>
      <c r="B54" s="8"/>
      <c r="C54" s="8"/>
      <c r="D54" s="8"/>
      <c r="G54" s="13"/>
      <c r="H54" s="13"/>
      <c r="I54" s="13"/>
    </row>
    <row r="55" spans="1:9" x14ac:dyDescent="0.25">
      <c r="A55" s="8"/>
      <c r="B55" s="8"/>
      <c r="C55" s="8"/>
      <c r="D55" s="8"/>
      <c r="G55" s="13"/>
      <c r="H55" s="13"/>
      <c r="I55" s="13"/>
    </row>
    <row r="56" spans="1:9" x14ac:dyDescent="0.25">
      <c r="A56" s="8"/>
      <c r="B56" s="8"/>
      <c r="C56" s="8"/>
      <c r="D56" s="8"/>
    </row>
    <row r="57" spans="1:9" x14ac:dyDescent="0.25">
      <c r="A57" s="8"/>
      <c r="B57" s="8"/>
      <c r="C57" s="8"/>
      <c r="D57" s="8"/>
    </row>
    <row r="58" spans="1:9" x14ac:dyDescent="0.25">
      <c r="A58" s="8"/>
      <c r="B58" s="8"/>
      <c r="C58" s="8"/>
      <c r="D58" s="8"/>
    </row>
    <row r="59" spans="1:9" x14ac:dyDescent="0.25">
      <c r="A59" s="8"/>
      <c r="B59" s="8"/>
      <c r="C59" s="8"/>
      <c r="D59" s="8"/>
    </row>
    <row r="60" spans="1:9" x14ac:dyDescent="0.25">
      <c r="A60" s="8"/>
      <c r="B60" s="8"/>
      <c r="C60" s="8"/>
      <c r="D60" s="8"/>
    </row>
    <row r="61" spans="1:9" x14ac:dyDescent="0.25">
      <c r="A61" s="8"/>
      <c r="B61" s="8"/>
      <c r="C61" s="8"/>
      <c r="D61" s="8"/>
    </row>
    <row r="62" spans="1:9" x14ac:dyDescent="0.25">
      <c r="A62" s="8"/>
      <c r="B62" s="8"/>
      <c r="C62" s="8"/>
      <c r="D62" s="8"/>
    </row>
    <row r="63" spans="1:9" x14ac:dyDescent="0.25">
      <c r="A63" s="8"/>
      <c r="B63" s="8"/>
      <c r="C63" s="8"/>
      <c r="D63" s="8"/>
    </row>
    <row r="64" spans="1:9" x14ac:dyDescent="0.25">
      <c r="A64" s="8"/>
      <c r="B64" s="8"/>
      <c r="C64" s="8"/>
      <c r="D64" s="8"/>
    </row>
    <row r="65" spans="1:4" x14ac:dyDescent="0.25">
      <c r="A65" s="8"/>
      <c r="B65" s="8"/>
      <c r="C65" s="8"/>
      <c r="D65" s="8"/>
    </row>
    <row r="66" spans="1:4" x14ac:dyDescent="0.25">
      <c r="A66" s="8"/>
      <c r="B66" s="8"/>
      <c r="C66" s="8"/>
      <c r="D66" s="8"/>
    </row>
    <row r="67" spans="1:4" x14ac:dyDescent="0.25">
      <c r="A67" s="8"/>
      <c r="B67" s="8"/>
      <c r="C67" s="8"/>
      <c r="D67" s="8"/>
    </row>
    <row r="68" spans="1:4" x14ac:dyDescent="0.25">
      <c r="A68" s="8"/>
      <c r="B68" s="8"/>
      <c r="C68" s="8"/>
      <c r="D68" s="8"/>
    </row>
    <row r="69" spans="1:4" x14ac:dyDescent="0.25">
      <c r="A69" s="8"/>
      <c r="B69" s="8"/>
      <c r="C69" s="8"/>
      <c r="D69" s="8"/>
    </row>
    <row r="70" spans="1:4" x14ac:dyDescent="0.25">
      <c r="A70" s="8"/>
      <c r="B70" s="8"/>
      <c r="C70" s="8"/>
      <c r="D70" s="8"/>
    </row>
    <row r="71" spans="1:4" x14ac:dyDescent="0.25">
      <c r="A71" s="8"/>
      <c r="B71" s="8"/>
      <c r="C71" s="8"/>
      <c r="D71" s="8"/>
    </row>
    <row r="72" spans="1:4" x14ac:dyDescent="0.25">
      <c r="A72" s="8"/>
      <c r="B72" s="8"/>
      <c r="C72" s="8"/>
      <c r="D72" s="8"/>
    </row>
    <row r="73" spans="1:4" x14ac:dyDescent="0.25">
      <c r="A73" s="8"/>
      <c r="B73" s="8"/>
      <c r="C73" s="8"/>
      <c r="D73" s="8"/>
    </row>
    <row r="74" spans="1:4" x14ac:dyDescent="0.25">
      <c r="A74" s="8"/>
      <c r="B74" s="8"/>
      <c r="C74" s="8"/>
      <c r="D74" s="8"/>
    </row>
    <row r="75" spans="1:4" x14ac:dyDescent="0.25">
      <c r="A75" s="8"/>
      <c r="B75" s="8"/>
      <c r="C75" s="8"/>
      <c r="D75" s="8"/>
    </row>
    <row r="76" spans="1:4" x14ac:dyDescent="0.25">
      <c r="A76" s="8"/>
      <c r="B76" s="8"/>
      <c r="C76" s="8"/>
      <c r="D76" s="8"/>
    </row>
    <row r="77" spans="1:4" x14ac:dyDescent="0.25">
      <c r="A77" s="8"/>
      <c r="B77" s="8"/>
      <c r="C77" s="8"/>
      <c r="D77" s="8"/>
    </row>
    <row r="78" spans="1:4" x14ac:dyDescent="0.25">
      <c r="A78" s="8"/>
      <c r="B78" s="8"/>
      <c r="C78" s="8"/>
      <c r="D78" s="8"/>
    </row>
    <row r="79" spans="1:4" x14ac:dyDescent="0.25">
      <c r="A79" s="8"/>
      <c r="B79" s="8"/>
      <c r="C79" s="8"/>
      <c r="D79" s="8"/>
    </row>
    <row r="80" spans="1:4"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row r="148" spans="1:4" x14ac:dyDescent="0.25">
      <c r="A148" s="8"/>
      <c r="B148" s="8"/>
      <c r="C148" s="8"/>
      <c r="D148" s="8"/>
    </row>
  </sheetData>
  <mergeCells count="17">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 ref="K2:L2"/>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Z148"/>
  <sheetViews>
    <sheetView topLeftCell="A22" workbookViewId="0">
      <selection activeCell="A38" sqref="A38:XFD40"/>
    </sheetView>
  </sheetViews>
  <sheetFormatPr baseColWidth="10" defaultRowHeight="15" x14ac:dyDescent="0.25"/>
  <sheetData>
    <row r="1" spans="1:26" ht="30.75" customHeight="1" x14ac:dyDescent="0.25">
      <c r="A1" s="351" t="s">
        <v>19</v>
      </c>
      <c r="B1" s="351"/>
      <c r="C1" s="351" t="s">
        <v>70</v>
      </c>
      <c r="D1" s="351"/>
      <c r="E1" s="351" t="s">
        <v>80</v>
      </c>
      <c r="F1" s="351"/>
      <c r="G1" s="351" t="s">
        <v>89</v>
      </c>
      <c r="H1" s="351"/>
      <c r="I1" s="351" t="s">
        <v>1197</v>
      </c>
      <c r="J1" s="351"/>
      <c r="K1" s="351" t="s">
        <v>1199</v>
      </c>
      <c r="L1" s="351"/>
    </row>
    <row r="2" spans="1:26" x14ac:dyDescent="0.25">
      <c r="A2" s="301" t="s">
        <v>36</v>
      </c>
      <c r="B2" s="301"/>
      <c r="C2" s="301">
        <f>'ECONOMIA &amp; PROFESIONES'!$N$3</f>
        <v>1</v>
      </c>
      <c r="D2" s="301"/>
      <c r="E2" s="301" t="s">
        <v>81</v>
      </c>
      <c r="F2" s="301"/>
      <c r="G2" s="301" t="s">
        <v>90</v>
      </c>
      <c r="H2" s="301"/>
      <c r="I2" s="301" t="str">
        <f>MAIN!$J$53</f>
        <v>Armor</v>
      </c>
      <c r="J2" s="301"/>
      <c r="K2" s="301">
        <f>MAIN!$L$53</f>
        <v>1</v>
      </c>
      <c r="L2" s="301"/>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"+"&amp;ROUND(MAIN!$C$77*$C$2*$K$2/5*$U$4,0)&amp;" "&amp;$I$2</f>
        <v>+1 Armor</v>
      </c>
      <c r="W4" s="2" t="str">
        <f>"+"&amp;ROUND(MAIN!$D$77*$C$2*$K$2/5*$U$4,0)&amp;" "&amp;$I$2</f>
        <v>+2 Armor</v>
      </c>
      <c r="X4" s="2" t="str">
        <f>"+"&amp;ROUND(MAIN!$E$77*$C$2*$K$2/5*$U$4,0)&amp;" "&amp;$I$2</f>
        <v>+4 Armor</v>
      </c>
      <c r="Y4" s="2" t="str">
        <f>"+"&amp;ROUND(MAIN!$F$77*$C$2*$K$2/5*$U$4,0)&amp;" "&amp;$I$2</f>
        <v>+6 Armor</v>
      </c>
      <c r="Z4" s="2" t="str">
        <f>"+"&amp;ROUND(MAIN!$G$77*$C$2*$K$2/5*$U$4,0)&amp;" "&amp;$I$2</f>
        <v>+10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"+"&amp;ROUND(MAIN!$C$77*$C$2*$K$2/5*$U$5,0)&amp;" "&amp;$I$2</f>
        <v>+3 Armor</v>
      </c>
      <c r="W5" s="2" t="str">
        <f>"+"&amp;ROUND(MAIN!$D$77*$C$2*$K$2/5*$U$5,0)&amp;" "&amp;$I$2</f>
        <v>+4 Armor</v>
      </c>
      <c r="X5" s="2" t="str">
        <f>"+"&amp;ROUND(MAIN!$E$77*$C$2*$K$2/5*$U$5,0)&amp;" "&amp;$I$2</f>
        <v>+7 Armor</v>
      </c>
      <c r="Y5" s="2" t="str">
        <f>"+"&amp;ROUND(MAIN!$F$77*$C$2*$K$2/5*$U$5,0)&amp;" "&amp;$I$2</f>
        <v>+12 Armor</v>
      </c>
      <c r="Z5" s="2" t="str">
        <f>"+"&amp;ROUND(MAIN!$G$77*$C$2*$K$2/5*$U$5,0)&amp;" "&amp;$I$2</f>
        <v>+20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+4 Armor</v>
      </c>
      <c r="W6" s="2" t="str">
        <f>"+"&amp;ROUND(MAIN!$D$77*$C$2*$K$2/5*$U$6,0)&amp;" "&amp;$I$2</f>
        <v>+7 Armor</v>
      </c>
      <c r="X6" s="2" t="str">
        <f>"+"&amp;ROUND(MAIN!$E$77*$C$2*$K$2/5*$U$6,0)&amp;" "&amp;$I$2</f>
        <v>+11 Armor</v>
      </c>
      <c r="Y6" s="2" t="str">
        <f>"+"&amp;ROUND(MAIN!$F$77*$C$2*$K$2/5*$U$6,0)&amp;" "&amp;$I$2</f>
        <v>+18 Armor</v>
      </c>
      <c r="Z6" s="2" t="str">
        <f>"+"&amp;ROUND(MAIN!$G$77*$C$2*$K$2/5*$U$6,0)&amp;" "&amp;$I$2</f>
        <v>+31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+6 Armor</v>
      </c>
      <c r="W7" s="2" t="str">
        <f>"+"&amp;ROUND(MAIN!$D$77*$C$2*$K$2/5*$U$7,0)&amp;" "&amp;$I$2</f>
        <v>+9 Armor</v>
      </c>
      <c r="X7" s="2" t="str">
        <f>"+"&amp;ROUND(MAIN!$E$77*$C$2*$K$2/5*$U$7,0)&amp;" "&amp;$I$2</f>
        <v>+14 Armor</v>
      </c>
      <c r="Y7" s="2" t="str">
        <f>"+"&amp;ROUND(MAIN!$F$77*$C$2*$K$2/5*$U$7,0)&amp;" "&amp;$I$2</f>
        <v>+24 Armor</v>
      </c>
      <c r="Z7" s="2" t="str">
        <f>"+"&amp;ROUND(MAIN!$G$77*$C$2*$K$2/5*$U$7,0)&amp;" "&amp;$I$2</f>
        <v>+41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+7 Armor</v>
      </c>
      <c r="W8" s="2" t="str">
        <f>"+"&amp;ROUND(MAIN!$D$77*$C$2*$K$2/5*$U$8,0)&amp;" "&amp;$I$2</f>
        <v>+11 Armor</v>
      </c>
      <c r="X8" s="2" t="str">
        <f>"+"&amp;ROUND(MAIN!$E$77*$C$2*$K$2/5*$U$8,0)&amp;" "&amp;$I$2</f>
        <v>+18 Armor</v>
      </c>
      <c r="Y8" s="2" t="str">
        <f>"+"&amp;ROUND(MAIN!$F$77*$C$2*$K$2/5*$U$8,0)&amp;" "&amp;$I$2</f>
        <v>+30 Armor</v>
      </c>
      <c r="Z8" s="2" t="str">
        <f>"+"&amp;ROUND(MAIN!$G$77*$C$2*$K$2/5*$U$8,0)&amp;" "&amp;$I$2</f>
        <v>+51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&amp;6"&amp;(MAIN!$F$4+(MAIN!$C$18+MAIN!$C$19)/2*MAIN!$B$9+(MAIN!$C$20+MAIN!$C$21)/2*MAIN!$B$8+(MAIN!$C$80*MAIN!$B$11)+($C$2*MAIN!$B$10))/10&amp;" &amp;aAlmakos'"</f>
        <v xml:space="preserve">  - '&amp;aVenta: &amp;6190 &amp;aAlmakos'</v>
      </c>
      <c r="B21" s="20"/>
      <c r="C21" s="20"/>
      <c r="D21" s="20"/>
      <c r="E21" s="20" t="str">
        <f>"  - '&amp;aVenta: &amp;6"&amp;(MAIN!$G$4+(MAIN!$C$18+MAIN!$C$19)/2*MAIN!$B$9+(MAIN!$C$20+MAIN!$C$21)/2*MAIN!$B$8+(MAIN!$C$80*MAIN!$B$11)+($C$2*MAIN!$B$10))/10&amp;" &amp;aAlmakos'"</f>
        <v xml:space="preserve">  - '&amp;aVenta: &amp;6330 &amp;aAlmakos'</v>
      </c>
      <c r="F21" s="20"/>
      <c r="G21" s="20"/>
      <c r="H21" s="20"/>
      <c r="I21" s="20" t="str">
        <f>"  - '&amp;aVenta: &amp;6"&amp;(MAIN!$H$4+(MAIN!$C$18+MAIN!$C$19)/2*MAIN!$B$9+(MAIN!$C$20+MAIN!$C$21)/2*MAIN!$B$8+(MAIN!$C$80*MAIN!$B$11)+($C$2*MAIN!$B$10))/10&amp;" &amp;aAlmakos'"</f>
        <v xml:space="preserve">  - '&amp;aVenta: &amp;6610 &amp;aAlmakos'</v>
      </c>
      <c r="J21" s="20"/>
      <c r="K21" s="20"/>
      <c r="L21" s="20"/>
      <c r="M21" s="20" t="str">
        <f>"  - '&amp;aVenta: &amp;6"&amp;(MAIN!$I$4+(MAIN!$C$18+MAIN!$C$19)/2*MAIN!$B$9+(MAIN!$C$20+MAIN!$C$21)/2*MAIN!$B$8+(MAIN!$C$80*MAIN!$B$11)+($C$2*MAIN!$B$10))/10&amp;" &amp;aAlmakos'"</f>
        <v xml:space="preserve">  - '&amp;aVenta: &amp;61170 &amp;aAlmakos'</v>
      </c>
      <c r="N21" s="20"/>
      <c r="O21" s="20"/>
      <c r="P21" s="20"/>
      <c r="Q21" s="20" t="str">
        <f>"  - '&amp;aVenta: &amp;6"&amp;(MAIN!$J$4+(MAIN!$C$18+MAIN!$C$19)/2*MAIN!$B$9+(MAIN!$C$20+MAIN!$C$21)/2*MAIN!$B$8+(MAIN!$C$80*MAIN!$B$11)+($C$2*MAIN!$B$10))/10&amp;" &amp;aAlmakos'"</f>
        <v xml:space="preserve">  - '&amp;aVenta: &amp;62290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&amp;a"&amp;MAIN!$C$82+($C$2*MAIN!$I$27)&amp;"'"</f>
        <v xml:space="preserve">  - '&amp;7• &amp;8Nivel: &amp;a17'</v>
      </c>
      <c r="B25" s="10"/>
      <c r="C25" s="10"/>
      <c r="D25" s="10"/>
      <c r="E25" s="10" t="str">
        <f>"  - '&amp;7• &amp;8Nivel: &amp;a"&amp;MAIN!$D$82+($C$2*MAIN!$I$27)&amp;"'"</f>
        <v xml:space="preserve">  - '&amp;7• &amp;8Nivel: &amp;a42'</v>
      </c>
      <c r="F25" s="10"/>
      <c r="G25" s="10"/>
      <c r="H25" s="10"/>
      <c r="I25" s="10" t="str">
        <f>"  - '&amp;7• &amp;8Nivel: &amp;a"&amp;MAIN!$E$82+($C$2*MAIN!$I$27)&amp;"'"</f>
        <v xml:space="preserve">  - '&amp;7• &amp;8Nivel: &amp;a117'</v>
      </c>
      <c r="J25" s="10"/>
      <c r="K25" s="10"/>
      <c r="L25" s="10"/>
      <c r="M25" s="10" t="str">
        <f>"  - '&amp;7• &amp;8Nivel: &amp;a"&amp;MAIN!$F$82+($C$2*MAIN!$I$27)&amp;"'"</f>
        <v xml:space="preserve">  - '&amp;7• &amp;8Nivel: &amp;a341'</v>
      </c>
      <c r="N25" s="10"/>
      <c r="O25" s="10"/>
      <c r="P25" s="10"/>
      <c r="Q25" s="10" t="str">
        <f>"  - '&amp;7• &amp;8Nivel: &amp;a"&amp;MAIN!$G$82+($C$2*MAIN!$I$27)&amp;"'"</f>
        <v xml:space="preserve">  - '&amp;7• &amp;8Nivel: &amp;a677'</v>
      </c>
      <c r="R25" s="10"/>
      <c r="S25" s="10"/>
      <c r="T25" s="10"/>
    </row>
    <row r="26" spans="1:20" x14ac:dyDescent="0.25">
      <c r="A26" s="12" t="str">
        <f>"  - '&amp;7• &amp;8"&amp;MAIN!$C$12&amp;" lvl: &amp;a"&amp;ROUNDUP((MAIN!$C$82+($C$2*MAIN!$I$27))/3,0)&amp;"'"</f>
        <v xml:space="preserve">  - '&amp;7• &amp;8Esencia lvl: &amp;a6'</v>
      </c>
      <c r="B26" s="12"/>
      <c r="C26" s="12"/>
      <c r="D26" s="12"/>
      <c r="E26" s="12" t="str">
        <f>"  - '&amp;7• &amp;8"&amp;MAIN!$C$12&amp;" lvl: &amp;a"&amp;ROUNDUP((MAIN!$D$82+($C$2*MAIN!$I$27))/3,0)&amp;"'"</f>
        <v xml:space="preserve">  - '&amp;7• &amp;8Esencia lvl: &amp;a14'</v>
      </c>
      <c r="F26" s="12"/>
      <c r="G26" s="12"/>
      <c r="H26" s="12"/>
      <c r="I26" s="12" t="str">
        <f>"  - '&amp;7• &amp;8"&amp;MAIN!$C$12&amp;" lvl: &amp;a"&amp;ROUNDUP((MAIN!$E$82+($C$2*MAIN!$I$27))/3,0)&amp;"'"</f>
        <v xml:space="preserve">  - '&amp;7• &amp;8Esencia lvl: &amp;a39'</v>
      </c>
      <c r="J26" s="12"/>
      <c r="K26" s="12"/>
      <c r="L26" s="12"/>
      <c r="M26" s="12" t="str">
        <f>"  - '&amp;7• &amp;8"&amp;MAIN!$C$12&amp;" lvl: &amp;a"&amp;ROUNDUP((MAIN!$F$82+($C$2*MAIN!$I$27))/3,0)&amp;"'"</f>
        <v xml:space="preserve">  - '&amp;7• &amp;8Esencia lvl: &amp;a114'</v>
      </c>
      <c r="N26" s="12"/>
      <c r="O26" s="12"/>
      <c r="P26" s="12"/>
      <c r="Q26" s="12" t="str">
        <f>"  - '&amp;7• &amp;8"&amp;MAIN!$C$12&amp;" lvl: &amp;a"&amp;ROUNDUP((MAIN!$G$82+($C$2*MAIN!$I$27))/3,0)&amp;"'"</f>
        <v xml:space="preserve">  - '&amp;7• &amp;8Esencia lvl: &amp;a226'</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1196</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&amp;a"&amp;MAIN!$C$77*$C$2&amp;"'"</f>
        <v xml:space="preserve">  - '&amp;4• &amp;fFuerza: &amp;a7'</v>
      </c>
      <c r="B30" s="10"/>
      <c r="C30" s="10"/>
      <c r="D30" s="10"/>
      <c r="E30" s="10" t="str">
        <f>"  - '&amp;4• &amp;f"&amp;MAIN!$C$9&amp;": &amp;a"&amp;MAIN!$D$77*$C$2&amp;"'"</f>
        <v xml:space="preserve">  - '&amp;4• &amp;fFuerza: &amp;a11'</v>
      </c>
      <c r="F30" s="10"/>
      <c r="G30" s="10"/>
      <c r="H30" s="10"/>
      <c r="I30" s="10" t="str">
        <f>"  - '&amp;4• &amp;f"&amp;MAIN!$C$9&amp;": &amp;a"&amp;MAIN!$E$77*$C$2&amp;"'"</f>
        <v xml:space="preserve">  - '&amp;4• &amp;fFuerza: &amp;a18'</v>
      </c>
      <c r="J30" s="10"/>
      <c r="K30" s="10"/>
      <c r="L30" s="10"/>
      <c r="M30" s="10" t="str">
        <f>"  - '&amp;4• &amp;f"&amp;MAIN!$C$9&amp;": &amp;a"&amp;MAIN!$F$77*$C$2&amp;"'"</f>
        <v xml:space="preserve">  - '&amp;4• &amp;fFuerza: &amp;a30'</v>
      </c>
      <c r="N30" s="10"/>
      <c r="O30" s="10"/>
      <c r="P30" s="10"/>
      <c r="Q30" s="10" t="str">
        <f>"  - '&amp;4• &amp;f"&amp;MAIN!$C$9&amp;": &amp;a"&amp;MAIN!$G$77*$C$2&amp;"'"</f>
        <v xml:space="preserve">  - '&amp;4• &amp;fFuerza: &amp;a51'</v>
      </c>
      <c r="R30" s="10"/>
      <c r="S30" s="10"/>
      <c r="T30" s="10"/>
    </row>
    <row r="31" spans="1:20" x14ac:dyDescent="0.25">
      <c r="A31" s="10" t="str">
        <f>"  - '&amp;4• &amp;f"&amp;MAIN!$C$8&amp;": &amp;a"&amp;MAIN!$C$76*$C$2&amp;"'"</f>
        <v xml:space="preserve">  - '&amp;4• &amp;fVitalidad: &amp;a7'</v>
      </c>
      <c r="B31" s="10"/>
      <c r="C31" s="10"/>
      <c r="D31" s="10"/>
      <c r="E31" s="10" t="str">
        <f>"  - '&amp;4• &amp;f"&amp;MAIN!$C$8&amp;": &amp;a"&amp;MAIN!$D$76*$C$2&amp;"'"</f>
        <v xml:space="preserve">  - '&amp;4• &amp;fVitalidad: &amp;a11'</v>
      </c>
      <c r="F31" s="10"/>
      <c r="G31" s="10"/>
      <c r="H31" s="10"/>
      <c r="I31" s="10" t="str">
        <f>"  - '&amp;4• &amp;f"&amp;MAIN!$C$8&amp;": &amp;a"&amp;MAIN!$E$76*$C$2&amp;"'"</f>
        <v xml:space="preserve">  - '&amp;4• &amp;fVitalidad: &amp;a18'</v>
      </c>
      <c r="J31" s="10"/>
      <c r="K31" s="10"/>
      <c r="L31" s="10"/>
      <c r="M31" s="10" t="str">
        <f>"  - '&amp;4• &amp;f"&amp;MAIN!$C$8&amp;": &amp;a"&amp;MAIN!$F$76*$C$2&amp;"'"</f>
        <v xml:space="preserve">  - '&amp;4• &amp;fVitalidad: &amp;a30'</v>
      </c>
      <c r="N31" s="10"/>
      <c r="O31" s="10"/>
      <c r="P31" s="10"/>
      <c r="Q31" s="10" t="str">
        <f>"  - '&amp;4• &amp;f"&amp;MAIN!$C$8&amp;": &amp;a"&amp;MAIN!$G$76*$C$2&amp;"'"</f>
        <v xml:space="preserve">  - '&amp;4• &amp;fVitalidad: &amp;a51'</v>
      </c>
      <c r="R31" s="10"/>
      <c r="S31" s="10"/>
      <c r="T31" s="10"/>
    </row>
    <row r="32" spans="1:20" x14ac:dyDescent="0.25">
      <c r="A32" s="10" t="str">
        <f>"  - '&amp;4• &amp;f"&amp;MAIN!$C$11&amp;": &amp;a"&amp;MAIN!$C$79*$C$2&amp;"'"</f>
        <v xml:space="preserve">  - '&amp;4• &amp;fInteligencia: &amp;a7'</v>
      </c>
      <c r="B32" s="10"/>
      <c r="C32" s="10"/>
      <c r="D32" s="10"/>
      <c r="E32" s="10" t="str">
        <f>"  - '&amp;4• &amp;f"&amp;MAIN!$C$11&amp;": &amp;a"&amp;MAIN!$D$79*$C$2&amp;"'"</f>
        <v xml:space="preserve">  - '&amp;4• &amp;fInteligencia: &amp;a11'</v>
      </c>
      <c r="F32" s="10"/>
      <c r="G32" s="10"/>
      <c r="H32" s="10"/>
      <c r="I32" s="10" t="str">
        <f>"  - '&amp;4• &amp;f"&amp;MAIN!$C$11&amp;": &amp;a"&amp;MAIN!$E$79*$C$2&amp;"'"</f>
        <v xml:space="preserve">  - '&amp;4• &amp;fInteligencia: &amp;a18'</v>
      </c>
      <c r="J32" s="10"/>
      <c r="K32" s="10"/>
      <c r="L32" s="10"/>
      <c r="M32" s="10" t="str">
        <f>"  - '&amp;4• &amp;f"&amp;MAIN!$C$11&amp;": &amp;a"&amp;MAIN!$F$79*$C$2&amp;"'"</f>
        <v xml:space="preserve">  - '&amp;4• &amp;fInteligencia: &amp;a30'</v>
      </c>
      <c r="N32" s="10"/>
      <c r="O32" s="10"/>
      <c r="P32" s="10"/>
      <c r="Q32" s="10" t="str">
        <f>"  - '&amp;4• &amp;f"&amp;MAIN!$C$11&amp;": &amp;a"&amp;MAIN!$G$79*$C$2&amp;"'"</f>
        <v xml:space="preserve">  - '&amp;4• &amp;fInteligencia: &amp;a51'</v>
      </c>
      <c r="R32" s="10"/>
      <c r="S32" s="10"/>
      <c r="T32" s="10"/>
    </row>
    <row r="33" spans="1:20" x14ac:dyDescent="0.25">
      <c r="A33" s="10" t="str">
        <f>"  - '&amp;4• &amp;f"&amp;MAIN!$C$10&amp;": &amp;a"&amp;MAIN!$C$78*$C$2&amp;"'"</f>
        <v xml:space="preserve">  - '&amp;4• &amp;fAgilidad: &amp;a7'</v>
      </c>
      <c r="B33" s="10"/>
      <c r="C33" s="10"/>
      <c r="D33" s="10"/>
      <c r="E33" s="10" t="str">
        <f>"  - '&amp;4• &amp;f"&amp;MAIN!$C$10&amp;": &amp;a"&amp;MAIN!$D$78*$C$2&amp;"'"</f>
        <v xml:space="preserve">  - '&amp;4• &amp;fAgilidad: &amp;a11'</v>
      </c>
      <c r="F33" s="10"/>
      <c r="G33" s="10"/>
      <c r="H33" s="10"/>
      <c r="I33" s="10" t="str">
        <f>"  - '&amp;4• &amp;f"&amp;MAIN!$C$10&amp;": &amp;a"&amp;MAIN!$E$78*$C$2&amp;"'"</f>
        <v xml:space="preserve">  - '&amp;4• &amp;fAgilidad: &amp;a18'</v>
      </c>
      <c r="J33" s="10"/>
      <c r="K33" s="10"/>
      <c r="L33" s="10"/>
      <c r="M33" s="10" t="str">
        <f>"  - '&amp;4• &amp;f"&amp;MAIN!$C$10&amp;": &amp;a"&amp;MAIN!$F$78*$C$2&amp;"'"</f>
        <v xml:space="preserve">  - '&amp;4• &amp;fAgilidad: &amp;a30'</v>
      </c>
      <c r="N33" s="10"/>
      <c r="O33" s="10"/>
      <c r="P33" s="10"/>
      <c r="Q33" s="10" t="str">
        <f>"  - '&amp;4• &amp;f"&amp;MAIN!$C$10&amp;": &amp;a"&amp;MAIN!$G$78*$C$2&amp;"'"</f>
        <v xml:space="preserve">  - '&amp;4• &amp;fAgilidad: &amp;a51'</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3"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92"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3"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9"/>
      <c r="B47" s="9"/>
      <c r="C47" s="9"/>
      <c r="D47" s="9"/>
    </row>
    <row r="48" spans="1:20" x14ac:dyDescent="0.25">
      <c r="A48" s="9"/>
      <c r="B48" s="9"/>
      <c r="C48" s="9"/>
      <c r="D48" s="9"/>
      <c r="G48" s="13"/>
      <c r="H48" s="13"/>
      <c r="I48" s="13"/>
    </row>
    <row r="49" spans="1:9" x14ac:dyDescent="0.25">
      <c r="A49" s="9"/>
      <c r="B49" s="9"/>
      <c r="C49" s="9"/>
      <c r="D49" s="9"/>
      <c r="G49" s="13"/>
      <c r="H49" s="13"/>
      <c r="I49" s="13"/>
    </row>
    <row r="50" spans="1:9" x14ac:dyDescent="0.25">
      <c r="A50" s="9"/>
      <c r="B50" s="9"/>
      <c r="C50" s="9"/>
      <c r="D50" s="9"/>
      <c r="G50" s="13"/>
      <c r="H50" s="13"/>
      <c r="I50" s="13"/>
    </row>
    <row r="51" spans="1:9" x14ac:dyDescent="0.25">
      <c r="A51" s="9"/>
      <c r="B51" s="9"/>
      <c r="C51" s="9"/>
      <c r="D51" s="9"/>
      <c r="G51" s="13"/>
      <c r="H51" s="13"/>
      <c r="I51" s="13"/>
    </row>
    <row r="52" spans="1:9" x14ac:dyDescent="0.25">
      <c r="A52" s="9"/>
      <c r="B52" s="9"/>
      <c r="C52" s="9"/>
      <c r="D52" s="9"/>
      <c r="G52" s="13"/>
      <c r="H52" s="13"/>
      <c r="I52" s="13"/>
    </row>
    <row r="53" spans="1:9" x14ac:dyDescent="0.25">
      <c r="A53" s="9"/>
      <c r="B53" s="9"/>
      <c r="C53" s="9"/>
      <c r="D53" s="9"/>
      <c r="G53" s="13"/>
      <c r="H53" s="13"/>
      <c r="I53" s="13"/>
    </row>
    <row r="54" spans="1:9" x14ac:dyDescent="0.25">
      <c r="A54" s="9"/>
      <c r="B54" s="9"/>
      <c r="C54" s="9"/>
      <c r="D54" s="9"/>
      <c r="G54" s="13"/>
      <c r="H54" s="13"/>
      <c r="I54" s="13"/>
    </row>
    <row r="55" spans="1:9" x14ac:dyDescent="0.25">
      <c r="A55" s="9"/>
      <c r="B55" s="9"/>
      <c r="C55" s="9"/>
      <c r="D55" s="9"/>
      <c r="G55" s="13"/>
      <c r="H55" s="13"/>
      <c r="I55" s="13"/>
    </row>
    <row r="56" spans="1:9" x14ac:dyDescent="0.25">
      <c r="A56" s="9"/>
      <c r="B56" s="9"/>
      <c r="C56" s="9"/>
      <c r="D56" s="9"/>
    </row>
    <row r="57" spans="1:9" x14ac:dyDescent="0.25">
      <c r="A57" s="9"/>
      <c r="B57" s="9"/>
      <c r="C57" s="9"/>
      <c r="D57" s="9"/>
    </row>
    <row r="58" spans="1:9" x14ac:dyDescent="0.25">
      <c r="A58" s="9"/>
      <c r="B58" s="9"/>
      <c r="C58" s="9"/>
      <c r="D58" s="9"/>
    </row>
    <row r="59" spans="1:9" x14ac:dyDescent="0.25">
      <c r="A59" s="9"/>
      <c r="B59" s="9"/>
      <c r="C59" s="9"/>
      <c r="D59" s="9"/>
    </row>
    <row r="60" spans="1:9" x14ac:dyDescent="0.25">
      <c r="A60" s="9"/>
      <c r="B60" s="9"/>
      <c r="C60" s="9"/>
      <c r="D60" s="9"/>
    </row>
    <row r="61" spans="1:9" x14ac:dyDescent="0.25">
      <c r="A61" s="9"/>
      <c r="B61" s="9"/>
      <c r="C61" s="9"/>
      <c r="D61" s="9"/>
    </row>
    <row r="62" spans="1:9" x14ac:dyDescent="0.25">
      <c r="A62" s="9"/>
      <c r="B62" s="9"/>
      <c r="C62" s="9"/>
      <c r="D62" s="9"/>
    </row>
    <row r="63" spans="1:9" x14ac:dyDescent="0.25">
      <c r="A63" s="9"/>
      <c r="B63" s="9"/>
      <c r="C63" s="9"/>
      <c r="D63" s="9"/>
    </row>
    <row r="64" spans="1:9" x14ac:dyDescent="0.25">
      <c r="A64" s="9"/>
      <c r="B64" s="9"/>
      <c r="C64" s="9"/>
      <c r="D64" s="9"/>
    </row>
    <row r="65" spans="1:4" x14ac:dyDescent="0.25">
      <c r="A65" s="9"/>
      <c r="B65" s="9"/>
      <c r="C65" s="9"/>
      <c r="D65" s="9"/>
    </row>
    <row r="66" spans="1:4" x14ac:dyDescent="0.25">
      <c r="A66" s="9"/>
      <c r="B66" s="9"/>
      <c r="C66" s="9"/>
      <c r="D66" s="9"/>
    </row>
    <row r="67" spans="1:4" x14ac:dyDescent="0.25">
      <c r="A67" s="9"/>
      <c r="B67" s="9"/>
      <c r="C67" s="9"/>
      <c r="D67" s="9"/>
    </row>
    <row r="68" spans="1:4" x14ac:dyDescent="0.25">
      <c r="A68" s="9"/>
      <c r="B68" s="9"/>
      <c r="C68" s="9"/>
      <c r="D68" s="9"/>
    </row>
    <row r="69" spans="1:4" x14ac:dyDescent="0.25">
      <c r="A69" s="9"/>
      <c r="B69" s="9"/>
      <c r="C69" s="9"/>
      <c r="D69" s="9"/>
    </row>
    <row r="70" spans="1:4" x14ac:dyDescent="0.25">
      <c r="A70" s="9"/>
      <c r="B70" s="9"/>
      <c r="C70" s="9"/>
      <c r="D70" s="9"/>
    </row>
    <row r="71" spans="1:4" x14ac:dyDescent="0.25">
      <c r="A71" s="9"/>
      <c r="B71" s="9"/>
      <c r="C71" s="9"/>
      <c r="D71" s="9"/>
    </row>
    <row r="72" spans="1:4" x14ac:dyDescent="0.25">
      <c r="A72" s="9"/>
      <c r="B72" s="9"/>
      <c r="C72" s="9"/>
      <c r="D72" s="9"/>
    </row>
    <row r="73" spans="1:4" x14ac:dyDescent="0.25">
      <c r="A73" s="9"/>
      <c r="B73" s="9"/>
      <c r="C73" s="9"/>
      <c r="D73" s="9"/>
    </row>
    <row r="74" spans="1:4" x14ac:dyDescent="0.25">
      <c r="A74" s="9"/>
      <c r="B74" s="9"/>
      <c r="C74" s="9"/>
      <c r="D74" s="9"/>
    </row>
    <row r="75" spans="1:4" x14ac:dyDescent="0.25">
      <c r="A75" s="9"/>
      <c r="B75" s="9"/>
      <c r="C75" s="9"/>
      <c r="D75" s="9"/>
    </row>
    <row r="76" spans="1:4" x14ac:dyDescent="0.25">
      <c r="A76" s="9"/>
      <c r="B76" s="9"/>
      <c r="C76" s="9"/>
      <c r="D76" s="9"/>
    </row>
    <row r="77" spans="1:4" x14ac:dyDescent="0.25">
      <c r="A77" s="9"/>
      <c r="B77" s="9"/>
      <c r="C77" s="9"/>
      <c r="D77" s="9"/>
    </row>
    <row r="78" spans="1:4" x14ac:dyDescent="0.25">
      <c r="A78" s="9"/>
      <c r="B78" s="9"/>
      <c r="C78" s="9"/>
      <c r="D78" s="9"/>
    </row>
    <row r="79" spans="1:4" x14ac:dyDescent="0.25">
      <c r="A79" s="9"/>
      <c r="B79" s="9"/>
      <c r="C79" s="9"/>
      <c r="D79" s="9"/>
    </row>
    <row r="80" spans="1:4"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sheetData>
  <mergeCells count="17">
    <mergeCell ref="K2:L2"/>
    <mergeCell ref="M3:P3"/>
    <mergeCell ref="Q3:T3"/>
    <mergeCell ref="G1:H1"/>
    <mergeCell ref="G2:H2"/>
    <mergeCell ref="A3:D3"/>
    <mergeCell ref="E3:H3"/>
    <mergeCell ref="I3:L3"/>
    <mergeCell ref="I1:J1"/>
    <mergeCell ref="A1:B1"/>
    <mergeCell ref="C1:D1"/>
    <mergeCell ref="E1:F1"/>
    <mergeCell ref="A2:B2"/>
    <mergeCell ref="C2:D2"/>
    <mergeCell ref="E2:F2"/>
    <mergeCell ref="K1:L1"/>
    <mergeCell ref="I2:J2"/>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Z148"/>
  <sheetViews>
    <sheetView topLeftCell="A22" workbookViewId="0">
      <selection activeCell="A38" sqref="A38:XFD40"/>
    </sheetView>
  </sheetViews>
  <sheetFormatPr baseColWidth="10" defaultRowHeight="15" x14ac:dyDescent="0.25"/>
  <sheetData>
    <row r="1" spans="1:26" ht="30.75" customHeight="1" x14ac:dyDescent="0.25">
      <c r="A1" s="351" t="s">
        <v>19</v>
      </c>
      <c r="B1" s="351"/>
      <c r="C1" s="351" t="s">
        <v>70</v>
      </c>
      <c r="D1" s="351"/>
      <c r="E1" s="351" t="s">
        <v>80</v>
      </c>
      <c r="F1" s="351"/>
      <c r="G1" s="351" t="s">
        <v>89</v>
      </c>
      <c r="H1" s="351"/>
      <c r="I1" s="351" t="s">
        <v>1197</v>
      </c>
      <c r="J1" s="351"/>
      <c r="K1" s="351" t="s">
        <v>1199</v>
      </c>
      <c r="L1" s="351"/>
    </row>
    <row r="2" spans="1:26" x14ac:dyDescent="0.25">
      <c r="A2" s="301" t="s">
        <v>36</v>
      </c>
      <c r="B2" s="301"/>
      <c r="C2" s="301">
        <f>'ECONOMIA &amp; PROFESIONES'!$N$3</f>
        <v>1</v>
      </c>
      <c r="D2" s="301"/>
      <c r="E2" s="301" t="s">
        <v>81</v>
      </c>
      <c r="F2" s="301"/>
      <c r="G2" s="301" t="s">
        <v>90</v>
      </c>
      <c r="H2" s="301"/>
      <c r="I2" s="301" t="str">
        <f>MAIN!$J$53</f>
        <v>Armor</v>
      </c>
      <c r="J2" s="301"/>
      <c r="K2" s="301">
        <f>MAIN!$L$53</f>
        <v>1</v>
      </c>
      <c r="L2" s="301"/>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"+"&amp;ROUND(MAIN!$C$88*$C$2*$K$2/5*$U$4,0)&amp;" "&amp;$I$2</f>
        <v>+1 Armor</v>
      </c>
      <c r="W4" s="2" t="str">
        <f>"+"&amp;ROUND(MAIN!$D$88*$C$2*$K$2/5*$U$4,0)&amp;" "&amp;$I$2</f>
        <v>+1 Armor</v>
      </c>
      <c r="X4" s="2" t="str">
        <f>"+"&amp;ROUND(MAIN!$E$88*$C$2*$K$2/5*$U$4,0)&amp;" "&amp;$I$2</f>
        <v>+2 Armor</v>
      </c>
      <c r="Y4" s="2" t="str">
        <f>"+"&amp;ROUND(MAIN!$F$88*$C$2*$K$2/5*$U$4,0)&amp;" "&amp;$I$2</f>
        <v>+3 Armor</v>
      </c>
      <c r="Z4" s="2" t="str">
        <f>"+"&amp;ROUND(MAIN!$G$88*$C$2*$K$2/5*$U$4,0)&amp;" "&amp;$I$2</f>
        <v>+6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"+"&amp;ROUND(MAIN!$C$88*$C$2*$K$2/5*$U$5,0)&amp;" "&amp;$I$2</f>
        <v>+2 Armor</v>
      </c>
      <c r="W5" s="2" t="str">
        <f>"+"&amp;ROUND(MAIN!$D$88*$C$2*$K$2/5*$U$5,0)&amp;" "&amp;$I$2</f>
        <v>+2 Armor</v>
      </c>
      <c r="X5" s="2" t="str">
        <f>"+"&amp;ROUND(MAIN!$E$88*$C$2*$K$2/5*$U$5,0)&amp;" "&amp;$I$2</f>
        <v>+4 Armor</v>
      </c>
      <c r="Y5" s="2" t="str">
        <f>"+"&amp;ROUND(MAIN!$F$88*$C$2*$K$2/5*$U$5,0)&amp;" "&amp;$I$2</f>
        <v>+7 Armor</v>
      </c>
      <c r="Z5" s="2" t="str">
        <f>"+"&amp;ROUND(MAIN!$G$88*$C$2*$K$2/5*$U$5,0)&amp;" "&amp;$I$2</f>
        <v>+11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 Armor</v>
      </c>
      <c r="W6" s="2" t="str">
        <f>"+"&amp;ROUND(MAIN!$D$88*$C$2*$K$2/5*$U$6,0)&amp;" "&amp;$I$2</f>
        <v>+4 Armor</v>
      </c>
      <c r="X6" s="2" t="str">
        <f>"+"&amp;ROUND(MAIN!$E$88*$C$2*$K$2/5*$U$6,0)&amp;" "&amp;$I$2</f>
        <v>+6 Armor</v>
      </c>
      <c r="Y6" s="2" t="str">
        <f>"+"&amp;ROUND(MAIN!$F$88*$C$2*$K$2/5*$U$6,0)&amp;" "&amp;$I$2</f>
        <v>+10 Armor</v>
      </c>
      <c r="Z6" s="2" t="str">
        <f>"+"&amp;ROUND(MAIN!$G$88*$C$2*$K$2/5*$U$6,0)&amp;" "&amp;$I$2</f>
        <v>+17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+3 Armor</v>
      </c>
      <c r="W7" s="2" t="str">
        <f>"+"&amp;ROUND(MAIN!$D$88*$C$2*$K$2/5*$U$7,0)&amp;" "&amp;$I$2</f>
        <v>+5 Armor</v>
      </c>
      <c r="X7" s="2" t="str">
        <f>"+"&amp;ROUND(MAIN!$E$88*$C$2*$K$2/5*$U$7,0)&amp;" "&amp;$I$2</f>
        <v>+8 Armor</v>
      </c>
      <c r="Y7" s="2" t="str">
        <f>"+"&amp;ROUND(MAIN!$F$88*$C$2*$K$2/5*$U$7,0)&amp;" "&amp;$I$2</f>
        <v>+14 Armor</v>
      </c>
      <c r="Z7" s="2" t="str">
        <f>"+"&amp;ROUND(MAIN!$G$88*$C$2*$K$2/5*$U$7,0)&amp;" "&amp;$I$2</f>
        <v>+22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+4 Armor</v>
      </c>
      <c r="W8" s="2" t="str">
        <f>"+"&amp;ROUND(MAIN!$D$88*$C$2*$K$2/5*$U$8,0)&amp;" "&amp;$I$2</f>
        <v>+6 Armor</v>
      </c>
      <c r="X8" s="2" t="str">
        <f>"+"&amp;ROUND(MAIN!$E$88*$C$2*$K$2/5*$U$8,0)&amp;" "&amp;$I$2</f>
        <v>+10 Armor</v>
      </c>
      <c r="Y8" s="2" t="str">
        <f>"+"&amp;ROUND(MAIN!$F$88*$C$2*$K$2/5*$U$8,0)&amp;" "&amp;$I$2</f>
        <v>+17 Armor</v>
      </c>
      <c r="Z8" s="2" t="str">
        <f>"+"&amp;ROUND(MAIN!$G$88*$C$2*$K$2/5*$U$8,0)&amp;" "&amp;$I$2</f>
        <v>+28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&amp;6"&amp;(MAIN!$F$5+(MAIN!$C$18+MAIN!$C$19)/2*MAIN!$B$9+(MAIN!$C$20+MAIN!$C$21)/2*MAIN!$B$8+(MAIN!$C$91*MAIN!$B$11)+($C$2*MAIN!$B$10))/10&amp;" &amp;aAlmakos'"</f>
        <v xml:space="preserve">  - '&amp;aVenta: &amp;6130 &amp;aAlmakos'</v>
      </c>
      <c r="B21" s="20"/>
      <c r="C21" s="20"/>
      <c r="D21" s="20"/>
      <c r="E21" s="20" t="str">
        <f>"  - '&amp;aVenta: &amp;6"&amp;(MAIN!$G$5+(MAIN!$C$18+MAIN!$C$19)/2*MAIN!$B$9+(MAIN!$C$20+MAIN!$C$21)/2*MAIN!$B$8+(MAIN!$C$91*MAIN!$B$11)+($C$2*MAIN!$B$10))/10&amp;" &amp;aAlmakos'"</f>
        <v xml:space="preserve">  - '&amp;aVenta: &amp;6210 &amp;aAlmakos'</v>
      </c>
      <c r="F21" s="20"/>
      <c r="G21" s="20"/>
      <c r="H21" s="20"/>
      <c r="I21" s="20" t="str">
        <f>"  - '&amp;aVenta: &amp;6"&amp;(MAIN!$H$5+(MAIN!$C$18+MAIN!$C$19)/2*MAIN!$B$9+(MAIN!$C$20+MAIN!$C$21)/2*MAIN!$B$8+(MAIN!$C$91*MAIN!$B$11)+($C$2*MAIN!$B$10))/10&amp;" &amp;aAlmakos'"</f>
        <v xml:space="preserve">  - '&amp;aVenta: &amp;6370 &amp;aAlmakos'</v>
      </c>
      <c r="J21" s="20"/>
      <c r="K21" s="20"/>
      <c r="L21" s="20"/>
      <c r="M21" s="20" t="str">
        <f>"  - '&amp;aVenta: &amp;6"&amp;(MAIN!$I$5+(MAIN!$C$18+MAIN!$C$19)/2*MAIN!$B$9+(MAIN!$C$20+MAIN!$C$21)/2*MAIN!$B$8+(MAIN!$C$91*MAIN!$B$11)+($C$2*MAIN!$B$10))/10&amp;" &amp;aAlmakos'"</f>
        <v xml:space="preserve">  - '&amp;aVenta: &amp;6690 &amp;aAlmakos'</v>
      </c>
      <c r="N21" s="20"/>
      <c r="O21" s="20"/>
      <c r="P21" s="20"/>
      <c r="Q21" s="20" t="str">
        <f>"  - '&amp;aVenta: &amp;6"&amp;(MAIN!$J$5+(MAIN!$C$18+MAIN!$C$19)/2*MAIN!$B$9+(MAIN!$C$20+MAIN!$C$21)/2*MAIN!$B$8+(MAIN!$C$91*MAIN!$B$11)+($C$2*MAIN!$B$10))/10&amp;" &amp;aAlmakos'"</f>
        <v xml:space="preserve">  - '&amp;aVenta: &amp;61330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&amp;a"&amp;MAIN!$C$93+($C$2*MAIN!$I$27)&amp;"'"</f>
        <v xml:space="preserve">  - '&amp;7• &amp;8Nivel: &amp;a12'</v>
      </c>
      <c r="B25" s="10"/>
      <c r="C25" s="10"/>
      <c r="D25" s="10"/>
      <c r="E25" s="10" t="str">
        <f>"  - '&amp;7• &amp;8Nivel: &amp;a"&amp;MAIN!$D$93+($C$2*MAIN!$I$27)&amp;"'"</f>
        <v xml:space="preserve">  - '&amp;7• &amp;8Nivel: &amp;a26'</v>
      </c>
      <c r="F25" s="10"/>
      <c r="G25" s="10"/>
      <c r="H25" s="10"/>
      <c r="I25" s="10" t="str">
        <f>"  - '&amp;7• &amp;8Nivel: &amp;a"&amp;MAIN!$E$93+($C$2*MAIN!$I$27)&amp;"'"</f>
        <v xml:space="preserve">  - '&amp;7• &amp;8Nivel: &amp;a69'</v>
      </c>
      <c r="J25" s="10"/>
      <c r="K25" s="10"/>
      <c r="L25" s="10"/>
      <c r="M25" s="10" t="str">
        <f>"  - '&amp;7• &amp;8Nivel: &amp;a"&amp;MAIN!$F$93+($C$2*MAIN!$I$27)&amp;"'"</f>
        <v xml:space="preserve">  - '&amp;7• &amp;8Nivel: &amp;a197'</v>
      </c>
      <c r="N25" s="10"/>
      <c r="O25" s="10"/>
      <c r="P25" s="10"/>
      <c r="Q25" s="10" t="str">
        <f>"  - '&amp;7• &amp;8Nivel: &amp;a"&amp;MAIN!$G$93+($C$2*MAIN!$I$27)&amp;"'"</f>
        <v xml:space="preserve">  - '&amp;7• &amp;8Nivel: &amp;a389'</v>
      </c>
      <c r="R25" s="10"/>
      <c r="S25" s="10"/>
      <c r="T25" s="10"/>
    </row>
    <row r="26" spans="1:20" x14ac:dyDescent="0.25">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1196</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&amp;a"&amp;MAIN!$C$88*$C$2&amp;"'"</f>
        <v xml:space="preserve">  - '&amp;4• &amp;fFuerza: &amp;a4'</v>
      </c>
      <c r="B30" s="10"/>
      <c r="C30" s="10"/>
      <c r="D30" s="10"/>
      <c r="E30" s="10" t="str">
        <f>"  - '&amp;4• &amp;f"&amp;MAIN!$C$9&amp;": &amp;a"&amp;MAIN!$D$88*$C$2&amp;"'"</f>
        <v xml:space="preserve">  - '&amp;4• &amp;fFuerza: &amp;a6'</v>
      </c>
      <c r="F30" s="10"/>
      <c r="G30" s="10"/>
      <c r="H30" s="10"/>
      <c r="I30" s="10" t="str">
        <f>"  - '&amp;4• &amp;f"&amp;MAIN!$C$9&amp;": &amp;a"&amp;MAIN!$E$88*$C$2&amp;"'"</f>
        <v xml:space="preserve">  - '&amp;4• &amp;fFuerza: &amp;a10'</v>
      </c>
      <c r="J30" s="10"/>
      <c r="K30" s="10"/>
      <c r="L30" s="10"/>
      <c r="M30" s="10" t="str">
        <f>"  - '&amp;4• &amp;f"&amp;MAIN!$C$9&amp;": &amp;a"&amp;MAIN!$F$88*$C$2&amp;"'"</f>
        <v xml:space="preserve">  - '&amp;4• &amp;fFuerza: &amp;a17'</v>
      </c>
      <c r="N30" s="10"/>
      <c r="O30" s="10"/>
      <c r="P30" s="10"/>
      <c r="Q30" s="10" t="str">
        <f>"  - '&amp;4• &amp;f"&amp;MAIN!$C$9&amp;": &amp;a"&amp;MAIN!$G$88*$C$2&amp;"'"</f>
        <v xml:space="preserve">  - '&amp;4• &amp;fFuerza: &amp;a28'</v>
      </c>
      <c r="R30" s="10"/>
      <c r="S30" s="10"/>
      <c r="T30" s="10"/>
    </row>
    <row r="31" spans="1:20" x14ac:dyDescent="0.25">
      <c r="A31" s="10" t="str">
        <f>"  - '&amp;4• &amp;f"&amp;MAIN!$C$8&amp;": &amp;a"&amp;MAIN!$C$88*$C$2&amp;"'"</f>
        <v xml:space="preserve">  - '&amp;4• &amp;fVitalidad: &amp;a4'</v>
      </c>
      <c r="B31" s="10"/>
      <c r="C31" s="10"/>
      <c r="D31" s="10"/>
      <c r="E31" s="10" t="str">
        <f>"  - '&amp;4• &amp;f"&amp;MAIN!$C$8&amp;": &amp;a"&amp;MAIN!$D$88*$C$2&amp;"'"</f>
        <v xml:space="preserve">  - '&amp;4• &amp;fVitalidad: &amp;a6'</v>
      </c>
      <c r="F31" s="10"/>
      <c r="G31" s="10"/>
      <c r="H31" s="10"/>
      <c r="I31" s="10" t="str">
        <f>"  - '&amp;4• &amp;f"&amp;MAIN!$C$8&amp;": &amp;a"&amp;MAIN!$E$88*$C$2&amp;"'"</f>
        <v xml:space="preserve">  - '&amp;4• &amp;fVitalidad: &amp;a10'</v>
      </c>
      <c r="J31" s="10"/>
      <c r="K31" s="10"/>
      <c r="L31" s="10"/>
      <c r="M31" s="10" t="str">
        <f>"  - '&amp;4• &amp;f"&amp;MAIN!$C$8&amp;": &amp;a"&amp;MAIN!$F$88*$C$2&amp;"'"</f>
        <v xml:space="preserve">  - '&amp;4• &amp;fVitalidad: &amp;a17'</v>
      </c>
      <c r="N31" s="10"/>
      <c r="O31" s="10"/>
      <c r="P31" s="10"/>
      <c r="Q31" s="10" t="str">
        <f>"  - '&amp;4• &amp;f"&amp;MAIN!$C$8&amp;": &amp;a"&amp;MAIN!$G$88*$C$2&amp;"'"</f>
        <v xml:space="preserve">  - '&amp;4• &amp;fVitalidad: &amp;a28'</v>
      </c>
      <c r="R31" s="10"/>
      <c r="S31" s="10"/>
      <c r="T31" s="10"/>
    </row>
    <row r="32" spans="1:20" x14ac:dyDescent="0.25">
      <c r="A32" s="10" t="str">
        <f>"  - '&amp;4• &amp;f"&amp;MAIN!$C$11&amp;": &amp;a"&amp;MAIN!$C$90*$C$2&amp;"'"</f>
        <v xml:space="preserve">  - '&amp;4• &amp;fInteligencia: &amp;a4'</v>
      </c>
      <c r="B32" s="10"/>
      <c r="C32" s="10"/>
      <c r="D32" s="10"/>
      <c r="E32" s="10" t="str">
        <f>"  - '&amp;4• &amp;f"&amp;MAIN!$C$11&amp;": &amp;a"&amp;MAIN!$D$90*$C$2&amp;"'"</f>
        <v xml:space="preserve">  - '&amp;4• &amp;fInteligencia: &amp;a6'</v>
      </c>
      <c r="F32" s="10"/>
      <c r="G32" s="10"/>
      <c r="H32" s="10"/>
      <c r="I32" s="10" t="str">
        <f>"  - '&amp;4• &amp;f"&amp;MAIN!$C$11&amp;": &amp;a"&amp;MAIN!$E$90*$C$2&amp;"'"</f>
        <v xml:space="preserve">  - '&amp;4• &amp;fInteligencia: &amp;a10'</v>
      </c>
      <c r="J32" s="10"/>
      <c r="K32" s="10"/>
      <c r="L32" s="10"/>
      <c r="M32" s="10" t="str">
        <f>"  - '&amp;4• &amp;f"&amp;MAIN!$C$11&amp;": &amp;a"&amp;MAIN!$F$90*$C$2&amp;"'"</f>
        <v xml:space="preserve">  - '&amp;4• &amp;fInteligencia: &amp;a17'</v>
      </c>
      <c r="N32" s="10"/>
      <c r="O32" s="10"/>
      <c r="P32" s="10"/>
      <c r="Q32" s="10" t="str">
        <f>"  - '&amp;4• &amp;f"&amp;MAIN!$C$11&amp;": &amp;a"&amp;MAIN!$G$90*$C$2&amp;"'"</f>
        <v xml:space="preserve">  - '&amp;4• &amp;fInteligencia: &amp;a28'</v>
      </c>
      <c r="R32" s="10"/>
      <c r="S32" s="10"/>
      <c r="T32" s="10"/>
    </row>
    <row r="33" spans="1:20" x14ac:dyDescent="0.25">
      <c r="A33" s="10" t="str">
        <f>"  - '&amp;4• &amp;f"&amp;MAIN!$C$10&amp;": &amp;a"&amp;MAIN!$C$89*$C$2&amp;"'"</f>
        <v xml:space="preserve">  - '&amp;4• &amp;fAgilidad: &amp;a4'</v>
      </c>
      <c r="B33" s="10"/>
      <c r="C33" s="10"/>
      <c r="D33" s="10"/>
      <c r="E33" s="10" t="str">
        <f>"  - '&amp;4• &amp;f"&amp;MAIN!$C$10&amp;": &amp;a"&amp;MAIN!$D$89*$C$2&amp;"'"</f>
        <v xml:space="preserve">  - '&amp;4• &amp;fAgilidad: &amp;a6'</v>
      </c>
      <c r="F33" s="10"/>
      <c r="G33" s="10"/>
      <c r="H33" s="10"/>
      <c r="I33" s="10" t="str">
        <f>"  - '&amp;4• &amp;f"&amp;MAIN!$C$10&amp;": &amp;a"&amp;MAIN!$E$89*$C$2&amp;"'"</f>
        <v xml:space="preserve">  - '&amp;4• &amp;fAgilidad: &amp;a10'</v>
      </c>
      <c r="J33" s="10"/>
      <c r="K33" s="10"/>
      <c r="L33" s="10"/>
      <c r="M33" s="10" t="str">
        <f>"  - '&amp;4• &amp;f"&amp;MAIN!$C$10&amp;": &amp;a"&amp;MAIN!$F$89*$C$2&amp;"'"</f>
        <v xml:space="preserve">  - '&amp;4• &amp;fAgilidad: &amp;a17'</v>
      </c>
      <c r="N33" s="10"/>
      <c r="O33" s="10"/>
      <c r="P33" s="10"/>
      <c r="Q33" s="10" t="str">
        <f>"  - '&amp;4• &amp;f"&amp;MAIN!$C$10&amp;": &amp;a"&amp;MAIN!$G$89*$C$2&amp;"'"</f>
        <v xml:space="preserve">  - '&amp;4• &amp;fAgilidad: &amp;a28'</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3"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92"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3"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9"/>
      <c r="B47" s="9"/>
      <c r="C47" s="9"/>
      <c r="D47" s="9"/>
    </row>
    <row r="48" spans="1:20" x14ac:dyDescent="0.25">
      <c r="A48" s="9"/>
      <c r="B48" s="9"/>
      <c r="C48" s="9"/>
      <c r="D48" s="9"/>
      <c r="G48" s="13"/>
      <c r="H48" s="13"/>
      <c r="I48" s="13"/>
    </row>
    <row r="49" spans="1:9" x14ac:dyDescent="0.25">
      <c r="A49" s="9"/>
      <c r="B49" s="9"/>
      <c r="C49" s="9"/>
      <c r="D49" s="9"/>
      <c r="G49" s="13"/>
      <c r="H49" s="13"/>
      <c r="I49" s="13"/>
    </row>
    <row r="50" spans="1:9" x14ac:dyDescent="0.25">
      <c r="A50" s="9"/>
      <c r="B50" s="9"/>
      <c r="C50" s="9"/>
      <c r="D50" s="9"/>
      <c r="G50" s="13"/>
      <c r="H50" s="13"/>
      <c r="I50" s="13"/>
    </row>
    <row r="51" spans="1:9" x14ac:dyDescent="0.25">
      <c r="A51" s="9"/>
      <c r="B51" s="9"/>
      <c r="C51" s="9"/>
      <c r="D51" s="9"/>
      <c r="G51" s="13"/>
      <c r="H51" s="13"/>
      <c r="I51" s="13"/>
    </row>
    <row r="52" spans="1:9" x14ac:dyDescent="0.25">
      <c r="A52" s="9"/>
      <c r="B52" s="9"/>
      <c r="C52" s="9"/>
      <c r="D52" s="9"/>
      <c r="G52" s="13"/>
      <c r="H52" s="13"/>
      <c r="I52" s="13"/>
    </row>
    <row r="53" spans="1:9" x14ac:dyDescent="0.25">
      <c r="A53" s="9"/>
      <c r="B53" s="9"/>
      <c r="C53" s="9"/>
      <c r="D53" s="9"/>
      <c r="G53" s="13"/>
      <c r="H53" s="13"/>
      <c r="I53" s="13"/>
    </row>
    <row r="54" spans="1:9" x14ac:dyDescent="0.25">
      <c r="A54" s="9"/>
      <c r="B54" s="9"/>
      <c r="C54" s="9"/>
      <c r="D54" s="9"/>
      <c r="G54" s="13"/>
      <c r="H54" s="13"/>
      <c r="I54" s="13"/>
    </row>
    <row r="55" spans="1:9" x14ac:dyDescent="0.25">
      <c r="A55" s="9"/>
      <c r="B55" s="9"/>
      <c r="C55" s="9"/>
      <c r="D55" s="9"/>
      <c r="G55" s="13"/>
      <c r="H55" s="13"/>
      <c r="I55" s="13"/>
    </row>
    <row r="56" spans="1:9" x14ac:dyDescent="0.25">
      <c r="A56" s="9"/>
      <c r="B56" s="9"/>
      <c r="C56" s="9"/>
      <c r="D56" s="9"/>
    </row>
    <row r="57" spans="1:9" x14ac:dyDescent="0.25">
      <c r="A57" s="9"/>
      <c r="B57" s="9"/>
      <c r="C57" s="9"/>
      <c r="D57" s="9"/>
    </row>
    <row r="58" spans="1:9" x14ac:dyDescent="0.25">
      <c r="A58" s="9"/>
      <c r="B58" s="9"/>
      <c r="C58" s="9"/>
      <c r="D58" s="9"/>
    </row>
    <row r="59" spans="1:9" x14ac:dyDescent="0.25">
      <c r="A59" s="9"/>
      <c r="B59" s="9"/>
      <c r="C59" s="9"/>
      <c r="D59" s="9"/>
    </row>
    <row r="60" spans="1:9" x14ac:dyDescent="0.25">
      <c r="A60" s="9"/>
      <c r="B60" s="9"/>
      <c r="C60" s="9"/>
      <c r="D60" s="9"/>
    </row>
    <row r="61" spans="1:9" x14ac:dyDescent="0.25">
      <c r="A61" s="9"/>
      <c r="B61" s="9"/>
      <c r="C61" s="9"/>
      <c r="D61" s="9"/>
    </row>
    <row r="62" spans="1:9" x14ac:dyDescent="0.25">
      <c r="A62" s="9"/>
      <c r="B62" s="9"/>
      <c r="C62" s="9"/>
      <c r="D62" s="9"/>
    </row>
    <row r="63" spans="1:9" x14ac:dyDescent="0.25">
      <c r="A63" s="9"/>
      <c r="B63" s="9"/>
      <c r="C63" s="9"/>
      <c r="D63" s="9"/>
    </row>
    <row r="64" spans="1:9" x14ac:dyDescent="0.25">
      <c r="A64" s="9"/>
      <c r="B64" s="9"/>
      <c r="C64" s="9"/>
      <c r="D64" s="9"/>
    </row>
    <row r="65" spans="1:4" x14ac:dyDescent="0.25">
      <c r="A65" s="9"/>
      <c r="B65" s="9"/>
      <c r="C65" s="9"/>
      <c r="D65" s="9"/>
    </row>
    <row r="66" spans="1:4" x14ac:dyDescent="0.25">
      <c r="A66" s="9"/>
      <c r="B66" s="9"/>
      <c r="C66" s="9"/>
      <c r="D66" s="9"/>
    </row>
    <row r="67" spans="1:4" x14ac:dyDescent="0.25">
      <c r="A67" s="9"/>
      <c r="B67" s="9"/>
      <c r="C67" s="9"/>
      <c r="D67" s="9"/>
    </row>
    <row r="68" spans="1:4" x14ac:dyDescent="0.25">
      <c r="A68" s="9"/>
      <c r="B68" s="9"/>
      <c r="C68" s="9"/>
      <c r="D68" s="9"/>
    </row>
    <row r="69" spans="1:4" x14ac:dyDescent="0.25">
      <c r="A69" s="9"/>
      <c r="B69" s="9"/>
      <c r="C69" s="9"/>
      <c r="D69" s="9"/>
    </row>
    <row r="70" spans="1:4" x14ac:dyDescent="0.25">
      <c r="A70" s="9"/>
      <c r="B70" s="9"/>
      <c r="C70" s="9"/>
      <c r="D70" s="9"/>
    </row>
    <row r="71" spans="1:4" x14ac:dyDescent="0.25">
      <c r="A71" s="9"/>
      <c r="B71" s="9"/>
      <c r="C71" s="9"/>
      <c r="D71" s="9"/>
    </row>
    <row r="72" spans="1:4" x14ac:dyDescent="0.25">
      <c r="A72" s="9"/>
      <c r="B72" s="9"/>
      <c r="C72" s="9"/>
      <c r="D72" s="9"/>
    </row>
    <row r="73" spans="1:4" x14ac:dyDescent="0.25">
      <c r="A73" s="9"/>
      <c r="B73" s="9"/>
      <c r="C73" s="9"/>
      <c r="D73" s="9"/>
    </row>
    <row r="74" spans="1:4" x14ac:dyDescent="0.25">
      <c r="A74" s="9"/>
      <c r="B74" s="9"/>
      <c r="C74" s="9"/>
      <c r="D74" s="9"/>
    </row>
    <row r="75" spans="1:4" x14ac:dyDescent="0.25">
      <c r="A75" s="9"/>
      <c r="B75" s="9"/>
      <c r="C75" s="9"/>
      <c r="D75" s="9"/>
    </row>
    <row r="76" spans="1:4" x14ac:dyDescent="0.25">
      <c r="A76" s="9"/>
      <c r="B76" s="9"/>
      <c r="C76" s="9"/>
      <c r="D76" s="9"/>
    </row>
    <row r="77" spans="1:4" x14ac:dyDescent="0.25">
      <c r="A77" s="9"/>
      <c r="B77" s="9"/>
      <c r="C77" s="9"/>
      <c r="D77" s="9"/>
    </row>
    <row r="78" spans="1:4" x14ac:dyDescent="0.25">
      <c r="A78" s="9"/>
      <c r="B78" s="9"/>
      <c r="C78" s="9"/>
      <c r="D78" s="9"/>
    </row>
    <row r="79" spans="1:4" x14ac:dyDescent="0.25">
      <c r="A79" s="9"/>
      <c r="B79" s="9"/>
      <c r="C79" s="9"/>
      <c r="D79" s="9"/>
    </row>
    <row r="80" spans="1:4"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Z170"/>
  <sheetViews>
    <sheetView topLeftCell="U1" workbookViewId="0">
      <selection activeCell="Z4" sqref="Z4:Z8"/>
    </sheetView>
  </sheetViews>
  <sheetFormatPr baseColWidth="10" defaultColWidth="11.42578125" defaultRowHeight="15" x14ac:dyDescent="0.25"/>
  <cols>
    <col min="1" max="21" width="11.42578125" style="16"/>
    <col min="22" max="22" width="14" style="16" customWidth="1"/>
    <col min="23" max="16384" width="11.42578125" style="16"/>
  </cols>
  <sheetData>
    <row r="1" spans="1:26" ht="30.75" customHeight="1" x14ac:dyDescent="0.25">
      <c r="A1" s="351" t="s">
        <v>19</v>
      </c>
      <c r="B1" s="351"/>
      <c r="C1" s="351" t="s">
        <v>70</v>
      </c>
      <c r="D1" s="351"/>
      <c r="E1" s="351" t="s">
        <v>80</v>
      </c>
      <c r="F1" s="351"/>
      <c r="G1" s="351" t="s">
        <v>89</v>
      </c>
      <c r="H1" s="351"/>
      <c r="I1" s="351" t="s">
        <v>1197</v>
      </c>
      <c r="J1" s="351"/>
      <c r="K1" s="351" t="s">
        <v>1199</v>
      </c>
      <c r="L1" s="351"/>
    </row>
    <row r="2" spans="1:26" x14ac:dyDescent="0.25">
      <c r="A2" s="301" t="s">
        <v>100</v>
      </c>
      <c r="B2" s="301"/>
      <c r="C2" s="301">
        <f>'ECONOMIA &amp; PROFESIONES'!$O$3</f>
        <v>3</v>
      </c>
      <c r="D2" s="301"/>
      <c r="E2" s="301" t="s">
        <v>81</v>
      </c>
      <c r="F2" s="301"/>
      <c r="G2" s="301" t="s">
        <v>97</v>
      </c>
      <c r="H2" s="301"/>
      <c r="I2" s="301" t="str">
        <f>MAIN!$J$42</f>
        <v>&amp;7Ataque:</v>
      </c>
      <c r="J2" s="301"/>
      <c r="K2" s="301">
        <f>MAIN!$L$42</f>
        <v>2</v>
      </c>
      <c r="L2" s="301"/>
    </row>
    <row r="3" spans="1:26" ht="29.25" customHeight="1" x14ac:dyDescent="0.25">
      <c r="A3" s="357" t="s">
        <v>7</v>
      </c>
      <c r="B3" s="357"/>
      <c r="C3" s="357"/>
      <c r="D3" s="357"/>
      <c r="E3" s="357" t="s">
        <v>8</v>
      </c>
      <c r="F3" s="357"/>
      <c r="G3" s="357"/>
      <c r="H3" s="357"/>
      <c r="I3" s="357" t="s">
        <v>83</v>
      </c>
      <c r="J3" s="357"/>
      <c r="K3" s="357"/>
      <c r="L3" s="357"/>
      <c r="M3" s="357" t="s">
        <v>84</v>
      </c>
      <c r="N3" s="357"/>
      <c r="O3" s="357"/>
      <c r="P3" s="357"/>
      <c r="Q3" s="357" t="s">
        <v>85</v>
      </c>
      <c r="R3" s="357"/>
      <c r="S3" s="357"/>
      <c r="T3" s="357"/>
      <c r="U3" s="291"/>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91">
        <v>1</v>
      </c>
      <c r="V4" s="291" t="str">
        <f>$I$2&amp;" "&amp;ROUND(MAIN!$C$44*$C$2*$K$2/5*$U$4,0)</f>
        <v>&amp;7Ataque: 2</v>
      </c>
      <c r="W4" s="291" t="str">
        <f>$I$2&amp;" "&amp;ROUND(MAIN!$D$44*$C$2*$K$2/5*$U$4,0)</f>
        <v>&amp;7Ataque: 7</v>
      </c>
      <c r="X4" s="291" t="str">
        <f>$I$2&amp;" "&amp;ROUND(MAIN!$E$44*$C$2*$K$2/5*$U$4,0)</f>
        <v>&amp;7Ataque: 22</v>
      </c>
      <c r="Y4" s="291" t="str">
        <f>$I$2&amp;" "&amp;ROUND(MAIN!$F$44*$C$2*$K$2/5*$U$4,0)</f>
        <v>&amp;7Ataque: 65</v>
      </c>
      <c r="Z4" s="291" t="str">
        <f>$I$2&amp;" "&amp;ROUND(MAIN!$G$44*$C$2*$K$2/5*$U$4,0)</f>
        <v>&amp;7Ataque: 194</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91">
        <v>2</v>
      </c>
      <c r="V5" s="291" t="str">
        <f>$I$2&amp;" "&amp;ROUND(MAIN!$C$44*$C$2*$K$2/5*$U$5,0)</f>
        <v>&amp;7Ataque: 5</v>
      </c>
      <c r="W5" s="291" t="str">
        <f>$I$2&amp;" "&amp;ROUND(MAIN!$D$44*$C$2*$K$2/5*$U$5,0)</f>
        <v>&amp;7Ataque: 14</v>
      </c>
      <c r="X5" s="291" t="str">
        <f>$I$2&amp;" "&amp;ROUND(MAIN!$E$44*$C$2*$K$2/5*$U$5,0)</f>
        <v>&amp;7Ataque: 43</v>
      </c>
      <c r="Y5" s="291" t="str">
        <f>$I$2&amp;" "&amp;ROUND(MAIN!$F$44*$C$2*$K$2/5*$U$5,0)</f>
        <v>&amp;7Ataque: 130</v>
      </c>
      <c r="Z5" s="291" t="str">
        <f>$I$2&amp;" "&amp;ROUND(MAIN!$G$44*$C$2*$K$2/5*$U$5,0)</f>
        <v>&amp;7Ataque: 389</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$I$2&amp;" "&amp;ROUND(MAIN!$C$44*$C$2*$K$2/5*$U$6,0)</f>
        <v>&amp;7Ataque: 7</v>
      </c>
      <c r="W6" s="291" t="str">
        <f>$I$2&amp;" "&amp;ROUND(MAIN!$D$44*$C$2*$K$2/5*$U$6,0)</f>
        <v>&amp;7Ataque: 22</v>
      </c>
      <c r="X6" s="291" t="str">
        <f>$I$2&amp;" "&amp;ROUND(MAIN!$E$44*$C$2*$K$2/5*$U$6,0)</f>
        <v>&amp;7Ataque: 65</v>
      </c>
      <c r="Y6" s="291" t="str">
        <f>$I$2&amp;" "&amp;ROUND(MAIN!$F$44*$C$2*$K$2/5*$U$6,0)</f>
        <v>&amp;7Ataque: 194</v>
      </c>
      <c r="Z6" s="291" t="str">
        <f>$I$2&amp;" "&amp;ROUND(MAIN!$G$44*$C$2*$K$2/5*$U$6,0)</f>
        <v>&amp;7Ataque: 583</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$I$2&amp;" "&amp;ROUND(MAIN!$C$44*$C$2*$K$2/5*$U$7,0)</f>
        <v>&amp;7Ataque: 10</v>
      </c>
      <c r="W7" s="291" t="str">
        <f>$I$2&amp;" "&amp;ROUND(MAIN!$D$44*$C$2*$K$2/5*$U$7,0)</f>
        <v>&amp;7Ataque: 29</v>
      </c>
      <c r="X7" s="291" t="str">
        <f>$I$2&amp;" "&amp;ROUND(MAIN!$E$44*$C$2*$K$2/5*$U$7,0)</f>
        <v>&amp;7Ataque: 86</v>
      </c>
      <c r="Y7" s="291" t="str">
        <f>$I$2&amp;" "&amp;ROUND(MAIN!$F$44*$C$2*$K$2/5*$U$7,0)</f>
        <v>&amp;7Ataque: 259</v>
      </c>
      <c r="Z7" s="291" t="str">
        <f>$I$2&amp;" "&amp;ROUND(MAIN!$G$44*$C$2*$K$2/5*$U$7,0)</f>
        <v>&amp;7Ataque: 778</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$I$2&amp;" "&amp;ROUND(MAIN!$C$44*$C$2*$K$2/5*$U$8,0)</f>
        <v>&amp;7Ataque: 12</v>
      </c>
      <c r="W8" s="291" t="str">
        <f>$I$2&amp;" "&amp;ROUND(MAIN!$D$44*$C$2*$K$2/5*$U$8,0)</f>
        <v>&amp;7Ataque: 36</v>
      </c>
      <c r="X8" s="291" t="str">
        <f>$I$2&amp;" "&amp;ROUND(MAIN!$E$44*$C$2*$K$2/5*$U$8,0)</f>
        <v>&amp;7Ataque: 108</v>
      </c>
      <c r="Y8" s="291" t="str">
        <f>$I$2&amp;" "&amp;ROUND(MAIN!$F$44*$C$2*$K$2/5*$U$8,0)</f>
        <v>&amp;7Ataque: 324</v>
      </c>
      <c r="Z8" s="291" t="str">
        <f>$I$2&amp;" "&amp;ROUND(MAIN!$G$44*$C$2*$K$2/5*$U$8,0)</f>
        <v>&amp;7Ataque: 972</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"&amp;MAIN!$D$20</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  maximumBonusEnchantments: "&amp;MAIN!$D$21</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  - DURABILITY:"&amp;MAIN!$D$25&amp;":"&amp;MAIN!$D$26</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  - ARROW_INFINITE:"&amp;MAIN!$D$18&amp;":"&amp;MAIN!$D$19</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  - ARROW_DAMAGE:"&amp;MAIN!$D$18&amp;":"&amp;MAIN!$D$19</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  - ARROW_FIRE:"&amp;MAIN!$D$18&amp;":"&amp;MAIN!$D$19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  - ARROW_KNOCKBACK:"&amp;MAIN!$D$18&amp;":"&amp;MAIN!$D$19</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  - DAMAGE_ALL:"&amp;MAIN!$D$18&amp;":"&amp;MAIN!$D$19</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  - DAMAGE_ARTHROPODS:"&amp;MAIN!$D$18&amp;":"&amp;MAIN!$D$19</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  - DAMAGE_UNDEAD:"&amp;MAIN!$D$18&amp;":"&amp;MAIN!$D$19</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  - DIG_SPEED:"&amp;MAIN!$D$18&amp;":"&amp;MAIN!$D$19</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  - DURABILITY:"&amp;MAIN!$D$18&amp;":"&amp;MAIN!$D$19</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  - FIRE_ASPECT:"&amp;MAIN!$D$18&amp;":"&amp;MAIN!$D$19</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  - KNOCKBACK:"&amp;MAIN!$D$18&amp;":"&amp;MAIN!$D$19</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  - LOOT_BONUS_BLOCKS:"&amp;MAIN!$D$18&amp;":"&amp;MAIN!$D$19</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  - LOOT_BONUS_MOBS:"&amp;MAIN!$D$18&amp;":"&amp;MAIN!$D$19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  - OXYGEN:"&amp;MAIN!$D$18&amp;":"&amp;MAIN!$D$19</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  - PROTECTION_ENVIRONMENT:"&amp;MAIN!$D$18&amp;":"&amp;MAIN!$D$19</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  - PROTECTION_EXPLOSIONS:"&amp;MAIN!$D$18&amp;":"&amp;MAIN!$D$19</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  - PROTECTION_FALL:"&amp;MAIN!$D$18&amp;":"&amp;MAIN!$D$19</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  - PROTECTION_FIRE:"&amp;MAIN!$D$18&amp;":"&amp;MAIN!$D$19</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  - PROTECTION_PROJECTILE:"&amp;MAIN!$D$18&amp;":"&amp;MAIN!$D$19</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  - SILK_TOUCH:"&amp;MAIN!$D$18&amp;":"&amp;MAIN!$D$19</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  - THORNS:"&amp;MAIN!$D$18&amp;":"&amp;MAIN!$D$19</f>
        <v xml:space="preserve">  - THORNS:1:1</v>
      </c>
      <c r="B37" s="22"/>
      <c r="C37" s="22"/>
      <c r="D37" s="22"/>
      <c r="E37" s="22" t="str">
        <f>$A$37</f>
        <v xml:space="preserve">  - THORNS:1:1</v>
      </c>
      <c r="F37" s="22"/>
      <c r="G37" s="22"/>
      <c r="H37" s="22"/>
      <c r="I37" s="22" t="str">
        <f>$A$37</f>
        <v xml:space="preserve">  - THORNS:1:1</v>
      </c>
      <c r="J37" s="22"/>
      <c r="K37" s="22"/>
      <c r="L37" s="22"/>
      <c r="M37" s="22" t="str">
        <f>$A$37</f>
        <v xml:space="preserve">  - THORNS:1:1</v>
      </c>
      <c r="N37" s="22"/>
      <c r="O37" s="22"/>
      <c r="P37" s="22"/>
      <c r="Q37" s="22" t="str">
        <f>$A$37</f>
        <v xml:space="preserve">  - THORNS:1:1</v>
      </c>
      <c r="R37" s="22"/>
      <c r="S37" s="22"/>
      <c r="T37" s="22"/>
    </row>
    <row r="38" spans="1:20" x14ac:dyDescent="0.25">
      <c r="A38" s="22" t="str">
        <f>"  - WATER_WORKER:"&amp;MAIN!$D$18&amp;":"&amp;MAIN!$D$19</f>
        <v xml:space="preserve">  - WATER_WORKER:1:1</v>
      </c>
      <c r="B38" s="22"/>
      <c r="C38" s="22"/>
      <c r="D38" s="22"/>
      <c r="E38" s="22" t="str">
        <f>$A$38</f>
        <v xml:space="preserve">  - WATER_WORKER:1:1</v>
      </c>
      <c r="F38" s="22"/>
      <c r="G38" s="22"/>
      <c r="H38" s="22"/>
      <c r="I38" s="22" t="str">
        <f>$A$38</f>
        <v xml:space="preserve">  - WATER_WORKER:1:1</v>
      </c>
      <c r="J38" s="22"/>
      <c r="K38" s="22"/>
      <c r="L38" s="22"/>
      <c r="M38" s="22" t="str">
        <f>$A$38</f>
        <v xml:space="preserve">  - WATER_WORKER:1:1</v>
      </c>
      <c r="N38" s="22"/>
      <c r="O38" s="22"/>
      <c r="P38" s="22"/>
      <c r="Q38" s="22" t="str">
        <f>$A$38</f>
        <v xml:space="preserve">  - WATER_WORKER:1:1</v>
      </c>
      <c r="R38" s="22"/>
      <c r="S38" s="22"/>
      <c r="T38" s="22"/>
    </row>
    <row r="39" spans="1:20" x14ac:dyDescent="0.25">
      <c r="A39" s="9" t="s">
        <v>28</v>
      </c>
      <c r="B39" s="9"/>
      <c r="C39" s="9"/>
      <c r="D39" s="9"/>
      <c r="E39" s="9" t="s">
        <v>28</v>
      </c>
      <c r="F39" s="9"/>
      <c r="G39" s="9"/>
      <c r="H39" s="9"/>
      <c r="I39" s="9" t="s">
        <v>28</v>
      </c>
      <c r="J39" s="9"/>
      <c r="K39" s="9"/>
      <c r="L39" s="9"/>
      <c r="M39" s="9" t="s">
        <v>28</v>
      </c>
      <c r="N39" s="9"/>
      <c r="O39" s="9"/>
      <c r="P39" s="9"/>
      <c r="Q39" s="9" t="s">
        <v>28</v>
      </c>
      <c r="R39" s="9"/>
      <c r="S39" s="9"/>
      <c r="T39" s="9"/>
    </row>
    <row r="40" spans="1:20" x14ac:dyDescent="0.25">
      <c r="A40" s="11" t="str">
        <f>"  minimumBonusLore: "&amp;MAIN!$D$23</f>
        <v xml:space="preserve">  minimumBonusLore: 0</v>
      </c>
      <c r="B40" s="11"/>
      <c r="C40" s="11"/>
      <c r="D40" s="11"/>
      <c r="E40" s="11" t="str">
        <f>$A$40</f>
        <v xml:space="preserve">  minimumBonusLore: 0</v>
      </c>
      <c r="F40" s="11"/>
      <c r="G40" s="11"/>
      <c r="H40" s="11"/>
      <c r="I40" s="11" t="str">
        <f t="shared" ref="I40" si="15">$A$40</f>
        <v xml:space="preserve">  minimumBonusLore: 0</v>
      </c>
      <c r="J40" s="11"/>
      <c r="K40" s="11"/>
      <c r="L40" s="11"/>
      <c r="M40" s="11" t="str">
        <f t="shared" ref="M40" si="16">$A$40</f>
        <v xml:space="preserve">  minimumBonusLore: 0</v>
      </c>
      <c r="N40" s="11"/>
      <c r="O40" s="11"/>
      <c r="P40" s="11"/>
      <c r="Q40" s="11" t="str">
        <f t="shared" ref="Q40" si="17">$A$40</f>
        <v xml:space="preserve">  minimumBonusLore: 0</v>
      </c>
      <c r="R40" s="11"/>
      <c r="S40" s="11"/>
      <c r="T40" s="11"/>
    </row>
    <row r="41" spans="1:20" x14ac:dyDescent="0.25">
      <c r="A41" s="11" t="str">
        <f>"  maximumBonusLore: "&amp;MAIN!$D$24</f>
        <v xml:space="preserve">  maximumBonusLore: 1</v>
      </c>
      <c r="B41" s="11"/>
      <c r="C41" s="11"/>
      <c r="D41" s="11"/>
      <c r="E41" s="11" t="str">
        <f>$A$41</f>
        <v xml:space="preserve">  maximumBonusLore: 1</v>
      </c>
      <c r="F41" s="11"/>
      <c r="G41" s="11"/>
      <c r="H41" s="11"/>
      <c r="I41" s="11" t="str">
        <f t="shared" ref="I41" si="18">$A$41</f>
        <v xml:space="preserve">  maximumBonusLore: 1</v>
      </c>
      <c r="J41" s="11"/>
      <c r="K41" s="11"/>
      <c r="L41" s="11"/>
      <c r="M41" s="11" t="str">
        <f t="shared" ref="M41" si="19">$A$41</f>
        <v xml:space="preserve">  maximumBonusLore: 1</v>
      </c>
      <c r="N41" s="11"/>
      <c r="O41" s="11"/>
      <c r="P41" s="11"/>
      <c r="Q41" s="11" t="str">
        <f t="shared" ref="Q41" si="20">$A$41</f>
        <v xml:space="preserve">  maximumBonusLore: 1</v>
      </c>
      <c r="R41" s="11"/>
      <c r="S41" s="11"/>
      <c r="T41" s="11"/>
    </row>
    <row r="42" spans="1:20" x14ac:dyDescent="0.25">
      <c r="A42" s="9" t="s">
        <v>29</v>
      </c>
      <c r="B42" s="9"/>
      <c r="C42" s="9"/>
      <c r="D42" s="9"/>
      <c r="E42" s="9" t="s">
        <v>29</v>
      </c>
      <c r="F42" s="9"/>
      <c r="G42" s="9"/>
      <c r="H42" s="9"/>
      <c r="I42" s="9" t="s">
        <v>29</v>
      </c>
      <c r="J42" s="9"/>
      <c r="K42" s="9"/>
      <c r="L42" s="9"/>
      <c r="M42" s="9" t="s">
        <v>29</v>
      </c>
      <c r="N42" s="9"/>
      <c r="O42" s="9"/>
      <c r="P42" s="9"/>
      <c r="Q42" s="9" t="s">
        <v>29</v>
      </c>
      <c r="R42" s="9"/>
      <c r="S42" s="9"/>
      <c r="T42" s="9"/>
    </row>
    <row r="43" spans="1:20" x14ac:dyDescent="0.25">
      <c r="A43" s="20" t="str">
        <f>"  - '&amp;aVenta: &amp;6"&amp;(MAIN!$D$2+(MAIN!$D$18+MAIN!$D$19)/2*MAIN!$B$9+(MAIN!$D$20+MAIN!$D$21)/2*MAIN!$B$8+(MAIN!$D$47*MAIN!$B$11)+($C$2*MAIN!$B$10))/10&amp;" &amp;aAlmakos'"</f>
        <v xml:space="preserve">  - '&amp;aVenta: &amp;6245 &amp;aAlmakos'</v>
      </c>
      <c r="B43" s="20"/>
      <c r="C43" s="20"/>
      <c r="D43" s="20"/>
      <c r="E43" s="20" t="str">
        <f>"  - '&amp;aVenta: &amp;6"&amp;(MAIN!$D$3+(MAIN!$D$18+MAIN!$D$19)/2*MAIN!$B$9+(MAIN!$D$20+MAIN!$D$21)/2*MAIN!$B$8+(MAIN!$D$47*MAIN!$B$11)+($C$2*MAIN!$B$10))/10&amp;" &amp;aAlmakos'"</f>
        <v xml:space="preserve">  - '&amp;aVenta: &amp;6285 &amp;aAlmakos'</v>
      </c>
      <c r="F43" s="20"/>
      <c r="G43" s="20"/>
      <c r="H43" s="20"/>
      <c r="I43" s="20" t="str">
        <f>"  - '&amp;aVenta: &amp;6"&amp;(MAIN!$D$4+(MAIN!$D$18+MAIN!$D$19)/2*MAIN!$B$9+(MAIN!$D$20+MAIN!$D$21)/2*MAIN!$B$8+(MAIN!$D$47*MAIN!$B$11)+($C$2*MAIN!$B$10))/10&amp;" &amp;aAlmakos'"</f>
        <v xml:space="preserve">  - '&amp;aVenta: &amp;6365 &amp;aAlmakos'</v>
      </c>
      <c r="J43" s="20"/>
      <c r="K43" s="20"/>
      <c r="L43" s="20"/>
      <c r="M43" s="20" t="str">
        <f>"  - '&amp;aVenta: &amp;6"&amp;(MAIN!$D$5+(MAIN!$D$18+MAIN!$D$19)/2*MAIN!$B$9+(MAIN!$D$20+MAIN!$D$21)/2*MAIN!$B$8+(MAIN!$D$47*MAIN!$B$11)+($C$2*MAIN!$B$10))/10&amp;" &amp;aAlmakos'"</f>
        <v xml:space="preserve">  - '&amp;aVenta: &amp;6525 &amp;aAlmakos'</v>
      </c>
      <c r="N43" s="20"/>
      <c r="O43" s="20"/>
      <c r="P43" s="20"/>
      <c r="Q43" s="20" t="str">
        <f>"  - '&amp;aVenta: &amp;6"&amp;(MAIN!$D$6+(MAIN!$D$18+MAIN!$D$19)/2*MAIN!$B$9+(MAIN!$D$20+MAIN!$D$21)/2*MAIN!$B$8+(MAIN!$D$47*MAIN!$B$11)+($C$2*MAIN!$B$10))/10&amp;" &amp;aAlmakos'"</f>
        <v xml:space="preserve">  - '&amp;aVenta: &amp;6845 &amp;aAlmakos'</v>
      </c>
      <c r="R43" s="20"/>
      <c r="S43" s="20"/>
      <c r="T43" s="20"/>
    </row>
    <row r="44" spans="1:20" x14ac:dyDescent="0.25">
      <c r="A44" s="9" t="s">
        <v>30</v>
      </c>
      <c r="B44" s="9"/>
      <c r="C44" s="9"/>
      <c r="D44" s="9"/>
      <c r="E44" s="9" t="s">
        <v>30</v>
      </c>
      <c r="F44" s="9"/>
      <c r="G44" s="9"/>
      <c r="H44" s="9"/>
      <c r="I44" s="9" t="s">
        <v>30</v>
      </c>
      <c r="J44" s="9"/>
      <c r="K44" s="9"/>
      <c r="L44" s="9"/>
      <c r="M44" s="9" t="s">
        <v>30</v>
      </c>
      <c r="N44" s="9"/>
      <c r="O44" s="9"/>
      <c r="P44" s="9"/>
      <c r="Q44" s="9" t="s">
        <v>30</v>
      </c>
      <c r="R44" s="9"/>
      <c r="S44" s="9"/>
      <c r="T44" s="9"/>
    </row>
    <row r="45" spans="1:20" x14ac:dyDescent="0.25">
      <c r="A45" s="9" t="s">
        <v>31</v>
      </c>
      <c r="B45" s="9"/>
      <c r="C45" s="9"/>
      <c r="D45" s="9"/>
      <c r="E45" s="9" t="s">
        <v>31</v>
      </c>
      <c r="F45" s="9"/>
      <c r="G45" s="9"/>
      <c r="H45" s="9"/>
      <c r="I45" s="9" t="s">
        <v>31</v>
      </c>
      <c r="J45" s="9"/>
      <c r="K45" s="9"/>
      <c r="L45" s="9"/>
      <c r="M45" s="9" t="s">
        <v>31</v>
      </c>
      <c r="N45" s="9"/>
      <c r="O45" s="9"/>
      <c r="P45" s="9"/>
      <c r="Q45" s="9" t="s">
        <v>31</v>
      </c>
      <c r="R45" s="9"/>
      <c r="S45" s="9"/>
      <c r="T45" s="9"/>
    </row>
    <row r="46" spans="1:20" s="262" customFormat="1" x14ac:dyDescent="0.25">
      <c r="A46" s="9" t="s">
        <v>1032</v>
      </c>
      <c r="B46" s="9"/>
      <c r="C46" s="9"/>
      <c r="D46" s="9"/>
      <c r="E46" s="9" t="s">
        <v>1032</v>
      </c>
      <c r="F46" s="9"/>
      <c r="G46" s="9"/>
      <c r="H46" s="9"/>
      <c r="I46" s="9" t="s">
        <v>1032</v>
      </c>
      <c r="J46" s="9"/>
      <c r="K46" s="9"/>
      <c r="L46" s="9"/>
      <c r="M46" s="9" t="s">
        <v>1032</v>
      </c>
      <c r="N46" s="9"/>
      <c r="O46" s="9"/>
      <c r="P46" s="9"/>
      <c r="Q46" s="9" t="s">
        <v>1032</v>
      </c>
      <c r="R46" s="9"/>
      <c r="S46" s="9"/>
      <c r="T46" s="9"/>
    </row>
    <row r="47" spans="1:20" x14ac:dyDescent="0.25">
      <c r="A47" s="10" t="str">
        <f>"  - '&amp;7• &amp;8Nivel: &amp;a"&amp;MAIN!$C$49+($C$2*MAIN!$I$27)&amp;"'"</f>
        <v xml:space="preserve">  - '&amp;7• &amp;8Nivel: &amp;a18'</v>
      </c>
      <c r="B47" s="10"/>
      <c r="C47" s="10"/>
      <c r="D47" s="10"/>
      <c r="E47" s="10" t="str">
        <f>"  - '&amp;7• &amp;8Nivel: &amp;a"&amp;MAIN!$D$49+($C$2*MAIN!$I$27)&amp;"'"</f>
        <v xml:space="preserve">  - '&amp;7• &amp;8Nivel: &amp;a25'</v>
      </c>
      <c r="F47" s="10"/>
      <c r="G47" s="10"/>
      <c r="H47" s="10"/>
      <c r="I47" s="10" t="str">
        <f>"  - '&amp;7• &amp;8Nivel: &amp;a"&amp;MAIN!$E$49+($C$2*MAIN!$I$27)&amp;"'"</f>
        <v xml:space="preserve">  - '&amp;7• &amp;8Nivel: &amp;a47'</v>
      </c>
      <c r="J47" s="10"/>
      <c r="K47" s="10"/>
      <c r="L47" s="10"/>
      <c r="M47" s="10" t="str">
        <f>"  - '&amp;7• &amp;8Nivel: &amp;a"&amp;MAIN!$F$49+($C$2*MAIN!$I$27)&amp;"'"</f>
        <v xml:space="preserve">  - '&amp;7• &amp;8Nivel: &amp;a111'</v>
      </c>
      <c r="N47" s="10"/>
      <c r="O47" s="10"/>
      <c r="P47" s="10"/>
      <c r="Q47" s="10" t="str">
        <f>"  - '&amp;7• &amp;8Nivel: &amp;a"&amp;MAIN!$G$49+($C$2*MAIN!$I$27)&amp;"'"</f>
        <v xml:space="preserve">  - '&amp;7• &amp;8Nivel: &amp;a207'</v>
      </c>
      <c r="R47" s="10"/>
      <c r="S47" s="10"/>
      <c r="T47" s="10"/>
    </row>
    <row r="48" spans="1:20" x14ac:dyDescent="0.25">
      <c r="A48" s="12" t="str">
        <f>"  - '&amp;7• &amp;8"&amp;MAIN!$C$12&amp;" lvl: &amp;a"&amp;ROUNDUP((MAIN!$C$49+($C$2*MAIN!$I$27))/3,0)&amp;"'"</f>
        <v xml:space="preserve">  - '&amp;7• &amp;8Esencia lvl: &amp;a6'</v>
      </c>
      <c r="B48" s="12"/>
      <c r="C48" s="12"/>
      <c r="D48" s="12"/>
      <c r="E48" s="12" t="str">
        <f>"  - '&amp;7• &amp;8"&amp;MAIN!$C$12&amp;" lvl: &amp;a"&amp;ROUNDUP((MAIN!$D$49+($C$2*MAIN!$I$27))/3,0)&amp;"'"</f>
        <v xml:space="preserve">  - '&amp;7• &amp;8Esencia lvl: &amp;a9'</v>
      </c>
      <c r="F48" s="12"/>
      <c r="G48" s="12"/>
      <c r="H48" s="12"/>
      <c r="I48" s="12" t="str">
        <f>"  - '&amp;7• &amp;8"&amp;MAIN!$C$12&amp;" lvl: &amp;a"&amp;ROUNDUP((MAIN!$E$49+($C$2*MAIN!$I$27))/3,0)&amp;"'"</f>
        <v xml:space="preserve">  - '&amp;7• &amp;8Esencia lvl: &amp;a16'</v>
      </c>
      <c r="J48" s="12"/>
      <c r="K48" s="12"/>
      <c r="L48" s="12"/>
      <c r="M48" s="12" t="str">
        <f>"  - '&amp;7• &amp;8"&amp;MAIN!$C$12&amp;" lvl: &amp;a"&amp;ROUNDUP((MAIN!$F$49+($C$2*MAIN!$I$27))/3,0)&amp;"'"</f>
        <v xml:space="preserve">  - '&amp;7• &amp;8Esencia lvl: &amp;a37'</v>
      </c>
      <c r="N48" s="12"/>
      <c r="O48" s="12"/>
      <c r="P48" s="12"/>
      <c r="Q48" s="12" t="str">
        <f>"  - '&amp;7• &amp;8"&amp;MAIN!$C$12&amp;" lvl: &amp;a"&amp;ROUNDUP((MAIN!$G$49+($C$2*MAIN!$I$27))/3,0)&amp;"'"</f>
        <v xml:space="preserve">  - '&amp;7• &amp;8Esencia lvl: &amp;a69'</v>
      </c>
      <c r="R48" s="12"/>
      <c r="S48" s="12"/>
      <c r="T48" s="12"/>
    </row>
    <row r="49" spans="1:20" x14ac:dyDescent="0.25">
      <c r="A49" s="9" t="s">
        <v>32</v>
      </c>
      <c r="B49" s="9"/>
      <c r="C49" s="9"/>
      <c r="D49" s="9"/>
      <c r="E49" s="9" t="s">
        <v>32</v>
      </c>
      <c r="F49" s="9"/>
      <c r="G49" s="9"/>
      <c r="H49" s="9"/>
      <c r="I49" s="9" t="s">
        <v>32</v>
      </c>
      <c r="J49" s="9"/>
      <c r="K49" s="9"/>
      <c r="L49" s="9"/>
      <c r="M49" s="9" t="s">
        <v>32</v>
      </c>
      <c r="N49" s="9"/>
      <c r="O49" s="9"/>
      <c r="P49" s="9"/>
      <c r="Q49" s="9" t="s">
        <v>32</v>
      </c>
      <c r="R49" s="9"/>
      <c r="S49" s="9"/>
      <c r="T49" s="9"/>
    </row>
    <row r="50" spans="1:20" s="291" customFormat="1" x14ac:dyDescent="0.25">
      <c r="A50" s="9" t="s">
        <v>1196</v>
      </c>
      <c r="B50" s="9"/>
      <c r="C50" s="9"/>
      <c r="D50" s="9"/>
      <c r="E50" s="9" t="str">
        <f>A50</f>
        <v xml:space="preserve">  - '%tierlore%'</v>
      </c>
      <c r="F50" s="9"/>
      <c r="G50" s="9"/>
      <c r="H50" s="9"/>
      <c r="I50" s="9" t="str">
        <f>E50</f>
        <v xml:space="preserve">  - '%tierlore%'</v>
      </c>
      <c r="J50" s="9"/>
      <c r="K50" s="9"/>
      <c r="L50" s="9"/>
      <c r="M50" s="9" t="str">
        <f>I50</f>
        <v xml:space="preserve">  - '%tierlore%'</v>
      </c>
      <c r="N50" s="9"/>
      <c r="O50" s="9"/>
      <c r="P50" s="9"/>
      <c r="Q50" s="9" t="str">
        <f>M50</f>
        <v xml:space="preserve">  - '%tierlore%'</v>
      </c>
      <c r="R50" s="9"/>
      <c r="S50" s="9"/>
      <c r="T50" s="9"/>
    </row>
    <row r="51" spans="1:20" x14ac:dyDescent="0.25">
      <c r="A51" s="9" t="s">
        <v>33</v>
      </c>
      <c r="B51" s="9"/>
      <c r="C51" s="9"/>
      <c r="D51" s="9"/>
      <c r="E51" s="9" t="s">
        <v>33</v>
      </c>
      <c r="F51" s="9"/>
      <c r="G51" s="9"/>
      <c r="H51" s="9"/>
      <c r="I51" s="9" t="s">
        <v>33</v>
      </c>
      <c r="J51" s="9"/>
      <c r="K51" s="9"/>
      <c r="L51" s="9"/>
      <c r="M51" s="9" t="s">
        <v>33</v>
      </c>
      <c r="N51" s="9"/>
      <c r="O51" s="9"/>
      <c r="P51" s="9"/>
      <c r="Q51" s="9" t="s">
        <v>33</v>
      </c>
      <c r="R51" s="9"/>
      <c r="S51" s="9"/>
      <c r="T51" s="9"/>
    </row>
    <row r="52" spans="1:20" x14ac:dyDescent="0.25">
      <c r="A52" s="10" t="str">
        <f>"  - '&amp;4• &amp;f"&amp;MAIN!$C$9&amp;": &amp;a"&amp;MAIN!$C$44*$C$2&amp;"'"</f>
        <v xml:space="preserve">  - '&amp;4• &amp;fFuerza: &amp;a6'</v>
      </c>
      <c r="B52" s="10"/>
      <c r="C52" s="10"/>
      <c r="D52" s="10"/>
      <c r="E52" s="10" t="str">
        <f>"  - '&amp;4• &amp;f"&amp;MAIN!$C$9&amp;": &amp;a"&amp;MAIN!$D$44*$C$2&amp;"'"</f>
        <v xml:space="preserve">  - '&amp;4• &amp;fFuerza: &amp;a18'</v>
      </c>
      <c r="F52" s="10"/>
      <c r="G52" s="10"/>
      <c r="H52" s="10"/>
      <c r="I52" s="10" t="str">
        <f>"  - '&amp;4• &amp;f"&amp;MAIN!$C$9&amp;": &amp;a"&amp;MAIN!$E$44*$C$2&amp;"'"</f>
        <v xml:space="preserve">  - '&amp;4• &amp;fFuerza: &amp;a54'</v>
      </c>
      <c r="J52" s="10"/>
      <c r="K52" s="10"/>
      <c r="L52" s="10"/>
      <c r="M52" s="10" t="str">
        <f>"  - '&amp;4• &amp;f"&amp;MAIN!$C$9&amp;": &amp;a"&amp;MAIN!$F$44*$C$2&amp;"'"</f>
        <v xml:space="preserve">  - '&amp;4• &amp;fFuerza: &amp;a162'</v>
      </c>
      <c r="N52" s="10"/>
      <c r="O52" s="10"/>
      <c r="P52" s="10"/>
      <c r="Q52" s="10" t="str">
        <f>"  - '&amp;4• &amp;f"&amp;MAIN!$C$9&amp;": &amp;a"&amp;MAIN!$G$44*$C$2&amp;"'"</f>
        <v xml:space="preserve">  - '&amp;4• &amp;fFuerza: &amp;a486'</v>
      </c>
      <c r="R52" s="10"/>
      <c r="S52" s="10"/>
      <c r="T52" s="10"/>
    </row>
    <row r="53" spans="1:20" x14ac:dyDescent="0.25">
      <c r="A53" s="10" t="str">
        <f>"  - '&amp;4• &amp;f"&amp;MAIN!$C$8&amp;": &amp;a"&amp;MAIN!$C$43*$C$2&amp;"'"</f>
        <v xml:space="preserve">  - '&amp;4• &amp;fVitalidad: &amp;a6'</v>
      </c>
      <c r="B53" s="10"/>
      <c r="C53" s="10"/>
      <c r="D53" s="10"/>
      <c r="E53" s="10" t="str">
        <f>"  - '&amp;4• &amp;f"&amp;MAIN!$C$8&amp;": &amp;a"&amp;MAIN!$D$43*$C$2&amp;"'"</f>
        <v xml:space="preserve">  - '&amp;4• &amp;fVitalidad: &amp;a18'</v>
      </c>
      <c r="F53" s="10"/>
      <c r="G53" s="10"/>
      <c r="H53" s="10"/>
      <c r="I53" s="10" t="str">
        <f>"  - '&amp;4• &amp;f"&amp;MAIN!$C$8&amp;": &amp;a"&amp;MAIN!$E$43*$C$2&amp;"'"</f>
        <v xml:space="preserve">  - '&amp;4• &amp;fVitalidad: &amp;a54'</v>
      </c>
      <c r="J53" s="10"/>
      <c r="K53" s="10"/>
      <c r="L53" s="10"/>
      <c r="M53" s="10" t="str">
        <f>"  - '&amp;4• &amp;f"&amp;MAIN!$C$8&amp;": &amp;a"&amp;MAIN!$F$43*$C$2&amp;"'"</f>
        <v xml:space="preserve">  - '&amp;4• &amp;fVitalidad: &amp;a162'</v>
      </c>
      <c r="N53" s="10"/>
      <c r="O53" s="10"/>
      <c r="P53" s="10"/>
      <c r="Q53" s="10" t="str">
        <f>"  - '&amp;4• &amp;f"&amp;MAIN!$C$8&amp;": &amp;a"&amp;MAIN!$G$43*$C$2&amp;"'"</f>
        <v xml:space="preserve">  - '&amp;4• &amp;fVitalidad: &amp;a486'</v>
      </c>
      <c r="R53" s="10"/>
      <c r="S53" s="10"/>
      <c r="T53" s="10"/>
    </row>
    <row r="54" spans="1:20" x14ac:dyDescent="0.25">
      <c r="A54" s="10" t="str">
        <f>"  - '&amp;4• &amp;f"&amp;MAIN!$C$11&amp;": &amp;a"&amp;MAIN!$C$43*$C$2&amp;"'"</f>
        <v xml:space="preserve">  - '&amp;4• &amp;fInteligencia: &amp;a6'</v>
      </c>
      <c r="B54" s="10"/>
      <c r="C54" s="10"/>
      <c r="D54" s="10"/>
      <c r="E54" s="10" t="str">
        <f>"  - '&amp;4• &amp;f"&amp;MAIN!$C$11&amp;": &amp;a"&amp;MAIN!$D$43*$C$2&amp;"'"</f>
        <v xml:space="preserve">  - '&amp;4• &amp;fInteligencia: &amp;a18'</v>
      </c>
      <c r="F54" s="10"/>
      <c r="G54" s="10"/>
      <c r="H54" s="10"/>
      <c r="I54" s="10" t="str">
        <f>"  - '&amp;4• &amp;f"&amp;MAIN!$C$11&amp;": &amp;a"&amp;MAIN!$E$43*$C$2&amp;"'"</f>
        <v xml:space="preserve">  - '&amp;4• &amp;fInteligencia: &amp;a54'</v>
      </c>
      <c r="J54" s="10"/>
      <c r="K54" s="10"/>
      <c r="L54" s="10"/>
      <c r="M54" s="10" t="str">
        <f>"  - '&amp;4• &amp;f"&amp;MAIN!$C$11&amp;": &amp;a"&amp;MAIN!$F$43*$C$2&amp;"'"</f>
        <v xml:space="preserve">  - '&amp;4• &amp;fInteligencia: &amp;a162'</v>
      </c>
      <c r="N54" s="10"/>
      <c r="O54" s="10"/>
      <c r="P54" s="10"/>
      <c r="Q54" s="10" t="str">
        <f>"  - '&amp;4• &amp;f"&amp;MAIN!$C$11&amp;": &amp;a"&amp;MAIN!$G$43*$C$2&amp;"'"</f>
        <v xml:space="preserve">  - '&amp;4• &amp;fInteligencia: &amp;a486'</v>
      </c>
      <c r="R54" s="10"/>
      <c r="S54" s="10"/>
      <c r="T54" s="10"/>
    </row>
    <row r="55" spans="1:20" x14ac:dyDescent="0.25">
      <c r="A55" s="10" t="str">
        <f>"  - '&amp;4• &amp;f"&amp;MAIN!$C$10&amp;": &amp;a"&amp;MAIN!$C$45*$C$2&amp;"'"</f>
        <v xml:space="preserve">  - '&amp;4• &amp;fAgilidad: &amp;a6'</v>
      </c>
      <c r="B55" s="10"/>
      <c r="C55" s="10"/>
      <c r="D55" s="10"/>
      <c r="E55" s="10" t="str">
        <f>"  - '&amp;4• &amp;f"&amp;MAIN!$C$10&amp;": &amp;a"&amp;MAIN!$D$45*$C$2&amp;"'"</f>
        <v xml:space="preserve">  - '&amp;4• &amp;fAgilidad: &amp;a18'</v>
      </c>
      <c r="F55" s="10"/>
      <c r="G55" s="10"/>
      <c r="H55" s="10"/>
      <c r="I55" s="10" t="str">
        <f>"  - '&amp;4• &amp;f"&amp;MAIN!$C$10&amp;": &amp;a"&amp;MAIN!$E$45*$C$2&amp;"'"</f>
        <v xml:space="preserve">  - '&amp;4• &amp;fAgilidad: &amp;a54'</v>
      </c>
      <c r="J55" s="10"/>
      <c r="K55" s="10"/>
      <c r="L55" s="10"/>
      <c r="M55" s="10" t="str">
        <f>"  - '&amp;4• &amp;f"&amp;MAIN!$C$10&amp;": &amp;a"&amp;MAIN!$F$45*$C$2&amp;"'"</f>
        <v xml:space="preserve">  - '&amp;4• &amp;fAgilidad: &amp;a162'</v>
      </c>
      <c r="N55" s="10"/>
      <c r="O55" s="10"/>
      <c r="P55" s="10"/>
      <c r="Q55" s="10" t="str">
        <f>"  - '&amp;4• &amp;f"&amp;MAIN!$C$10&amp;": &amp;a"&amp;MAIN!$G$45*$C$2&amp;"'"</f>
        <v xml:space="preserve">  - '&amp;4• &amp;fAgilidad: &amp;a486'</v>
      </c>
      <c r="R55" s="10"/>
      <c r="S55" s="10"/>
      <c r="T55" s="10"/>
    </row>
    <row r="56" spans="1:20" x14ac:dyDescent="0.25">
      <c r="A56" s="9" t="s">
        <v>71</v>
      </c>
      <c r="B56" s="9"/>
      <c r="C56" s="9"/>
      <c r="D56" s="9"/>
      <c r="E56" s="9" t="s">
        <v>71</v>
      </c>
      <c r="F56" s="9"/>
      <c r="G56" s="9"/>
      <c r="H56" s="9"/>
      <c r="I56" s="9" t="s">
        <v>71</v>
      </c>
      <c r="J56" s="9"/>
      <c r="K56" s="9"/>
      <c r="L56" s="9"/>
      <c r="M56" s="9" t="s">
        <v>71</v>
      </c>
      <c r="N56" s="9"/>
      <c r="O56" s="9"/>
      <c r="P56" s="9"/>
      <c r="Q56" s="9" t="s">
        <v>71</v>
      </c>
      <c r="R56" s="9"/>
      <c r="S56" s="9"/>
      <c r="T56" s="9"/>
    </row>
    <row r="57" spans="1:20" x14ac:dyDescent="0.25">
      <c r="A57" s="9" t="s">
        <v>72</v>
      </c>
      <c r="B57" s="9"/>
      <c r="C57" s="9"/>
      <c r="D57" s="9"/>
      <c r="E57" s="9" t="s">
        <v>72</v>
      </c>
      <c r="F57" s="9"/>
      <c r="G57" s="9"/>
      <c r="H57" s="9"/>
      <c r="I57" s="9" t="s">
        <v>72</v>
      </c>
      <c r="J57" s="9"/>
      <c r="K57" s="9"/>
      <c r="L57" s="9"/>
      <c r="M57" s="9" t="s">
        <v>72</v>
      </c>
      <c r="N57" s="9"/>
      <c r="O57" s="9"/>
      <c r="P57" s="9"/>
      <c r="Q57" s="9" t="s">
        <v>72</v>
      </c>
      <c r="R57" s="9"/>
      <c r="S57" s="9"/>
      <c r="T57" s="9"/>
    </row>
    <row r="58" spans="1:20" x14ac:dyDescent="0.25">
      <c r="A58" s="11" t="str">
        <f>"minimumSockets: "&amp;MAIN!$D$29</f>
        <v>minimumSockets: 1</v>
      </c>
      <c r="B58" s="11"/>
      <c r="C58" s="11"/>
      <c r="D58" s="11"/>
      <c r="E58" s="11" t="str">
        <f>$A$58</f>
        <v>minimumSockets: 1</v>
      </c>
      <c r="F58" s="11"/>
      <c r="G58" s="11"/>
      <c r="H58" s="11"/>
      <c r="I58" s="11" t="str">
        <f t="shared" ref="I58" si="21">$A$58</f>
        <v>minimumSockets: 1</v>
      </c>
      <c r="J58" s="11"/>
      <c r="K58" s="11"/>
      <c r="L58" s="11"/>
      <c r="M58" s="11" t="str">
        <f t="shared" ref="M58" si="22">$A$58</f>
        <v>minimumSockets: 1</v>
      </c>
      <c r="N58" s="11"/>
      <c r="O58" s="11"/>
      <c r="P58" s="11"/>
      <c r="Q58" s="11" t="str">
        <f t="shared" ref="Q58" si="23">$A$58</f>
        <v>minimumSockets: 1</v>
      </c>
      <c r="R58" s="11"/>
      <c r="S58" s="11"/>
      <c r="T58" s="11"/>
    </row>
    <row r="59" spans="1:20" x14ac:dyDescent="0.25">
      <c r="A59" s="11" t="str">
        <f>"maximumSockets: "&amp;MAIN!$D$30</f>
        <v>maximumSockets: 1</v>
      </c>
      <c r="B59" s="11"/>
      <c r="C59" s="11"/>
      <c r="D59" s="11"/>
      <c r="E59" s="11" t="str">
        <f>$A$59</f>
        <v>maximumSockets: 1</v>
      </c>
      <c r="F59" s="11"/>
      <c r="G59" s="11"/>
      <c r="H59" s="11"/>
      <c r="I59" s="11" t="str">
        <f t="shared" ref="I59" si="24">$A$59</f>
        <v>maximumSockets: 1</v>
      </c>
      <c r="J59" s="11"/>
      <c r="K59" s="11"/>
      <c r="L59" s="11"/>
      <c r="M59" s="11" t="str">
        <f t="shared" ref="M59" si="25">$A$59</f>
        <v>maximumSockets: 1</v>
      </c>
      <c r="N59" s="11"/>
      <c r="O59" s="11"/>
      <c r="P59" s="11"/>
      <c r="Q59" s="11" t="str">
        <f t="shared" ref="Q59" si="26">$A$59</f>
        <v>maximumSockets: 1</v>
      </c>
      <c r="R59" s="11"/>
      <c r="S59" s="11"/>
      <c r="T59" s="11"/>
    </row>
    <row r="60" spans="1:20" s="293" customFormat="1" x14ac:dyDescent="0.25">
      <c r="A60" s="10" t="str">
        <f>"chanceToSpawnOnAMonster: "&amp;MAIN!$D$27/5*5</f>
        <v>chanceToSpawnOnAMonster: 0.35</v>
      </c>
      <c r="B60" s="10"/>
      <c r="C60" s="10"/>
      <c r="D60" s="10"/>
      <c r="E60" s="10" t="str">
        <f>"chanceToSpawnOnAMonster: "&amp;MAIN!$D$27/5*4</f>
        <v>chanceToSpawnOnAMonster: 0.28</v>
      </c>
      <c r="F60" s="10"/>
      <c r="G60" s="10"/>
      <c r="H60" s="10"/>
      <c r="I60" s="10" t="str">
        <f>"chanceToSpawnOnAMonster: "&amp;MAIN!$D$27/5*3</f>
        <v>chanceToSpawnOnAMonster: 0.21</v>
      </c>
      <c r="J60" s="10"/>
      <c r="K60" s="10"/>
      <c r="L60" s="10"/>
      <c r="M60" s="10" t="str">
        <f>"chanceToSpawnOnAMonster: "&amp;MAIN!$D$27/5*2</f>
        <v>chanceToSpawnOnAMonster: 0.14</v>
      </c>
      <c r="N60" s="10"/>
      <c r="O60" s="10"/>
      <c r="P60" s="10"/>
      <c r="Q60" s="10" t="str">
        <f>"chanceToSpawnOnAMonster: "&amp;MAIN!$D$27/5*1</f>
        <v>chanceToSpawnOnAMonster: 0.07</v>
      </c>
      <c r="R60" s="10"/>
      <c r="S60" s="10"/>
      <c r="T60" s="10"/>
    </row>
    <row r="61" spans="1:20" x14ac:dyDescent="0.25">
      <c r="A61" s="9" t="s">
        <v>34</v>
      </c>
      <c r="B61" s="9"/>
      <c r="C61" s="9"/>
      <c r="D61" s="9"/>
      <c r="E61" s="9" t="s">
        <v>34</v>
      </c>
      <c r="F61" s="9"/>
      <c r="G61" s="9"/>
      <c r="H61" s="9"/>
      <c r="I61" s="9" t="s">
        <v>34</v>
      </c>
      <c r="J61" s="9"/>
      <c r="K61" s="9"/>
      <c r="L61" s="9"/>
      <c r="M61" s="9" t="s">
        <v>34</v>
      </c>
      <c r="N61" s="9"/>
      <c r="O61" s="9"/>
      <c r="P61" s="9"/>
      <c r="Q61" s="9" t="s">
        <v>34</v>
      </c>
      <c r="R61" s="9"/>
      <c r="S61" s="9"/>
      <c r="T61" s="9"/>
    </row>
    <row r="62" spans="1:20" s="293" customFormat="1" x14ac:dyDescent="0.25">
      <c r="A62" s="10" t="str">
        <f>"chanceToBeIdentified: "&amp;MAIN!$D$28/5*5</f>
        <v>chanceToBeIdentified: 0.175</v>
      </c>
      <c r="B62" s="10"/>
      <c r="C62" s="10"/>
      <c r="D62" s="10"/>
      <c r="E62" s="10" t="str">
        <f>"chanceToBeIdentified: "&amp;MAIN!$D$28/5*4</f>
        <v>chanceToBeIdentified: 0.14</v>
      </c>
      <c r="F62" s="10"/>
      <c r="G62" s="10"/>
      <c r="H62" s="10"/>
      <c r="I62" s="10" t="str">
        <f>"chanceToBeIdentified: "&amp;MAIN!$D$28/5*3</f>
        <v>chanceToBeIdentified: 0.105</v>
      </c>
      <c r="J62" s="10"/>
      <c r="K62" s="10"/>
      <c r="L62" s="10"/>
      <c r="M62" s="10" t="str">
        <f>"chanceToBeIdentified: "&amp;MAIN!$D$28/5*2</f>
        <v>chanceToBeIdentified: 0.07</v>
      </c>
      <c r="N62" s="10"/>
      <c r="O62" s="10"/>
      <c r="P62" s="10"/>
      <c r="Q62" s="10" t="str">
        <f>"chanceToBeIdentified: "&amp;MAIN!$D$28/5*1</f>
        <v>chanceToBeIdentified: 0.035</v>
      </c>
      <c r="R62" s="10"/>
      <c r="S62" s="10"/>
      <c r="T62" s="10"/>
    </row>
    <row r="63" spans="1:20" x14ac:dyDescent="0.25">
      <c r="A63" s="9" t="s">
        <v>79</v>
      </c>
      <c r="B63" s="9"/>
      <c r="C63" s="9"/>
      <c r="D63" s="9"/>
      <c r="E63" s="9" t="s">
        <v>79</v>
      </c>
      <c r="F63" s="9"/>
      <c r="G63" s="9"/>
      <c r="H63" s="9"/>
      <c r="I63" s="9" t="s">
        <v>79</v>
      </c>
      <c r="J63" s="9"/>
      <c r="K63" s="9"/>
      <c r="L63" s="9"/>
      <c r="M63" s="9" t="s">
        <v>79</v>
      </c>
      <c r="N63" s="9"/>
      <c r="O63" s="9"/>
      <c r="P63" s="9"/>
      <c r="Q63" s="9" t="s">
        <v>79</v>
      </c>
      <c r="R63" s="9"/>
      <c r="S63" s="9"/>
      <c r="T63" s="9"/>
    </row>
    <row r="64" spans="1:20" x14ac:dyDescent="0.25">
      <c r="A64" s="11" t="str">
        <f>"broadcastOnFind: "&amp;$E$2</f>
        <v>broadcastOnFind: false</v>
      </c>
      <c r="B64" s="11"/>
      <c r="C64" s="11"/>
      <c r="D64" s="11"/>
      <c r="E64" s="11" t="str">
        <f>A64</f>
        <v>broadcastOnFind: false</v>
      </c>
      <c r="F64" s="11"/>
      <c r="G64" s="11"/>
      <c r="H64" s="11"/>
      <c r="I64" s="11" t="str">
        <f>E64</f>
        <v>broadcastOnFind: false</v>
      </c>
      <c r="J64" s="11"/>
      <c r="K64" s="11"/>
      <c r="L64" s="11"/>
      <c r="M64" s="11" t="str">
        <f>I64</f>
        <v>broadcastOnFind: false</v>
      </c>
      <c r="N64" s="11"/>
      <c r="O64" s="11"/>
      <c r="P64" s="11"/>
      <c r="Q64" s="11" t="str">
        <f t="shared" ref="Q64" si="27">M64</f>
        <v>broadcastOnFind: false</v>
      </c>
      <c r="R64" s="11"/>
      <c r="S64" s="11"/>
      <c r="T64" s="11"/>
    </row>
    <row r="65" spans="1:20" x14ac:dyDescent="0.25">
      <c r="A65" s="11" t="str">
        <f>"optimalDistance: "&amp;MAIN!$D$39</f>
        <v>optimalDistance: 2100</v>
      </c>
      <c r="B65" s="11"/>
      <c r="C65" s="11"/>
      <c r="D65" s="11"/>
      <c r="E65" s="11" t="str">
        <f>$A$65</f>
        <v>optimalDistance: 2100</v>
      </c>
      <c r="F65" s="11"/>
      <c r="G65" s="11"/>
      <c r="H65" s="11"/>
      <c r="I65" s="11" t="str">
        <f>$A$65</f>
        <v>optimalDistance: 2100</v>
      </c>
      <c r="J65" s="11"/>
      <c r="K65" s="11"/>
      <c r="L65" s="11"/>
      <c r="M65" s="11" t="str">
        <f>$A$65</f>
        <v>optimalDistance: 2100</v>
      </c>
      <c r="N65" s="11"/>
      <c r="O65" s="11"/>
      <c r="P65" s="11"/>
      <c r="Q65" s="11" t="str">
        <f>$A$65</f>
        <v>optimalDistance: 2100</v>
      </c>
      <c r="R65" s="11"/>
      <c r="S65" s="11"/>
      <c r="T65" s="11"/>
    </row>
    <row r="66" spans="1:20" x14ac:dyDescent="0.25">
      <c r="A66" s="11" t="str">
        <f>"maximumDistance: "&amp;MAIN!$D$40</f>
        <v>maximumDistance: 1800</v>
      </c>
      <c r="B66" s="11"/>
      <c r="C66" s="11"/>
      <c r="D66" s="11"/>
      <c r="E66" s="11" t="str">
        <f>$A$66</f>
        <v>maximumDistance: 1800</v>
      </c>
      <c r="F66" s="11"/>
      <c r="G66" s="11"/>
      <c r="H66" s="11"/>
      <c r="I66" s="11" t="str">
        <f>$A$66</f>
        <v>maximumDistance: 1800</v>
      </c>
      <c r="J66" s="11"/>
      <c r="K66" s="11"/>
      <c r="L66" s="11"/>
      <c r="M66" s="11" t="str">
        <f>$A$66</f>
        <v>maximumDistance: 1800</v>
      </c>
      <c r="N66" s="11"/>
      <c r="O66" s="11"/>
      <c r="P66" s="11"/>
      <c r="Q66" s="11" t="str">
        <f>$A$66</f>
        <v>maximumDistance: 1800</v>
      </c>
      <c r="R66" s="11"/>
      <c r="S66" s="11"/>
      <c r="T66" s="11"/>
    </row>
    <row r="67" spans="1:20" x14ac:dyDescent="0.25">
      <c r="A67" s="9"/>
      <c r="B67" s="9"/>
      <c r="C67" s="9"/>
      <c r="D67" s="9"/>
    </row>
    <row r="68" spans="1:20" x14ac:dyDescent="0.25">
      <c r="A68" s="9"/>
      <c r="B68" s="9"/>
      <c r="C68" s="9"/>
      <c r="D68" s="9"/>
    </row>
    <row r="69" spans="1:20" x14ac:dyDescent="0.25">
      <c r="A69" s="9"/>
      <c r="B69" s="9"/>
      <c r="C69" s="9"/>
      <c r="D69" s="9"/>
    </row>
    <row r="70" spans="1:20" x14ac:dyDescent="0.25">
      <c r="A70" s="9"/>
      <c r="B70" s="9"/>
      <c r="C70" s="9"/>
      <c r="D70" s="9"/>
    </row>
    <row r="71" spans="1:20" x14ac:dyDescent="0.25">
      <c r="A71" s="9"/>
      <c r="B71" s="9"/>
      <c r="C71" s="9"/>
      <c r="D71" s="9"/>
    </row>
    <row r="72" spans="1:20" x14ac:dyDescent="0.25">
      <c r="A72" s="9"/>
      <c r="B72" s="9"/>
      <c r="C72" s="9"/>
      <c r="D72" s="9"/>
    </row>
    <row r="73" spans="1:20" x14ac:dyDescent="0.25">
      <c r="A73" s="9"/>
      <c r="B73" s="9"/>
      <c r="C73" s="9"/>
      <c r="D73" s="9"/>
    </row>
    <row r="74" spans="1:20" x14ac:dyDescent="0.25">
      <c r="A74" s="9"/>
      <c r="B74" s="9"/>
      <c r="C74" s="9"/>
      <c r="D74" s="9"/>
    </row>
    <row r="75" spans="1:20" x14ac:dyDescent="0.25">
      <c r="A75" s="9"/>
      <c r="B75" s="9"/>
      <c r="C75" s="9"/>
      <c r="D75" s="9"/>
    </row>
    <row r="76" spans="1:20" x14ac:dyDescent="0.25">
      <c r="A76" s="9"/>
      <c r="B76" s="9"/>
      <c r="C76" s="9"/>
      <c r="D76" s="9"/>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Z169"/>
  <sheetViews>
    <sheetView topLeftCell="A49" workbookViewId="0">
      <selection activeCell="A59" sqref="A59:XFD61"/>
    </sheetView>
  </sheetViews>
  <sheetFormatPr baseColWidth="10" defaultColWidth="11.42578125" defaultRowHeight="15" x14ac:dyDescent="0.25"/>
  <cols>
    <col min="1" max="16384" width="11.42578125" style="16"/>
  </cols>
  <sheetData>
    <row r="1" spans="1:26" ht="30.75" customHeight="1" x14ac:dyDescent="0.25">
      <c r="A1" s="351" t="s">
        <v>19</v>
      </c>
      <c r="B1" s="351"/>
      <c r="C1" s="351" t="s">
        <v>70</v>
      </c>
      <c r="D1" s="351"/>
      <c r="E1" s="351" t="s">
        <v>80</v>
      </c>
      <c r="F1" s="351"/>
      <c r="G1" s="351" t="s">
        <v>89</v>
      </c>
      <c r="H1" s="351"/>
      <c r="I1" s="351" t="s">
        <v>1197</v>
      </c>
      <c r="J1" s="351"/>
      <c r="K1" s="351" t="s">
        <v>1199</v>
      </c>
      <c r="L1" s="351"/>
    </row>
    <row r="2" spans="1:26" x14ac:dyDescent="0.25">
      <c r="A2" s="301" t="s">
        <v>100</v>
      </c>
      <c r="B2" s="301"/>
      <c r="C2" s="301">
        <f>'ECONOMIA &amp; PROFESIONES'!$O$3</f>
        <v>3</v>
      </c>
      <c r="D2" s="301"/>
      <c r="E2" s="301" t="s">
        <v>81</v>
      </c>
      <c r="F2" s="301"/>
      <c r="G2" s="301" t="s">
        <v>97</v>
      </c>
      <c r="H2" s="301"/>
      <c r="I2" s="301" t="str">
        <f>MAIN!$J$53</f>
        <v>Armor</v>
      </c>
      <c r="J2" s="301"/>
      <c r="K2" s="301">
        <f>MAIN!$L$53</f>
        <v>1</v>
      </c>
      <c r="L2" s="301"/>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91"/>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91">
        <v>1</v>
      </c>
      <c r="V4" s="291" t="str">
        <f>"+"&amp;ROUND(MAIN!$C$55*$C$2*$K$2/5*$U$4,0)&amp;" "&amp;$I$2</f>
        <v>+3 Armor</v>
      </c>
      <c r="W4" s="291" t="str">
        <f>"+"&amp;ROUND(MAIN!$D$55*$C$2*$K$2/5*$U$4,0)&amp;" "&amp;$I$2</f>
        <v>+5 Armor</v>
      </c>
      <c r="X4" s="291" t="str">
        <f>"+"&amp;ROUND(MAIN!$E$55*$C$2*$K$2/5*$U$4,0)&amp;" "&amp;$I$2</f>
        <v>+8 Armor</v>
      </c>
      <c r="Y4" s="291" t="str">
        <f>"+"&amp;ROUND(MAIN!$F$55*$C$2*$K$2/5*$U$4,0)&amp;" "&amp;$I$2</f>
        <v>+13 Armor</v>
      </c>
      <c r="Z4" s="291" t="str">
        <f>"+"&amp;ROUND(MAIN!$G$55*$C$2*$K$2/5*$U$4,0)&amp;" "&amp;$I$2</f>
        <v>+22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91">
        <v>2</v>
      </c>
      <c r="V5" s="291" t="str">
        <f>"+"&amp;ROUND(MAIN!$C$55*$C$2*$K$2/5*$U$5,0)&amp;" "&amp;$I$2</f>
        <v>+6 Armor</v>
      </c>
      <c r="W5" s="291" t="str">
        <f>"+"&amp;ROUND(MAIN!$D$55*$C$2*$K$2/5*$U$5,0)&amp;" "&amp;$I$2</f>
        <v>+10 Armor</v>
      </c>
      <c r="X5" s="291" t="str">
        <f>"+"&amp;ROUND(MAIN!$E$55*$C$2*$K$2/5*$U$5,0)&amp;" "&amp;$I$2</f>
        <v>+16 Armor</v>
      </c>
      <c r="Y5" s="291" t="str">
        <f>"+"&amp;ROUND(MAIN!$F$55*$C$2*$K$2/5*$U$5,0)&amp;" "&amp;$I$2</f>
        <v>+26 Armor</v>
      </c>
      <c r="Z5" s="291" t="str">
        <f>"+"&amp;ROUND(MAIN!$G$55*$C$2*$K$2/5*$U$5,0)&amp;" "&amp;$I$2</f>
        <v>+44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+9 Armor</v>
      </c>
      <c r="W6" s="291" t="str">
        <f>"+"&amp;ROUND(MAIN!$D$55*$C$2*$K$2/5*$U$6,0)&amp;" "&amp;$I$2</f>
        <v>+14 Armor</v>
      </c>
      <c r="X6" s="291" t="str">
        <f>"+"&amp;ROUND(MAIN!$E$55*$C$2*$K$2/5*$U$6,0)&amp;" "&amp;$I$2</f>
        <v>+23 Armor</v>
      </c>
      <c r="Y6" s="291" t="str">
        <f>"+"&amp;ROUND(MAIN!$F$55*$C$2*$K$2/5*$U$6,0)&amp;" "&amp;$I$2</f>
        <v>+40 Armor</v>
      </c>
      <c r="Z6" s="291" t="str">
        <f>"+"&amp;ROUND(MAIN!$G$55*$C$2*$K$2/5*$U$6,0)&amp;" "&amp;$I$2</f>
        <v>+67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+12 Armor</v>
      </c>
      <c r="W7" s="291" t="str">
        <f>"+"&amp;ROUND(MAIN!$D$55*$C$2*$K$2/5*$U$7,0)&amp;" "&amp;$I$2</f>
        <v>+19 Armor</v>
      </c>
      <c r="X7" s="291" t="str">
        <f>"+"&amp;ROUND(MAIN!$E$55*$C$2*$K$2/5*$U$7,0)&amp;" "&amp;$I$2</f>
        <v>+31 Armor</v>
      </c>
      <c r="Y7" s="291" t="str">
        <f>"+"&amp;ROUND(MAIN!$F$55*$C$2*$K$2/5*$U$7,0)&amp;" "&amp;$I$2</f>
        <v>+53 Armor</v>
      </c>
      <c r="Z7" s="291" t="str">
        <f>"+"&amp;ROUND(MAIN!$G$55*$C$2*$K$2/5*$U$7,0)&amp;" "&amp;$I$2</f>
        <v>+89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+15 Armor</v>
      </c>
      <c r="W8" s="291" t="str">
        <f>"+"&amp;ROUND(MAIN!$D$55*$C$2*$K$2/5*$U$8,0)&amp;" "&amp;$I$2</f>
        <v>+24 Armor</v>
      </c>
      <c r="X8" s="291" t="str">
        <f>"+"&amp;ROUND(MAIN!$E$55*$C$2*$K$2/5*$U$8,0)&amp;" "&amp;$I$2</f>
        <v>+39 Armor</v>
      </c>
      <c r="Y8" s="291" t="str">
        <f>"+"&amp;ROUND(MAIN!$F$55*$C$2*$K$2/5*$U$8,0)&amp;" "&amp;$I$2</f>
        <v>+66 Armor</v>
      </c>
      <c r="Z8" s="291" t="str">
        <f>"+"&amp;ROUND(MAIN!$G$55*$C$2*$K$2/5*$U$8,0)&amp;" "&amp;$I$2</f>
        <v>+111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'armas magico'!$A$12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'armas magico'!$A$13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'armas magico'!$A$15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'armas magico'!$A$40</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'armas magico'!$A$41</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&amp;6"&amp;(MAIN!$F$2+(MAIN!$D$18+MAIN!$D$19)/2*MAIN!$B$9+(MAIN!$D$20+MAIN!$D$21)/2*MAIN!$B$8+(MAIN!$D$58*MAIN!$B$11)+($C$2*MAIN!$B$10))/10&amp;" &amp;aAlmakos'"</f>
        <v xml:space="preserve">  - '&amp;aVenta: &amp;6312.5 &amp;aAlmakos'</v>
      </c>
      <c r="B42" s="20"/>
      <c r="C42" s="20"/>
      <c r="D42" s="20"/>
      <c r="E42" s="20" t="str">
        <f>"  - '&amp;aVenta: &amp;6"&amp;(MAIN!$G$2+(MAIN!$D$18+MAIN!$D$19)/2*MAIN!$B$9+(MAIN!$D$20+MAIN!$D$21)/2*MAIN!$B$8+(MAIN!$D$58*MAIN!$B$11)+($C$2*MAIN!$B$10))/10&amp;" &amp;aAlmakos'"</f>
        <v xml:space="preserve">  - '&amp;aVenta: &amp;6412.5 &amp;aAlmakos'</v>
      </c>
      <c r="F42" s="20"/>
      <c r="G42" s="20"/>
      <c r="H42" s="20"/>
      <c r="I42" s="20" t="str">
        <f>"  - '&amp;aVenta: &amp;6"&amp;(MAIN!$H$2+(MAIN!$D$18+MAIN!$D$19)/2*MAIN!$B$9+(MAIN!$D$20+MAIN!$D$21)/2*MAIN!$B$8+(MAIN!$D$58*MAIN!$B$11)+($C$2*MAIN!$B$10))/10&amp;" &amp;aAlmakos'"</f>
        <v xml:space="preserve">  - '&amp;aVenta: &amp;6612.5 &amp;aAlmakos'</v>
      </c>
      <c r="J42" s="20"/>
      <c r="K42" s="20"/>
      <c r="L42" s="20"/>
      <c r="M42" s="20" t="str">
        <f>"  - '&amp;aVenta: &amp;6"&amp;(MAIN!$I$2+(MAIN!$D$18+MAIN!$D$19)/2*MAIN!$B$9+(MAIN!$D$20+MAIN!$D$21)/2*MAIN!$B$8+(MAIN!$D$58*MAIN!$B$11)+($C$2*MAIN!$B$10))/10&amp;" &amp;aAlmakos'"</f>
        <v xml:space="preserve">  - '&amp;aVenta: &amp;61012.5 &amp;aAlmakos'</v>
      </c>
      <c r="N42" s="20"/>
      <c r="O42" s="20"/>
      <c r="P42" s="20"/>
      <c r="Q42" s="20" t="str">
        <f>"  - '&amp;aVenta: &amp;6"&amp;(MAIN!$J$2+(MAIN!$D$18+MAIN!$D$19)/2*MAIN!$B$9+(MAIN!$D$20+MAIN!$D$21)/2*MAIN!$B$8+(MAIN!$D$58*MAIN!$B$11)+($C$2*MAIN!$B$10))/10&amp;" &amp;aAlmakos'"</f>
        <v xml:space="preserve">  - '&amp;aVenta: &amp;61812.5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&amp;a"&amp;MAIN!$C$60+($C$2*MAIN!$I$27)&amp;"'"</f>
        <v xml:space="preserve">  - '&amp;7• &amp;8Nivel: &amp;a23'</v>
      </c>
      <c r="B46" s="10"/>
      <c r="C46" s="10"/>
      <c r="D46" s="10"/>
      <c r="E46" s="10" t="str">
        <f>"  - '&amp;7• &amp;8Nivel: &amp;a"&amp;MAIN!$D$60+($C$2*MAIN!$I$27)&amp;"'"</f>
        <v xml:space="preserve">  - '&amp;7• &amp;8Nivel: &amp;a41'</v>
      </c>
      <c r="F46" s="10"/>
      <c r="G46" s="10"/>
      <c r="H46" s="10"/>
      <c r="I46" s="10" t="str">
        <f>"  - '&amp;7• &amp;8Nivel: &amp;a"&amp;MAIN!$E$60+($C$2*MAIN!$I$27)&amp;"'"</f>
        <v xml:space="preserve">  - '&amp;7• &amp;8Nivel: &amp;a95'</v>
      </c>
      <c r="J46" s="10"/>
      <c r="K46" s="10"/>
      <c r="L46" s="10"/>
      <c r="M46" s="10" t="str">
        <f>"  - '&amp;7• &amp;8Nivel: &amp;a"&amp;MAIN!$F$60+($C$2*MAIN!$I$27)&amp;"'"</f>
        <v xml:space="preserve">  - '&amp;7• &amp;8Nivel: &amp;a255'</v>
      </c>
      <c r="N46" s="10"/>
      <c r="O46" s="10"/>
      <c r="P46" s="10"/>
      <c r="Q46" s="10" t="str">
        <f>"  - '&amp;7• &amp;8Nivel: &amp;a"&amp;MAIN!$G$60+($C$2*MAIN!$I$27)&amp;"'"</f>
        <v xml:space="preserve">  - '&amp;7• &amp;8Nivel: &amp;a495'</v>
      </c>
      <c r="R46" s="10"/>
      <c r="S46" s="10"/>
      <c r="T46" s="10"/>
    </row>
    <row r="47" spans="1:20" x14ac:dyDescent="0.25">
      <c r="A47" s="12" t="str">
        <f>"  - '&amp;7• &amp;8"&amp;MAIN!$C$12&amp;" lvl: &amp;a"&amp;ROUNDUP((MAIN!$C$60+($C$2*MAIN!$I$27))/3,0)&amp;"'"</f>
        <v xml:space="preserve">  - '&amp;7• &amp;8Esencia lvl: &amp;a8'</v>
      </c>
      <c r="B47" s="12"/>
      <c r="C47" s="12"/>
      <c r="D47" s="12"/>
      <c r="E47" s="12" t="str">
        <f>"  - '&amp;7• &amp;8"&amp;MAIN!$C$12&amp;" lvl: &amp;a"&amp;ROUNDUP((MAIN!$D$60+($C$2*MAIN!$I$27))/3,0)&amp;"'"</f>
        <v xml:space="preserve">  - '&amp;7• &amp;8Esencia lvl: &amp;a14'</v>
      </c>
      <c r="F47" s="12"/>
      <c r="G47" s="12"/>
      <c r="H47" s="12"/>
      <c r="I47" s="12" t="str">
        <f>"  - '&amp;7• &amp;8"&amp;MAIN!$C$12&amp;" lvl: &amp;a"&amp;ROUNDUP((MAIN!$E$60+($C$2*MAIN!$I$27))/3,0)&amp;"'"</f>
        <v xml:space="preserve">  - '&amp;7• &amp;8Esencia lvl: &amp;a32'</v>
      </c>
      <c r="J47" s="12"/>
      <c r="K47" s="12"/>
      <c r="L47" s="12"/>
      <c r="M47" s="12" t="str">
        <f>"  - '&amp;7• &amp;8"&amp;MAIN!$C$12&amp;" lvl: &amp;a"&amp;ROUNDUP((MAIN!$F$60+($C$2*MAIN!$I$27))/3,0)&amp;"'"</f>
        <v xml:space="preserve">  - '&amp;7• &amp;8Esencia lvl: &amp;a85'</v>
      </c>
      <c r="N47" s="12"/>
      <c r="O47" s="12"/>
      <c r="P47" s="12"/>
      <c r="Q47" s="12" t="str">
        <f>"  - '&amp;7• &amp;8"&amp;MAIN!$C$12&amp;" lvl: &amp;a"&amp;ROUNDUP((MAIN!$G$60+($C$2*MAIN!$I$27))/3,0)&amp;"'"</f>
        <v xml:space="preserve">  - '&amp;7• &amp;8Esencia lvl: &amp;a165'</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91" customFormat="1" x14ac:dyDescent="0.25">
      <c r="A49" s="9" t="s">
        <v>1196</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&amp;a"&amp;MAIN!$C$55*$C$2&amp;"'"</f>
        <v xml:space="preserve">  - '&amp;4• &amp;fFuerza: &amp;a15'</v>
      </c>
      <c r="B51" s="10"/>
      <c r="C51" s="10"/>
      <c r="D51" s="10"/>
      <c r="E51" s="10" t="str">
        <f>"  - '&amp;4• &amp;f"&amp;MAIN!$C$9&amp;": &amp;a"&amp;MAIN!$D$55*$C$2&amp;"'"</f>
        <v xml:space="preserve">  - '&amp;4• &amp;fFuerza: &amp;a24'</v>
      </c>
      <c r="F51" s="10"/>
      <c r="G51" s="10"/>
      <c r="H51" s="10"/>
      <c r="I51" s="10" t="str">
        <f>"  - '&amp;4• &amp;f"&amp;MAIN!$C$9&amp;": &amp;a"&amp;MAIN!$E$55*$C$2&amp;"'"</f>
        <v xml:space="preserve">  - '&amp;4• &amp;fFuerza: &amp;a39'</v>
      </c>
      <c r="J51" s="10"/>
      <c r="K51" s="10"/>
      <c r="L51" s="10"/>
      <c r="M51" s="10" t="str">
        <f>"  - '&amp;4• &amp;f"&amp;MAIN!$C$9&amp;": &amp;a"&amp;MAIN!$F$55*$C$2&amp;"'"</f>
        <v xml:space="preserve">  - '&amp;4• &amp;fFuerza: &amp;a66'</v>
      </c>
      <c r="N51" s="10"/>
      <c r="O51" s="10"/>
      <c r="P51" s="10"/>
      <c r="Q51" s="10" t="str">
        <f>"  - '&amp;4• &amp;f"&amp;MAIN!$C$9&amp;": &amp;a"&amp;MAIN!$G$55*$C$2&amp;"'"</f>
        <v xml:space="preserve">  - '&amp;4• &amp;fFuerza: &amp;a111'</v>
      </c>
      <c r="R51" s="10"/>
      <c r="S51" s="10"/>
      <c r="T51" s="10"/>
    </row>
    <row r="52" spans="1:20" x14ac:dyDescent="0.25">
      <c r="A52" s="10" t="str">
        <f>"  - '&amp;4• &amp;f"&amp;MAIN!$C$8&amp;": &amp;a"&amp;MAIN!$C$55*$C$2&amp;"'"</f>
        <v xml:space="preserve">  - '&amp;4• &amp;fVitalidad: &amp;a15'</v>
      </c>
      <c r="B52" s="10"/>
      <c r="C52" s="10"/>
      <c r="D52" s="10"/>
      <c r="E52" s="10" t="str">
        <f>"  - '&amp;4• &amp;f"&amp;MAIN!$C$8&amp;": &amp;a"&amp;MAIN!$D$55*$C$2&amp;"'"</f>
        <v xml:space="preserve">  - '&amp;4• &amp;fVitalidad: &amp;a24'</v>
      </c>
      <c r="F52" s="10"/>
      <c r="G52" s="10"/>
      <c r="H52" s="10"/>
      <c r="I52" s="10" t="str">
        <f>"  - '&amp;4• &amp;f"&amp;MAIN!$C$8&amp;": &amp;a"&amp;MAIN!$E$55*$C$2&amp;"'"</f>
        <v xml:space="preserve">  - '&amp;4• &amp;fVitalidad: &amp;a39'</v>
      </c>
      <c r="J52" s="10"/>
      <c r="K52" s="10"/>
      <c r="L52" s="10"/>
      <c r="M52" s="10" t="str">
        <f>"  - '&amp;4• &amp;f"&amp;MAIN!$C$8&amp;": &amp;a"&amp;MAIN!$F$55*$C$2&amp;"'"</f>
        <v xml:space="preserve">  - '&amp;4• &amp;fVitalidad: &amp;a66'</v>
      </c>
      <c r="N52" s="10"/>
      <c r="O52" s="10"/>
      <c r="P52" s="10"/>
      <c r="Q52" s="10" t="str">
        <f>"  - '&amp;4• &amp;f"&amp;MAIN!$C$8&amp;": &amp;a"&amp;MAIN!$G$55*$C$2&amp;"'"</f>
        <v xml:space="preserve">  - '&amp;4• &amp;fVitalidad: &amp;a111'</v>
      </c>
      <c r="R52" s="10"/>
      <c r="S52" s="10"/>
      <c r="T52" s="10"/>
    </row>
    <row r="53" spans="1:20" x14ac:dyDescent="0.25">
      <c r="A53" s="10" t="str">
        <f>"  - '&amp;4• &amp;f"&amp;MAIN!$C$11&amp;": &amp;a"&amp;MAIN!$C$54*$C$2&amp;"'"</f>
        <v xml:space="preserve">  - '&amp;4• &amp;fInteligencia: &amp;a15'</v>
      </c>
      <c r="B53" s="10"/>
      <c r="C53" s="10"/>
      <c r="D53" s="10"/>
      <c r="E53" s="10" t="str">
        <f>"  - '&amp;4• &amp;f"&amp;MAIN!$C$11&amp;": &amp;a"&amp;MAIN!$D$54*$C$2&amp;"'"</f>
        <v xml:space="preserve">  - '&amp;4• &amp;fInteligencia: &amp;a24'</v>
      </c>
      <c r="F53" s="10"/>
      <c r="G53" s="10"/>
      <c r="H53" s="10"/>
      <c r="I53" s="10" t="str">
        <f>"  - '&amp;4• &amp;f"&amp;MAIN!$C$11&amp;": &amp;a"&amp;MAIN!$E$54*$C$2&amp;"'"</f>
        <v xml:space="preserve">  - '&amp;4• &amp;fInteligencia: &amp;a39'</v>
      </c>
      <c r="J53" s="10"/>
      <c r="K53" s="10"/>
      <c r="L53" s="10"/>
      <c r="M53" s="10" t="str">
        <f>"  - '&amp;4• &amp;f"&amp;MAIN!$C$11&amp;": &amp;a"&amp;MAIN!$F$54*$C$2&amp;"'"</f>
        <v xml:space="preserve">  - '&amp;4• &amp;fInteligencia: &amp;a66'</v>
      </c>
      <c r="N53" s="10"/>
      <c r="O53" s="10"/>
      <c r="P53" s="10"/>
      <c r="Q53" s="10" t="str">
        <f>"  - '&amp;4• &amp;f"&amp;MAIN!$C$11&amp;": &amp;a"&amp;MAIN!$G$54*$C$2&amp;"'"</f>
        <v xml:space="preserve">  - '&amp;4• &amp;fInteligencia: &amp;a111'</v>
      </c>
      <c r="R53" s="10"/>
      <c r="S53" s="10"/>
      <c r="T53" s="10"/>
    </row>
    <row r="54" spans="1:20" x14ac:dyDescent="0.25">
      <c r="A54" s="10" t="str">
        <f>"  - '&amp;4• &amp;f"&amp;MAIN!$C$10&amp;": &amp;a"&amp;MAIN!$C$56*$C$2&amp;"'"</f>
        <v xml:space="preserve">  - '&amp;4• &amp;fAgilidad: &amp;a15'</v>
      </c>
      <c r="B54" s="10"/>
      <c r="C54" s="10"/>
      <c r="D54" s="10"/>
      <c r="E54" s="10" t="str">
        <f>"  - '&amp;4• &amp;f"&amp;MAIN!$C$10&amp;": &amp;a"&amp;MAIN!$D$56*$C$2&amp;"'"</f>
        <v xml:space="preserve">  - '&amp;4• &amp;fAgilidad: &amp;a24'</v>
      </c>
      <c r="F54" s="10"/>
      <c r="G54" s="10"/>
      <c r="H54" s="10"/>
      <c r="I54" s="10" t="str">
        <f>"  - '&amp;4• &amp;f"&amp;MAIN!$C$10&amp;": &amp;a"&amp;MAIN!$E$56*$C$2&amp;"'"</f>
        <v xml:space="preserve">  - '&amp;4• &amp;fAgilidad: &amp;a39'</v>
      </c>
      <c r="J54" s="10"/>
      <c r="K54" s="10"/>
      <c r="L54" s="10"/>
      <c r="M54" s="10" t="str">
        <f>"  - '&amp;4• &amp;f"&amp;MAIN!$C$10&amp;": &amp;a"&amp;MAIN!$F$56*$C$2&amp;"'"</f>
        <v xml:space="preserve">  - '&amp;4• &amp;fAgilidad: &amp;a66'</v>
      </c>
      <c r="N54" s="10"/>
      <c r="O54" s="10"/>
      <c r="P54" s="10"/>
      <c r="Q54" s="10" t="str">
        <f>"  - '&amp;4• &amp;f"&amp;MAIN!$C$10&amp;": &amp;a"&amp;MAIN!$G$56*$C$2&amp;"'"</f>
        <v xml:space="preserve">  - '&amp;4• &amp;fAgilidad: &amp;a111'</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$A$57</f>
        <v>minimumSockets: 1</v>
      </c>
      <c r="J57" s="11"/>
      <c r="K57" s="11"/>
      <c r="L57" s="11"/>
      <c r="M57" s="11" t="str">
        <f>$A$57</f>
        <v>minimumSockets: 1</v>
      </c>
      <c r="N57" s="11"/>
      <c r="O57" s="11"/>
      <c r="P57" s="11"/>
      <c r="Q57" s="11" t="str">
        <f>$A$57</f>
        <v>minimumSockets: 1</v>
      </c>
      <c r="R57" s="11"/>
      <c r="S57" s="11"/>
      <c r="T57" s="11"/>
    </row>
    <row r="58" spans="1:20" x14ac:dyDescent="0.25">
      <c r="A58" s="11" t="str">
        <f>'armas magico'!$A$59</f>
        <v>maximumSockets: 1</v>
      </c>
      <c r="B58" s="11"/>
      <c r="C58" s="11"/>
      <c r="D58" s="11"/>
      <c r="E58" s="11" t="str">
        <f>$A$58</f>
        <v>maximumSockets: 1</v>
      </c>
      <c r="F58" s="11"/>
      <c r="G58" s="11"/>
      <c r="H58" s="11"/>
      <c r="I58" s="11" t="str">
        <f>$A$58</f>
        <v>maximumSockets: 1</v>
      </c>
      <c r="J58" s="11"/>
      <c r="K58" s="11"/>
      <c r="L58" s="11"/>
      <c r="M58" s="11" t="str">
        <f>$A$58</f>
        <v>maximumSockets: 1</v>
      </c>
      <c r="N58" s="11"/>
      <c r="O58" s="11"/>
      <c r="P58" s="11"/>
      <c r="Q58" s="11" t="str">
        <f>$A$58</f>
        <v>maximumSockets: 1</v>
      </c>
      <c r="R58" s="11"/>
      <c r="S58" s="11"/>
      <c r="T58" s="11"/>
    </row>
    <row r="59" spans="1:20" s="293"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92"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93"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$A$63</f>
        <v>broadcastOnFind: false</v>
      </c>
      <c r="J63" s="11"/>
      <c r="K63" s="11"/>
      <c r="L63" s="11"/>
      <c r="M63" s="11" t="str">
        <f>$A$63</f>
        <v>broadcastOnFind: false</v>
      </c>
      <c r="N63" s="11"/>
      <c r="O63" s="11"/>
      <c r="P63" s="11"/>
      <c r="Q63" s="11" t="str">
        <f>$A$63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Z169"/>
  <sheetViews>
    <sheetView topLeftCell="A46" workbookViewId="0">
      <selection activeCell="A59" sqref="A59:XFD61"/>
    </sheetView>
  </sheetViews>
  <sheetFormatPr baseColWidth="10" defaultColWidth="11.42578125" defaultRowHeight="15" x14ac:dyDescent="0.25"/>
  <cols>
    <col min="1" max="16384" width="11.42578125" style="17"/>
  </cols>
  <sheetData>
    <row r="1" spans="1:26" ht="30.75" customHeight="1" x14ac:dyDescent="0.25">
      <c r="A1" s="351" t="s">
        <v>19</v>
      </c>
      <c r="B1" s="351"/>
      <c r="C1" s="351" t="s">
        <v>70</v>
      </c>
      <c r="D1" s="351"/>
      <c r="E1" s="351" t="s">
        <v>80</v>
      </c>
      <c r="F1" s="351"/>
      <c r="G1" s="351" t="s">
        <v>89</v>
      </c>
      <c r="H1" s="351"/>
      <c r="I1" s="351" t="s">
        <v>1197</v>
      </c>
      <c r="J1" s="351"/>
      <c r="K1" s="351" t="s">
        <v>1199</v>
      </c>
      <c r="L1" s="351"/>
    </row>
    <row r="2" spans="1:26" x14ac:dyDescent="0.25">
      <c r="A2" s="301" t="s">
        <v>100</v>
      </c>
      <c r="B2" s="301"/>
      <c r="C2" s="301">
        <f>'ECONOMIA &amp; PROFESIONES'!$O$3</f>
        <v>3</v>
      </c>
      <c r="D2" s="301"/>
      <c r="E2" s="301" t="s">
        <v>81</v>
      </c>
      <c r="F2" s="301"/>
      <c r="G2" s="301" t="s">
        <v>97</v>
      </c>
      <c r="H2" s="301"/>
      <c r="I2" s="301" t="str">
        <f>MAIN!$J$53</f>
        <v>Armor</v>
      </c>
      <c r="J2" s="301"/>
      <c r="K2" s="301">
        <f>MAIN!$L$53</f>
        <v>1</v>
      </c>
      <c r="L2" s="301"/>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"+"&amp;ROUND(MAIN!$C$66*$C$2*$K$2/5*$U$4,0)&amp;" "&amp;$I$2</f>
        <v>+5 Armor</v>
      </c>
      <c r="W4" s="2" t="str">
        <f>"+"&amp;ROUND(MAIN!$D$66*$C$2*$K$2/5*$U$4,0)&amp;" "&amp;$I$2</f>
        <v>+8 Armor</v>
      </c>
      <c r="X4" s="2" t="str">
        <f>"+"&amp;ROUND(MAIN!$E$66*$C$2*$K$2/5*$U$4,0)&amp;" "&amp;$I$2</f>
        <v>+13 Armor</v>
      </c>
      <c r="Y4" s="2" t="str">
        <f>"+"&amp;ROUND(MAIN!$F$66*$C$2*$K$2/5*$U$4,0)&amp;" "&amp;$I$2</f>
        <v>+22 Armor</v>
      </c>
      <c r="Z4" s="2" t="str">
        <f>"+"&amp;ROUND(MAIN!$G$66*$C$2*$K$2/5*$U$4,0)&amp;" "&amp;$I$2</f>
        <v>+37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"+"&amp;ROUND(MAIN!$C$66*$C$2*$K$2/5*$U$5,0)&amp;" "&amp;$I$2</f>
        <v>+10 Armor</v>
      </c>
      <c r="W5" s="2" t="str">
        <f>"+"&amp;ROUND(MAIN!$D$66*$C$2*$K$2/5*$U$5,0)&amp;" "&amp;$I$2</f>
        <v>+16 Armor</v>
      </c>
      <c r="X5" s="2" t="str">
        <f>"+"&amp;ROUND(MAIN!$E$66*$C$2*$K$2/5*$U$5,0)&amp;" "&amp;$I$2</f>
        <v>+26 Armor</v>
      </c>
      <c r="Y5" s="2" t="str">
        <f>"+"&amp;ROUND(MAIN!$F$66*$C$2*$K$2/5*$U$5,0)&amp;" "&amp;$I$2</f>
        <v>+44 Armor</v>
      </c>
      <c r="Z5" s="2" t="str">
        <f>"+"&amp;ROUND(MAIN!$G$66*$C$2*$K$2/5*$U$5,0)&amp;" "&amp;$I$2</f>
        <v>+74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+14 Armor</v>
      </c>
      <c r="W6" s="2" t="str">
        <f>"+"&amp;ROUND(MAIN!$D$66*$C$2*$K$2/5*$U$6,0)&amp;" "&amp;$I$2</f>
        <v>+23 Armor</v>
      </c>
      <c r="X6" s="2" t="str">
        <f>"+"&amp;ROUND(MAIN!$E$66*$C$2*$K$2/5*$U$6,0)&amp;" "&amp;$I$2</f>
        <v>+40 Armor</v>
      </c>
      <c r="Y6" s="2" t="str">
        <f>"+"&amp;ROUND(MAIN!$F$66*$C$2*$K$2/5*$U$6,0)&amp;" "&amp;$I$2</f>
        <v>+67 Armor</v>
      </c>
      <c r="Z6" s="2" t="str">
        <f>"+"&amp;ROUND(MAIN!$G$66*$C$2*$K$2/5*$U$6,0)&amp;" "&amp;$I$2</f>
        <v>+112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+19 Armor</v>
      </c>
      <c r="W7" s="2" t="str">
        <f>"+"&amp;ROUND(MAIN!$D$66*$C$2*$K$2/5*$U$7,0)&amp;" "&amp;$I$2</f>
        <v>+31 Armor</v>
      </c>
      <c r="X7" s="2" t="str">
        <f>"+"&amp;ROUND(MAIN!$E$66*$C$2*$K$2/5*$U$7,0)&amp;" "&amp;$I$2</f>
        <v>+53 Armor</v>
      </c>
      <c r="Y7" s="2" t="str">
        <f>"+"&amp;ROUND(MAIN!$F$66*$C$2*$K$2/5*$U$7,0)&amp;" "&amp;$I$2</f>
        <v>+89 Armor</v>
      </c>
      <c r="Z7" s="2" t="str">
        <f>"+"&amp;ROUND(MAIN!$G$66*$C$2*$K$2/5*$U$7,0)&amp;" "&amp;$I$2</f>
        <v>+149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+24 Armor</v>
      </c>
      <c r="W8" s="2" t="str">
        <f>"+"&amp;ROUND(MAIN!$D$66*$C$2*$K$2/5*$U$8,0)&amp;" "&amp;$I$2</f>
        <v>+39 Armor</v>
      </c>
      <c r="X8" s="2" t="str">
        <f>"+"&amp;ROUND(MAIN!$E$66*$C$2*$K$2/5*$U$8,0)&amp;" "&amp;$I$2</f>
        <v>+66 Armor</v>
      </c>
      <c r="Y8" s="2" t="str">
        <f>"+"&amp;ROUND(MAIN!$F$66*$C$2*$K$2/5*$U$8,0)&amp;" "&amp;$I$2</f>
        <v>+111 Armor</v>
      </c>
      <c r="Z8" s="2" t="str">
        <f>"+"&amp;ROUND(MAIN!$G$66*$C$2*$K$2/5*$U$8,0)&amp;" "&amp;$I$2</f>
        <v>+186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&amp;6"&amp;(MAIN!$F$3+(MAIN!$D$18+MAIN!$D$19)/2*MAIN!$B$9+(MAIN!$D$20+MAIN!$D$21)/2*MAIN!$B$8+(MAIN!$D$69*MAIN!$B$11)+($C$2*MAIN!$B$10))/10&amp;" &amp;aAlmakos'"</f>
        <v xml:space="preserve">  - '&amp;aVenta: &amp;6380 &amp;aAlmakos'</v>
      </c>
      <c r="B42" s="20"/>
      <c r="C42" s="20"/>
      <c r="D42" s="20"/>
      <c r="E42" s="20" t="str">
        <f>"  - '&amp;aVenta: &amp;6"&amp;(MAIN!$G$3+(MAIN!$D$18+MAIN!$D$19)/2*MAIN!$B$9+(MAIN!$D$20+MAIN!$D$21)/2*MAIN!$B$8+(MAIN!$D$69*MAIN!$B$11)+($C$2*MAIN!$B$10))/10&amp;" &amp;aAlmakos'"</f>
        <v xml:space="preserve">  - '&amp;aVenta: &amp;6540 &amp;aAlmakos'</v>
      </c>
      <c r="F42" s="20"/>
      <c r="G42" s="20"/>
      <c r="H42" s="20"/>
      <c r="I42" s="20" t="str">
        <f>"  - '&amp;aVenta: &amp;6"&amp;(MAIN!$H$3+(MAIN!$D$18+MAIN!$D$19)/2*MAIN!$B$9+(MAIN!$D$20+MAIN!$D$21)/2*MAIN!$B$8+(MAIN!$D$69*MAIN!$B$11)+($C$2*MAIN!$B$10))/10&amp;" &amp;aAlmakos'"</f>
        <v xml:space="preserve">  - '&amp;aVenta: &amp;6860 &amp;aAlmakos'</v>
      </c>
      <c r="J42" s="20"/>
      <c r="K42" s="20"/>
      <c r="L42" s="20"/>
      <c r="M42" s="20" t="str">
        <f>"  - '&amp;aVenta: &amp;6"&amp;(MAIN!$I$3+(MAIN!$D$18+MAIN!$D$19)/2*MAIN!$B$9+(MAIN!$D$20+MAIN!$D$21)/2*MAIN!$B$8+(MAIN!$D$69*MAIN!$B$11)+($C$2*MAIN!$B$10))/10&amp;" &amp;aAlmakos'"</f>
        <v xml:space="preserve">  - '&amp;aVenta: &amp;61500 &amp;aAlmakos'</v>
      </c>
      <c r="N42" s="20"/>
      <c r="O42" s="20"/>
      <c r="P42" s="20"/>
      <c r="Q42" s="20" t="str">
        <f>"  - '&amp;aVenta: &amp;6"&amp;(MAIN!$J$3+(MAIN!$D$18+MAIN!$D$19)/2*MAIN!$B$9+(MAIN!$D$20+MAIN!$D$21)/2*MAIN!$B$8+(MAIN!$D$69*MAIN!$B$11)+($C$2*MAIN!$B$10))/10&amp;" &amp;aAlmakos'"</f>
        <v xml:space="preserve">  - '&amp;aVenta: &amp;62780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&amp;a"&amp;MAIN!$C$71+($C$2*MAIN!$I$27)&amp;"'"</f>
        <v xml:space="preserve">  - '&amp;7• &amp;8Nivel: &amp;a29'</v>
      </c>
      <c r="B46" s="10"/>
      <c r="C46" s="10"/>
      <c r="D46" s="10"/>
      <c r="E46" s="10" t="str">
        <f>"  - '&amp;7• &amp;8Nivel: &amp;a"&amp;MAIN!$D$71+($C$2*MAIN!$I$27)&amp;"'"</f>
        <v xml:space="preserve">  - '&amp;7• &amp;8Nivel: &amp;a57'</v>
      </c>
      <c r="F46" s="10"/>
      <c r="G46" s="10"/>
      <c r="H46" s="10"/>
      <c r="I46" s="10" t="str">
        <f>"  - '&amp;7• &amp;8Nivel: &amp;a"&amp;MAIN!$E$71+($C$2*MAIN!$I$27)&amp;"'"</f>
        <v xml:space="preserve">  - '&amp;7• &amp;8Nivel: &amp;a143'</v>
      </c>
      <c r="J46" s="10"/>
      <c r="K46" s="10"/>
      <c r="L46" s="10"/>
      <c r="M46" s="10" t="str">
        <f>"  - '&amp;7• &amp;8Nivel: &amp;a"&amp;MAIN!$F$71+($C$2*MAIN!$I$27)&amp;"'"</f>
        <v xml:space="preserve">  - '&amp;7• &amp;8Nivel: &amp;a399'</v>
      </c>
      <c r="N46" s="10"/>
      <c r="O46" s="10"/>
      <c r="P46" s="10"/>
      <c r="Q46" s="10" t="str">
        <f>"  - '&amp;7• &amp;8Nivel: &amp;a"&amp;MAIN!$G$71+($C$2*MAIN!$I$27)&amp;"'"</f>
        <v xml:space="preserve">  - '&amp;7• &amp;8Nivel: &amp;a783'</v>
      </c>
      <c r="R46" s="10"/>
      <c r="S46" s="10"/>
      <c r="T46" s="10"/>
    </row>
    <row r="47" spans="1:20" x14ac:dyDescent="0.25">
      <c r="A47" s="12" t="str">
        <f>"  - '&amp;7• &amp;8"&amp;MAIN!$C$12&amp;" lvl: &amp;a"&amp;ROUNDUP((MAIN!$C$71+($C$2*MAIN!$I$27))/3,0)&amp;"'"</f>
        <v xml:space="preserve">  - '&amp;7• &amp;8Esencia lvl: &amp;a10'</v>
      </c>
      <c r="B47" s="12"/>
      <c r="C47" s="12"/>
      <c r="D47" s="12"/>
      <c r="E47" s="12" t="str">
        <f>"  - '&amp;7• &amp;8"&amp;MAIN!$C$12&amp;" lvl: &amp;a"&amp;ROUNDUP((MAIN!$D$71+($C$2*MAIN!$I$27))/3,0)&amp;"'"</f>
        <v xml:space="preserve">  - '&amp;7• &amp;8Esencia lvl: &amp;a19'</v>
      </c>
      <c r="F47" s="12"/>
      <c r="G47" s="12"/>
      <c r="H47" s="12"/>
      <c r="I47" s="12" t="str">
        <f>"  - '&amp;7• &amp;8"&amp;MAIN!$C$12&amp;" lvl: &amp;a"&amp;ROUNDUP((MAIN!$E$71+($C$2*MAIN!$I$27))/3,0)&amp;"'"</f>
        <v xml:space="preserve">  - '&amp;7• &amp;8Esencia lvl: &amp;a48'</v>
      </c>
      <c r="J47" s="12"/>
      <c r="K47" s="12"/>
      <c r="L47" s="12"/>
      <c r="M47" s="12" t="str">
        <f>"  - '&amp;7• &amp;8"&amp;MAIN!$C$12&amp;" lvl: &amp;a"&amp;ROUNDUP((MAIN!$F$71+($C$2*MAIN!$I$27))/3,0)&amp;"'"</f>
        <v xml:space="preserve">  - '&amp;7• &amp;8Esencia lvl: &amp;a133'</v>
      </c>
      <c r="N47" s="12"/>
      <c r="O47" s="12"/>
      <c r="P47" s="12"/>
      <c r="Q47" s="12" t="str">
        <f>"  - '&amp;7• &amp;8"&amp;MAIN!$C$12&amp;" lvl: &amp;a"&amp;ROUNDUP((MAIN!$G$71+($C$2*MAIN!$I$27))/3,0)&amp;"'"</f>
        <v xml:space="preserve">  - '&amp;7• &amp;8Esencia lvl: &amp;a261'</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91" customFormat="1" x14ac:dyDescent="0.25">
      <c r="A49" s="9" t="s">
        <v>1196</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&amp;a"&amp;MAIN!$C$66*$C$2&amp;"'"</f>
        <v xml:space="preserve">  - '&amp;4• &amp;fFuerza: &amp;a24'</v>
      </c>
      <c r="B51" s="10"/>
      <c r="C51" s="10"/>
      <c r="D51" s="10"/>
      <c r="E51" s="10" t="str">
        <f>"  - '&amp;4• &amp;f"&amp;MAIN!$C$9&amp;": &amp;a"&amp;MAIN!$D$66*$C$2&amp;"'"</f>
        <v xml:space="preserve">  - '&amp;4• &amp;fFuerza: &amp;a39'</v>
      </c>
      <c r="F51" s="10"/>
      <c r="G51" s="10"/>
      <c r="H51" s="10"/>
      <c r="I51" s="10" t="str">
        <f>"  - '&amp;4• &amp;f"&amp;MAIN!$C$9&amp;": &amp;a"&amp;MAIN!$E$66*$C$2&amp;"'"</f>
        <v xml:space="preserve">  - '&amp;4• &amp;fFuerza: &amp;a66'</v>
      </c>
      <c r="J51" s="10"/>
      <c r="K51" s="10"/>
      <c r="L51" s="10"/>
      <c r="M51" s="10" t="str">
        <f>"  - '&amp;4• &amp;f"&amp;MAIN!$C$9&amp;": &amp;a"&amp;MAIN!$F$66*$C$2&amp;"'"</f>
        <v xml:space="preserve">  - '&amp;4• &amp;fFuerza: &amp;a111'</v>
      </c>
      <c r="N51" s="10"/>
      <c r="O51" s="10"/>
      <c r="P51" s="10"/>
      <c r="Q51" s="10" t="str">
        <f>"  - '&amp;4• &amp;f"&amp;MAIN!$C$9&amp;": &amp;a"&amp;MAIN!$G$66*$C$2&amp;"'"</f>
        <v xml:space="preserve">  - '&amp;4• &amp;fFuerza: &amp;a186'</v>
      </c>
      <c r="R51" s="10"/>
      <c r="S51" s="10"/>
      <c r="T51" s="10"/>
    </row>
    <row r="52" spans="1:20" x14ac:dyDescent="0.25">
      <c r="A52" s="10" t="str">
        <f>"  - '&amp;4• &amp;f"&amp;MAIN!$C$8&amp;": &amp;a"&amp;MAIN!$C$66*$C$2&amp;"'"</f>
        <v xml:space="preserve">  - '&amp;4• &amp;fVitalidad: &amp;a24'</v>
      </c>
      <c r="B52" s="10"/>
      <c r="C52" s="10"/>
      <c r="D52" s="10"/>
      <c r="E52" s="10" t="str">
        <f>"  - '&amp;4• &amp;f"&amp;MAIN!$C$8&amp;": &amp;a"&amp;MAIN!$D$66*$C$2&amp;"'"</f>
        <v xml:space="preserve">  - '&amp;4• &amp;fVitalidad: &amp;a39'</v>
      </c>
      <c r="F52" s="10"/>
      <c r="G52" s="10"/>
      <c r="H52" s="10"/>
      <c r="I52" s="10" t="str">
        <f>"  - '&amp;4• &amp;f"&amp;MAIN!$C$8&amp;": &amp;a"&amp;MAIN!$E$66*$C$2&amp;"'"</f>
        <v xml:space="preserve">  - '&amp;4• &amp;fVitalidad: &amp;a66'</v>
      </c>
      <c r="J52" s="10"/>
      <c r="K52" s="10"/>
      <c r="L52" s="10"/>
      <c r="M52" s="10" t="str">
        <f>"  - '&amp;4• &amp;f"&amp;MAIN!$C$8&amp;": &amp;a"&amp;MAIN!$F$66*$C$2&amp;"'"</f>
        <v xml:space="preserve">  - '&amp;4• &amp;fVitalidad: &amp;a111'</v>
      </c>
      <c r="N52" s="10"/>
      <c r="O52" s="10"/>
      <c r="P52" s="10"/>
      <c r="Q52" s="10" t="str">
        <f>"  - '&amp;4• &amp;f"&amp;MAIN!$C$8&amp;": &amp;a"&amp;MAIN!$G$66*$C$2&amp;"'"</f>
        <v xml:space="preserve">  - '&amp;4• &amp;fVitalidad: &amp;a186'</v>
      </c>
      <c r="R52" s="10"/>
      <c r="S52" s="10"/>
      <c r="T52" s="10"/>
    </row>
    <row r="53" spans="1:20" x14ac:dyDescent="0.25">
      <c r="A53" s="10" t="str">
        <f>"  - '&amp;4• &amp;f"&amp;MAIN!$C$11&amp;": &amp;a"&amp;MAIN!$C$68*$C$2&amp;"'"</f>
        <v xml:space="preserve">  - '&amp;4• &amp;fInteligencia: &amp;a24'</v>
      </c>
      <c r="B53" s="10"/>
      <c r="C53" s="10"/>
      <c r="D53" s="10"/>
      <c r="E53" s="10" t="str">
        <f>"  - '&amp;4• &amp;f"&amp;MAIN!$C$11&amp;": &amp;a"&amp;MAIN!$D$68*$C$2&amp;"'"</f>
        <v xml:space="preserve">  - '&amp;4• &amp;fInteligencia: &amp;a39'</v>
      </c>
      <c r="F53" s="10"/>
      <c r="G53" s="10"/>
      <c r="H53" s="10"/>
      <c r="I53" s="10" t="str">
        <f>"  - '&amp;4• &amp;f"&amp;MAIN!$C$11&amp;": &amp;a"&amp;MAIN!$E$67*$C$2&amp;"'"</f>
        <v xml:space="preserve">  - '&amp;4• &amp;fInteligencia: &amp;a66'</v>
      </c>
      <c r="J53" s="10"/>
      <c r="K53" s="10"/>
      <c r="L53" s="10"/>
      <c r="M53" s="10" t="str">
        <f>"  - '&amp;4• &amp;f"&amp;MAIN!$C$11&amp;": &amp;a"&amp;MAIN!$F$68*$C$2&amp;"'"</f>
        <v xml:space="preserve">  - '&amp;4• &amp;fInteligencia: &amp;a111'</v>
      </c>
      <c r="N53" s="10"/>
      <c r="O53" s="10"/>
      <c r="P53" s="10"/>
      <c r="Q53" s="10" t="str">
        <f>"  - '&amp;4• &amp;f"&amp;MAIN!$C$11&amp;": &amp;a"&amp;MAIN!$G$68*$C$2&amp;"'"</f>
        <v xml:space="preserve">  - '&amp;4• &amp;fInteligencia: &amp;a186'</v>
      </c>
      <c r="R53" s="10"/>
      <c r="S53" s="10"/>
      <c r="T53" s="10"/>
    </row>
    <row r="54" spans="1:20" x14ac:dyDescent="0.25">
      <c r="A54" s="10" t="str">
        <f>"  - '&amp;4• &amp;f"&amp;MAIN!$C$10&amp;": &amp;a"&amp;MAIN!$C$67*$C$2&amp;"'"</f>
        <v xml:space="preserve">  - '&amp;4• &amp;fAgilidad: &amp;a24'</v>
      </c>
      <c r="B54" s="10"/>
      <c r="C54" s="10"/>
      <c r="D54" s="10"/>
      <c r="E54" s="10" t="str">
        <f>"  - '&amp;4• &amp;f"&amp;MAIN!$C$10&amp;": &amp;a"&amp;MAIN!$D$67*$C$2&amp;"'"</f>
        <v xml:space="preserve">  - '&amp;4• &amp;fAgilidad: &amp;a39'</v>
      </c>
      <c r="F54" s="10"/>
      <c r="G54" s="10"/>
      <c r="H54" s="10"/>
      <c r="I54" s="10" t="str">
        <f>"  - '&amp;4• &amp;f"&amp;MAIN!$C$10&amp;": &amp;a"&amp;MAIN!$E$67*$C$2&amp;"'"</f>
        <v xml:space="preserve">  - '&amp;4• &amp;fAgilidad: &amp;a66'</v>
      </c>
      <c r="J54" s="10"/>
      <c r="K54" s="10"/>
      <c r="L54" s="10"/>
      <c r="M54" s="10" t="str">
        <f>"  - '&amp;4• &amp;f"&amp;MAIN!$C$10&amp;": &amp;a"&amp;MAIN!$F$67*$C$2&amp;"'"</f>
        <v xml:space="preserve">  - '&amp;4• &amp;fAgilidad: &amp;a111'</v>
      </c>
      <c r="N54" s="10"/>
      <c r="O54" s="10"/>
      <c r="P54" s="10"/>
      <c r="Q54" s="10" t="str">
        <f>"  - '&amp;4• &amp;f"&amp;MAIN!$C$10&amp;": &amp;a"&amp;MAIN!$G$67*$C$2&amp;"'"</f>
        <v xml:space="preserve">  - '&amp;4• &amp;fAgilidad: &amp;a186'</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93"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92"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93"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Z169"/>
  <sheetViews>
    <sheetView topLeftCell="A44" workbookViewId="0">
      <selection activeCell="A59" sqref="A59:XFD61"/>
    </sheetView>
  </sheetViews>
  <sheetFormatPr baseColWidth="10" defaultColWidth="11.5703125" defaultRowHeight="15" x14ac:dyDescent="0.25"/>
  <cols>
    <col min="1" max="16384" width="11.5703125" style="18"/>
  </cols>
  <sheetData>
    <row r="1" spans="1:26" ht="30.75" customHeight="1" x14ac:dyDescent="0.25">
      <c r="A1" s="351" t="s">
        <v>19</v>
      </c>
      <c r="B1" s="351"/>
      <c r="C1" s="351" t="s">
        <v>70</v>
      </c>
      <c r="D1" s="351"/>
      <c r="E1" s="351" t="s">
        <v>80</v>
      </c>
      <c r="F1" s="351"/>
      <c r="G1" s="351" t="s">
        <v>89</v>
      </c>
      <c r="H1" s="351"/>
      <c r="I1" s="351" t="s">
        <v>1197</v>
      </c>
      <c r="J1" s="351"/>
      <c r="K1" s="351" t="s">
        <v>1199</v>
      </c>
      <c r="L1" s="351"/>
    </row>
    <row r="2" spans="1:26" x14ac:dyDescent="0.25">
      <c r="A2" s="301" t="s">
        <v>100</v>
      </c>
      <c r="B2" s="301"/>
      <c r="C2" s="301">
        <f>'ECONOMIA &amp; PROFESIONES'!$O$3</f>
        <v>3</v>
      </c>
      <c r="D2" s="301"/>
      <c r="E2" s="301" t="s">
        <v>81</v>
      </c>
      <c r="F2" s="301"/>
      <c r="G2" s="301" t="s">
        <v>97</v>
      </c>
      <c r="H2" s="301"/>
      <c r="I2" s="301" t="str">
        <f>MAIN!$J$53</f>
        <v>Armor</v>
      </c>
      <c r="J2" s="301"/>
      <c r="K2" s="301">
        <f>MAIN!$L$53</f>
        <v>1</v>
      </c>
      <c r="L2" s="301"/>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"+"&amp;ROUND(MAIN!$C$77*$C$2*$K$2/5*$U$4,0)&amp;" "&amp;$I$2</f>
        <v>+4 Armor</v>
      </c>
      <c r="W4" s="2" t="str">
        <f>"+"&amp;ROUND(MAIN!$D$77*$C$2*$K$2/5*$U$4,0)&amp;" "&amp;$I$2</f>
        <v>+7 Armor</v>
      </c>
      <c r="X4" s="2" t="str">
        <f>"+"&amp;ROUND(MAIN!$E$77*$C$2*$K$2/5*$U$4,0)&amp;" "&amp;$I$2</f>
        <v>+11 Armor</v>
      </c>
      <c r="Y4" s="2" t="str">
        <f>"+"&amp;ROUND(MAIN!$F$77*$C$2*$K$2/5*$U$4,0)&amp;" "&amp;$I$2</f>
        <v>+18 Armor</v>
      </c>
      <c r="Z4" s="2" t="str">
        <f>"+"&amp;ROUND(MAIN!$G$77*$C$2*$K$2/5*$U$4,0)&amp;" "&amp;$I$2</f>
        <v>+31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"+"&amp;ROUND(MAIN!$C$77*$C$2*$K$2/5*$U$5,0)&amp;" "&amp;$I$2</f>
        <v>+8 Armor</v>
      </c>
      <c r="W5" s="2" t="str">
        <f>"+"&amp;ROUND(MAIN!$D$77*$C$2*$K$2/5*$U$5,0)&amp;" "&amp;$I$2</f>
        <v>+13 Armor</v>
      </c>
      <c r="X5" s="2" t="str">
        <f>"+"&amp;ROUND(MAIN!$E$77*$C$2*$K$2/5*$U$5,0)&amp;" "&amp;$I$2</f>
        <v>+22 Armor</v>
      </c>
      <c r="Y5" s="2" t="str">
        <f>"+"&amp;ROUND(MAIN!$F$77*$C$2*$K$2/5*$U$5,0)&amp;" "&amp;$I$2</f>
        <v>+36 Armor</v>
      </c>
      <c r="Z5" s="2" t="str">
        <f>"+"&amp;ROUND(MAIN!$G$77*$C$2*$K$2/5*$U$5,0)&amp;" "&amp;$I$2</f>
        <v>+61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+13 Armor</v>
      </c>
      <c r="W6" s="2" t="str">
        <f>"+"&amp;ROUND(MAIN!$D$77*$C$2*$K$2/5*$U$6,0)&amp;" "&amp;$I$2</f>
        <v>+20 Armor</v>
      </c>
      <c r="X6" s="2" t="str">
        <f>"+"&amp;ROUND(MAIN!$E$77*$C$2*$K$2/5*$U$6,0)&amp;" "&amp;$I$2</f>
        <v>+32 Armor</v>
      </c>
      <c r="Y6" s="2" t="str">
        <f>"+"&amp;ROUND(MAIN!$F$77*$C$2*$K$2/5*$U$6,0)&amp;" "&amp;$I$2</f>
        <v>+54 Armor</v>
      </c>
      <c r="Z6" s="2" t="str">
        <f>"+"&amp;ROUND(MAIN!$G$77*$C$2*$K$2/5*$U$6,0)&amp;" "&amp;$I$2</f>
        <v>+92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+17 Armor</v>
      </c>
      <c r="W7" s="2" t="str">
        <f>"+"&amp;ROUND(MAIN!$D$77*$C$2*$K$2/5*$U$7,0)&amp;" "&amp;$I$2</f>
        <v>+26 Armor</v>
      </c>
      <c r="X7" s="2" t="str">
        <f>"+"&amp;ROUND(MAIN!$E$77*$C$2*$K$2/5*$U$7,0)&amp;" "&amp;$I$2</f>
        <v>+43 Armor</v>
      </c>
      <c r="Y7" s="2" t="str">
        <f>"+"&amp;ROUND(MAIN!$F$77*$C$2*$K$2/5*$U$7,0)&amp;" "&amp;$I$2</f>
        <v>+72 Armor</v>
      </c>
      <c r="Z7" s="2" t="str">
        <f>"+"&amp;ROUND(MAIN!$G$77*$C$2*$K$2/5*$U$7,0)&amp;" "&amp;$I$2</f>
        <v>+122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+21 Armor</v>
      </c>
      <c r="W8" s="2" t="str">
        <f>"+"&amp;ROUND(MAIN!$D$77*$C$2*$K$2/5*$U$8,0)&amp;" "&amp;$I$2</f>
        <v>+33 Armor</v>
      </c>
      <c r="X8" s="2" t="str">
        <f>"+"&amp;ROUND(MAIN!$E$77*$C$2*$K$2/5*$U$8,0)&amp;" "&amp;$I$2</f>
        <v>+54 Armor</v>
      </c>
      <c r="Y8" s="2" t="str">
        <f>"+"&amp;ROUND(MAIN!$F$77*$C$2*$K$2/5*$U$8,0)&amp;" "&amp;$I$2</f>
        <v>+90 Armor</v>
      </c>
      <c r="Z8" s="2" t="str">
        <f>"+"&amp;ROUND(MAIN!$G$77*$C$2*$K$2/5*$U$8,0)&amp;" "&amp;$I$2</f>
        <v>+153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&amp;6"&amp;(MAIN!$F$4+(MAIN!$D$18+MAIN!$D$19)/2*MAIN!$B$9+(MAIN!$D$20+MAIN!$D$21)/2*MAIN!$B$8+(MAIN!$D$80*MAIN!$B$11)+($C$2*MAIN!$B$10))/10&amp;" &amp;aAlmakos'"</f>
        <v xml:space="preserve">  - '&amp;aVenta: &amp;6357.5 &amp;aAlmakos'</v>
      </c>
      <c r="B42" s="20"/>
      <c r="C42" s="20"/>
      <c r="D42" s="20"/>
      <c r="E42" s="20" t="str">
        <f>"  - '&amp;aVenta: &amp;6"&amp;(MAIN!$G$4+(MAIN!$D$18+MAIN!$D$19)/2*MAIN!$B$9+(MAIN!$D$20+MAIN!$D$21)/2*MAIN!$B$8+(MAIN!$D$80*MAIN!$B$11)+($C$2*MAIN!$B$10))/10&amp;" &amp;aAlmakos'"</f>
        <v xml:space="preserve">  - '&amp;aVenta: &amp;6497.5 &amp;aAlmakos'</v>
      </c>
      <c r="F42" s="20"/>
      <c r="G42" s="20"/>
      <c r="H42" s="20"/>
      <c r="I42" s="20" t="str">
        <f>"  - '&amp;aVenta: &amp;6"&amp;(MAIN!$H$4+(MAIN!$D$18+MAIN!$D$19)/2*MAIN!$B$9+(MAIN!$D$20+MAIN!$D$21)/2*MAIN!$B$8+(MAIN!$D$80*MAIN!$B$11)+($C$2*MAIN!$B$10))/10&amp;" &amp;aAlmakos'"</f>
        <v xml:space="preserve">  - '&amp;aVenta: &amp;6777.5 &amp;aAlmakos'</v>
      </c>
      <c r="J42" s="20"/>
      <c r="K42" s="20"/>
      <c r="L42" s="20"/>
      <c r="M42" s="20" t="str">
        <f>"  - '&amp;aVenta: &amp;6"&amp;(MAIN!$I$4+(MAIN!$D$18+MAIN!$D$19)/2*MAIN!$B$9+(MAIN!$D$20+MAIN!$D$21)/2*MAIN!$B$8+(MAIN!$D$80*MAIN!$B$11)+($C$2*MAIN!$B$10))/10&amp;" &amp;aAlmakos'"</f>
        <v xml:space="preserve">  - '&amp;aVenta: &amp;61337.5 &amp;aAlmakos'</v>
      </c>
      <c r="N42" s="20"/>
      <c r="O42" s="20"/>
      <c r="P42" s="20"/>
      <c r="Q42" s="20" t="str">
        <f>"  - '&amp;aVenta: &amp;6"&amp;(MAIN!$J$4+(MAIN!$D$18+MAIN!$D$19)/2*MAIN!$B$9+(MAIN!$D$20+MAIN!$D$21)/2*MAIN!$B$8+(MAIN!$D$80*MAIN!$B$11)+($C$2*MAIN!$B$10))/10&amp;" &amp;aAlmakos'"</f>
        <v xml:space="preserve">  - '&amp;aVenta: &amp;62457.5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&amp;a"&amp;MAIN!$C$82+($C$2*MAIN!$I$27)&amp;"'"</f>
        <v xml:space="preserve">  - '&amp;7• &amp;8Nivel: &amp;a27'</v>
      </c>
      <c r="B46" s="10"/>
      <c r="C46" s="10"/>
      <c r="D46" s="10"/>
      <c r="E46" s="10" t="str">
        <f>"  - '&amp;7• &amp;8Nivel: &amp;a"&amp;MAIN!$D$82+($C$2*MAIN!$I$27)&amp;"'"</f>
        <v xml:space="preserve">  - '&amp;7• &amp;8Nivel: &amp;a52'</v>
      </c>
      <c r="F46" s="10"/>
      <c r="G46" s="10"/>
      <c r="H46" s="10"/>
      <c r="I46" s="10" t="str">
        <f>"  - '&amp;7• &amp;8Nivel: &amp;a"&amp;MAIN!$E$82+($C$2*MAIN!$I$27)&amp;"'"</f>
        <v xml:space="preserve">  - '&amp;7• &amp;8Nivel: &amp;a127'</v>
      </c>
      <c r="J46" s="10"/>
      <c r="K46" s="10"/>
      <c r="L46" s="10"/>
      <c r="M46" s="10" t="str">
        <f>"  - '&amp;7• &amp;8Nivel: &amp;a"&amp;MAIN!$F$82+($C$2*MAIN!$I$27)&amp;"'"</f>
        <v xml:space="preserve">  - '&amp;7• &amp;8Nivel: &amp;a351'</v>
      </c>
      <c r="N46" s="10"/>
      <c r="O46" s="10"/>
      <c r="P46" s="10"/>
      <c r="Q46" s="10" t="str">
        <f>"  - '&amp;7• &amp;8Nivel: &amp;a"&amp;MAIN!$G$82+($C$2*MAIN!$I$27)&amp;"'"</f>
        <v xml:space="preserve">  - '&amp;7• &amp;8Nivel: &amp;a687'</v>
      </c>
      <c r="R46" s="10"/>
      <c r="S46" s="10"/>
      <c r="T46" s="10"/>
    </row>
    <row r="47" spans="1:20" x14ac:dyDescent="0.25">
      <c r="A47" s="12" t="str">
        <f>"  - '&amp;7• &amp;8"&amp;MAIN!$C$12&amp;" lvl: &amp;a"&amp;ROUNDUP((MAIN!$C$82+($C$2*MAIN!$I$27))/3,0)&amp;"'"</f>
        <v xml:space="preserve">  - '&amp;7• &amp;8Esencia lvl: &amp;a9'</v>
      </c>
      <c r="B47" s="12"/>
      <c r="C47" s="12"/>
      <c r="D47" s="12"/>
      <c r="E47" s="12" t="str">
        <f>"  - '&amp;7• &amp;8"&amp;MAIN!$C$12&amp;" lvl: &amp;a"&amp;ROUNDUP((MAIN!$D$82+($C$2*MAIN!$I$27))/3,0)&amp;"'"</f>
        <v xml:space="preserve">  - '&amp;7• &amp;8Esencia lvl: &amp;a18'</v>
      </c>
      <c r="F47" s="12"/>
      <c r="G47" s="12"/>
      <c r="H47" s="12"/>
      <c r="I47" s="12" t="str">
        <f>"  - '&amp;7• &amp;8"&amp;MAIN!$C$12&amp;" lvl: &amp;a"&amp;ROUNDUP((MAIN!$E$82+($C$2*MAIN!$I$27))/3,0)&amp;"'"</f>
        <v xml:space="preserve">  - '&amp;7• &amp;8Esencia lvl: &amp;a43'</v>
      </c>
      <c r="J47" s="12"/>
      <c r="K47" s="12"/>
      <c r="L47" s="12"/>
      <c r="M47" s="12" t="str">
        <f>"  - '&amp;7• &amp;8"&amp;MAIN!$C$12&amp;" lvl: &amp;a"&amp;ROUNDUP((MAIN!$F$82+($C$2*MAIN!$I$27))/3,0)&amp;"'"</f>
        <v xml:space="preserve">  - '&amp;7• &amp;8Esencia lvl: &amp;a117'</v>
      </c>
      <c r="N47" s="12"/>
      <c r="O47" s="12"/>
      <c r="P47" s="12"/>
      <c r="Q47" s="12" t="str">
        <f>"  - '&amp;7• &amp;8"&amp;MAIN!$C$12&amp;" lvl: &amp;a"&amp;ROUNDUP((MAIN!$G$82+($C$2*MAIN!$I$27))/3,0)&amp;"'"</f>
        <v xml:space="preserve">  - '&amp;7• &amp;8Esencia lvl: &amp;a229'</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91" customFormat="1" x14ac:dyDescent="0.25">
      <c r="A49" s="9" t="s">
        <v>1196</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&amp;a"&amp;MAIN!$C$77*$C$2&amp;"'"</f>
        <v xml:space="preserve">  - '&amp;4• &amp;fFuerza: &amp;a21'</v>
      </c>
      <c r="B51" s="10"/>
      <c r="C51" s="10"/>
      <c r="D51" s="10"/>
      <c r="E51" s="10" t="str">
        <f>"  - '&amp;4• &amp;f"&amp;MAIN!$C$9&amp;": &amp;a"&amp;MAIN!$D$77*$C$2&amp;"'"</f>
        <v xml:space="preserve">  - '&amp;4• &amp;fFuerza: &amp;a33'</v>
      </c>
      <c r="F51" s="10"/>
      <c r="G51" s="10"/>
      <c r="H51" s="10"/>
      <c r="I51" s="10" t="str">
        <f>"  - '&amp;4• &amp;f"&amp;MAIN!$C$9&amp;": &amp;a"&amp;MAIN!$E$77*$C$2&amp;"'"</f>
        <v xml:space="preserve">  - '&amp;4• &amp;fFuerza: &amp;a54'</v>
      </c>
      <c r="J51" s="10"/>
      <c r="K51" s="10"/>
      <c r="L51" s="10"/>
      <c r="M51" s="10" t="str">
        <f>"  - '&amp;4• &amp;f"&amp;MAIN!$C$9&amp;": &amp;a"&amp;MAIN!$F$77*$C$2&amp;"'"</f>
        <v xml:space="preserve">  - '&amp;4• &amp;fFuerza: &amp;a90'</v>
      </c>
      <c r="N51" s="10"/>
      <c r="O51" s="10"/>
      <c r="P51" s="10"/>
      <c r="Q51" s="10" t="str">
        <f>"  - '&amp;4• &amp;f"&amp;MAIN!$C$9&amp;": &amp;a"&amp;MAIN!$G$77*$C$2&amp;"'"</f>
        <v xml:space="preserve">  - '&amp;4• &amp;fFuerza: &amp;a153'</v>
      </c>
      <c r="R51" s="10"/>
      <c r="S51" s="10"/>
      <c r="T51" s="10"/>
    </row>
    <row r="52" spans="1:20" x14ac:dyDescent="0.25">
      <c r="A52" s="10" t="str">
        <f>"  - '&amp;4• &amp;f"&amp;MAIN!$C$8&amp;": &amp;a"&amp;MAIN!$C$77*$C$2&amp;"'"</f>
        <v xml:space="preserve">  - '&amp;4• &amp;fVitalidad: &amp;a21'</v>
      </c>
      <c r="B52" s="10"/>
      <c r="C52" s="10"/>
      <c r="D52" s="10"/>
      <c r="E52" s="10" t="str">
        <f>"  - '&amp;4• &amp;f"&amp;MAIN!$C$8&amp;": &amp;a"&amp;MAIN!$D$77*$C$2&amp;"'"</f>
        <v xml:space="preserve">  - '&amp;4• &amp;fVitalidad: &amp;a33'</v>
      </c>
      <c r="F52" s="10"/>
      <c r="G52" s="10"/>
      <c r="H52" s="10"/>
      <c r="I52" s="10" t="str">
        <f>"  - '&amp;4• &amp;f"&amp;MAIN!$C$8&amp;": &amp;a"&amp;MAIN!$E$77*$C$2&amp;"'"</f>
        <v xml:space="preserve">  - '&amp;4• &amp;fVitalidad: &amp;a54'</v>
      </c>
      <c r="J52" s="10"/>
      <c r="K52" s="10"/>
      <c r="L52" s="10"/>
      <c r="M52" s="10" t="str">
        <f>"  - '&amp;4• &amp;f"&amp;MAIN!$C$8&amp;": &amp;a"&amp;MAIN!$F$77*$C$2&amp;"'"</f>
        <v xml:space="preserve">  - '&amp;4• &amp;fVitalidad: &amp;a90'</v>
      </c>
      <c r="N52" s="10"/>
      <c r="O52" s="10"/>
      <c r="P52" s="10"/>
      <c r="Q52" s="10" t="str">
        <f>"  - '&amp;4• &amp;f"&amp;MAIN!$C$8&amp;": &amp;a"&amp;MAIN!$G$77*$C$2&amp;"'"</f>
        <v xml:space="preserve">  - '&amp;4• &amp;fVitalidad: &amp;a153'</v>
      </c>
      <c r="R52" s="10"/>
      <c r="S52" s="10"/>
      <c r="T52" s="10"/>
    </row>
    <row r="53" spans="1:20" x14ac:dyDescent="0.25">
      <c r="A53" s="10" t="str">
        <f>"  - '&amp;4• &amp;f"&amp;MAIN!$C$11&amp;": &amp;a"&amp;MAIN!$C$79*$C$2&amp;"'"</f>
        <v xml:space="preserve">  - '&amp;4• &amp;fInteligencia: &amp;a21'</v>
      </c>
      <c r="B53" s="10"/>
      <c r="C53" s="10"/>
      <c r="D53" s="10"/>
      <c r="E53" s="10" t="str">
        <f>"  - '&amp;4• &amp;f"&amp;MAIN!$C$11&amp;": &amp;a"&amp;MAIN!$D$79*$C$2&amp;"'"</f>
        <v xml:space="preserve">  - '&amp;4• &amp;fInteligencia: &amp;a33'</v>
      </c>
      <c r="F53" s="10"/>
      <c r="G53" s="10"/>
      <c r="H53" s="10"/>
      <c r="I53" s="10" t="str">
        <f>"  - '&amp;4• &amp;f"&amp;MAIN!$C$11&amp;": &amp;a"&amp;MAIN!$E$79*$C$2&amp;"'"</f>
        <v xml:space="preserve">  - '&amp;4• &amp;fInteligencia: &amp;a54'</v>
      </c>
      <c r="J53" s="10"/>
      <c r="K53" s="10"/>
      <c r="L53" s="10"/>
      <c r="M53" s="10" t="str">
        <f>"  - '&amp;4• &amp;f"&amp;MAIN!$C$11&amp;": &amp;a"&amp;MAIN!$F$79*$C$2&amp;"'"</f>
        <v xml:space="preserve">  - '&amp;4• &amp;fInteligencia: &amp;a90'</v>
      </c>
      <c r="N53" s="10"/>
      <c r="O53" s="10"/>
      <c r="P53" s="10"/>
      <c r="Q53" s="10" t="str">
        <f>"  - '&amp;4• &amp;f"&amp;MAIN!$C$11&amp;": &amp;a"&amp;MAIN!$G$79*$C$2&amp;"'"</f>
        <v xml:space="preserve">  - '&amp;4• &amp;fInteligencia: &amp;a153'</v>
      </c>
      <c r="R53" s="10"/>
      <c r="S53" s="10"/>
      <c r="T53" s="10"/>
    </row>
    <row r="54" spans="1:20" x14ac:dyDescent="0.25">
      <c r="A54" s="10" t="str">
        <f>"  - '&amp;4• &amp;f"&amp;MAIN!$C$10&amp;": &amp;a"&amp;MAIN!$C$78*$C$2&amp;"'"</f>
        <v xml:space="preserve">  - '&amp;4• &amp;fAgilidad: &amp;a21'</v>
      </c>
      <c r="B54" s="10"/>
      <c r="C54" s="10"/>
      <c r="D54" s="10"/>
      <c r="E54" s="10" t="str">
        <f>"  - '&amp;4• &amp;f"&amp;MAIN!$C$10&amp;": &amp;a"&amp;MAIN!$D$78*$C$2&amp;"'"</f>
        <v xml:space="preserve">  - '&amp;4• &amp;fAgilidad: &amp;a33'</v>
      </c>
      <c r="F54" s="10"/>
      <c r="G54" s="10"/>
      <c r="H54" s="10"/>
      <c r="I54" s="10" t="str">
        <f>"  - '&amp;4• &amp;f"&amp;MAIN!$C$10&amp;": &amp;a"&amp;MAIN!$E$78*$C$2&amp;"'"</f>
        <v xml:space="preserve">  - '&amp;4• &amp;fAgilidad: &amp;a54'</v>
      </c>
      <c r="J54" s="10"/>
      <c r="K54" s="10"/>
      <c r="L54" s="10"/>
      <c r="M54" s="10" t="str">
        <f>"  - '&amp;4• &amp;f"&amp;MAIN!$C$10&amp;": &amp;a"&amp;MAIN!$F$78*$C$2&amp;"'"</f>
        <v xml:space="preserve">  - '&amp;4• &amp;fAgilidad: &amp;a90'</v>
      </c>
      <c r="N54" s="10"/>
      <c r="O54" s="10"/>
      <c r="P54" s="10"/>
      <c r="Q54" s="10" t="str">
        <f>"  - '&amp;4• &amp;f"&amp;MAIN!$C$10&amp;": &amp;a"&amp;MAIN!$G$78*$C$2&amp;"'"</f>
        <v xml:space="preserve">  - '&amp;4• &amp;fAgilidad: &amp;a153'</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93"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92"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93"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Z169"/>
  <sheetViews>
    <sheetView topLeftCell="A46" workbookViewId="0">
      <selection activeCell="A59" sqref="A59:XFD61"/>
    </sheetView>
  </sheetViews>
  <sheetFormatPr baseColWidth="10" defaultColWidth="11.5703125" defaultRowHeight="15" x14ac:dyDescent="0.25"/>
  <cols>
    <col min="1" max="16384" width="11.5703125" style="18"/>
  </cols>
  <sheetData>
    <row r="1" spans="1:26" ht="30.75" customHeight="1" x14ac:dyDescent="0.25">
      <c r="A1" s="351" t="s">
        <v>19</v>
      </c>
      <c r="B1" s="351"/>
      <c r="C1" s="351" t="s">
        <v>70</v>
      </c>
      <c r="D1" s="351"/>
      <c r="E1" s="351" t="s">
        <v>80</v>
      </c>
      <c r="F1" s="351"/>
      <c r="G1" s="351" t="s">
        <v>89</v>
      </c>
      <c r="H1" s="351"/>
      <c r="I1" s="351" t="s">
        <v>1197</v>
      </c>
      <c r="J1" s="351"/>
      <c r="K1" s="351" t="s">
        <v>1199</v>
      </c>
      <c r="L1" s="351"/>
    </row>
    <row r="2" spans="1:26" x14ac:dyDescent="0.25">
      <c r="A2" s="301" t="s">
        <v>100</v>
      </c>
      <c r="B2" s="301"/>
      <c r="C2" s="301">
        <f>'ECONOMIA &amp; PROFESIONES'!$O$3</f>
        <v>3</v>
      </c>
      <c r="D2" s="301"/>
      <c r="E2" s="301" t="s">
        <v>81</v>
      </c>
      <c r="F2" s="301"/>
      <c r="G2" s="301" t="s">
        <v>97</v>
      </c>
      <c r="H2" s="301"/>
      <c r="I2" s="301" t="str">
        <f>MAIN!$J$53</f>
        <v>Armor</v>
      </c>
      <c r="J2" s="301"/>
      <c r="K2" s="301">
        <f>MAIN!$L$53</f>
        <v>1</v>
      </c>
      <c r="L2" s="301"/>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"+"&amp;ROUND(MAIN!$C$88*$C$2*$K$2/5*$U$4,0)&amp;" "&amp;$I$2</f>
        <v>+2 Armor</v>
      </c>
      <c r="W4" s="2" t="str">
        <f>"+"&amp;ROUND(MAIN!$D$88*$C$2*$K$2/5*$U$4,0)&amp;" "&amp;$I$2</f>
        <v>+4 Armor</v>
      </c>
      <c r="X4" s="2" t="str">
        <f>"+"&amp;ROUND(MAIN!$E$88*$C$2*$K$2/5*$U$4,0)&amp;" "&amp;$I$2</f>
        <v>+6 Armor</v>
      </c>
      <c r="Y4" s="2" t="str">
        <f>"+"&amp;ROUND(MAIN!$F$88*$C$2*$K$2/5*$U$4,0)&amp;" "&amp;$I$2</f>
        <v>+10 Armor</v>
      </c>
      <c r="Z4" s="2" t="str">
        <f>"+"&amp;ROUND(MAIN!$G$88*$C$2*$K$2/5*$U$4,0)&amp;" "&amp;$I$2</f>
        <v>+17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"+"&amp;ROUND(MAIN!$C$88*$C$2*$K$2/5*$U$5,0)&amp;" "&amp;$I$2</f>
        <v>+5 Armor</v>
      </c>
      <c r="W5" s="2" t="str">
        <f>"+"&amp;ROUND(MAIN!$D$88*$C$2*$K$2/5*$U$5,0)&amp;" "&amp;$I$2</f>
        <v>+7 Armor</v>
      </c>
      <c r="X5" s="2" t="str">
        <f>"+"&amp;ROUND(MAIN!$E$88*$C$2*$K$2/5*$U$5,0)&amp;" "&amp;$I$2</f>
        <v>+12 Armor</v>
      </c>
      <c r="Y5" s="2" t="str">
        <f>"+"&amp;ROUND(MAIN!$F$88*$C$2*$K$2/5*$U$5,0)&amp;" "&amp;$I$2</f>
        <v>+20 Armor</v>
      </c>
      <c r="Z5" s="2" t="str">
        <f>"+"&amp;ROUND(MAIN!$G$88*$C$2*$K$2/5*$U$5,0)&amp;" "&amp;$I$2</f>
        <v>+34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+7 Armor</v>
      </c>
      <c r="W6" s="2" t="str">
        <f>"+"&amp;ROUND(MAIN!$D$88*$C$2*$K$2/5*$U$6,0)&amp;" "&amp;$I$2</f>
        <v>+11 Armor</v>
      </c>
      <c r="X6" s="2" t="str">
        <f>"+"&amp;ROUND(MAIN!$E$88*$C$2*$K$2/5*$U$6,0)&amp;" "&amp;$I$2</f>
        <v>+18 Armor</v>
      </c>
      <c r="Y6" s="2" t="str">
        <f>"+"&amp;ROUND(MAIN!$F$88*$C$2*$K$2/5*$U$6,0)&amp;" "&amp;$I$2</f>
        <v>+31 Armor</v>
      </c>
      <c r="Z6" s="2" t="str">
        <f>"+"&amp;ROUND(MAIN!$G$88*$C$2*$K$2/5*$U$6,0)&amp;" "&amp;$I$2</f>
        <v>+50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+10 Armor</v>
      </c>
      <c r="W7" s="2" t="str">
        <f>"+"&amp;ROUND(MAIN!$D$88*$C$2*$K$2/5*$U$7,0)&amp;" "&amp;$I$2</f>
        <v>+14 Armor</v>
      </c>
      <c r="X7" s="2" t="str">
        <f>"+"&amp;ROUND(MAIN!$E$88*$C$2*$K$2/5*$U$7,0)&amp;" "&amp;$I$2</f>
        <v>+24 Armor</v>
      </c>
      <c r="Y7" s="2" t="str">
        <f>"+"&amp;ROUND(MAIN!$F$88*$C$2*$K$2/5*$U$7,0)&amp;" "&amp;$I$2</f>
        <v>+41 Armor</v>
      </c>
      <c r="Z7" s="2" t="str">
        <f>"+"&amp;ROUND(MAIN!$G$88*$C$2*$K$2/5*$U$7,0)&amp;" "&amp;$I$2</f>
        <v>+67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+12 Armor</v>
      </c>
      <c r="W8" s="2" t="str">
        <f>"+"&amp;ROUND(MAIN!$D$88*$C$2*$K$2/5*$U$8,0)&amp;" "&amp;$I$2</f>
        <v>+18 Armor</v>
      </c>
      <c r="X8" s="2" t="str">
        <f>"+"&amp;ROUND(MAIN!$E$88*$C$2*$K$2/5*$U$8,0)&amp;" "&amp;$I$2</f>
        <v>+30 Armor</v>
      </c>
      <c r="Y8" s="2" t="str">
        <f>"+"&amp;ROUND(MAIN!$F$88*$C$2*$K$2/5*$U$8,0)&amp;" "&amp;$I$2</f>
        <v>+51 Armor</v>
      </c>
      <c r="Z8" s="2" t="str">
        <f>"+"&amp;ROUND(MAIN!$G$88*$C$2*$K$2/5*$U$8,0)&amp;" "&amp;$I$2</f>
        <v>+84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ht="15" customHeigh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&amp;6"&amp;(MAIN!$F$5+(MAIN!$D$18+MAIN!$D$19)/2*MAIN!$B$9+(MAIN!$D$20+MAIN!$D$21)/2*MAIN!$B$8+(MAIN!$D$91*MAIN!$B$11)+($C$2*MAIN!$B$10))/10&amp;" &amp;aAlmakos'"</f>
        <v xml:space="preserve">  - '&amp;aVenta: &amp;6290 &amp;aAlmakos'</v>
      </c>
      <c r="B42" s="20"/>
      <c r="C42" s="20"/>
      <c r="D42" s="20"/>
      <c r="E42" s="20" t="str">
        <f>"  - '&amp;aVenta: &amp;6"&amp;(MAIN!$G$5+(MAIN!$D$18+MAIN!$D$19)/2*MAIN!$B$9+(MAIN!$D$20+MAIN!$D$21)/2*MAIN!$B$8+(MAIN!$D$91*MAIN!$B$11)+($C$2*MAIN!$B$10))/10&amp;" &amp;aAlmakos'"</f>
        <v xml:space="preserve">  - '&amp;aVenta: &amp;6370 &amp;aAlmakos'</v>
      </c>
      <c r="F42" s="20"/>
      <c r="G42" s="20"/>
      <c r="H42" s="20"/>
      <c r="I42" s="20" t="str">
        <f>"  - '&amp;aVenta: &amp;6"&amp;(MAIN!$H$5+(MAIN!$D$18+MAIN!$D$19)/2*MAIN!$B$9+(MAIN!$D$20+MAIN!$D$21)/2*MAIN!$B$8+(MAIN!$D$91*MAIN!$B$11)+($C$2*MAIN!$B$10))/10&amp;" &amp;aAlmakos'"</f>
        <v xml:space="preserve">  - '&amp;aVenta: &amp;6530 &amp;aAlmakos'</v>
      </c>
      <c r="J42" s="20"/>
      <c r="K42" s="20"/>
      <c r="L42" s="20"/>
      <c r="M42" s="20" t="str">
        <f>"  - '&amp;aVenta: &amp;6"&amp;(MAIN!$I$5+(MAIN!$D$18+MAIN!$D$19)/2*MAIN!$B$9+(MAIN!$D$20+MAIN!$D$21)/2*MAIN!$B$8+(MAIN!$D$91*MAIN!$B$11)+($C$2*MAIN!$B$10))/10&amp;" &amp;aAlmakos'"</f>
        <v xml:space="preserve">  - '&amp;aVenta: &amp;6850 &amp;aAlmakos'</v>
      </c>
      <c r="N42" s="20"/>
      <c r="O42" s="20"/>
      <c r="P42" s="20"/>
      <c r="Q42" s="20" t="str">
        <f>"  - '&amp;aVenta: &amp;6"&amp;(MAIN!$J$5+(MAIN!$D$18+MAIN!$D$19)/2*MAIN!$B$9+(MAIN!$D$20+MAIN!$D$21)/2*MAIN!$B$8+(MAIN!$D$91*MAIN!$B$11)+($C$2*MAIN!$B$10))/10&amp;" &amp;aAlmakos'"</f>
        <v xml:space="preserve">  - '&amp;aVenta: &amp;61490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&amp;a"&amp;MAIN!$C$93+($C$2*MAIN!$I$27)&amp;"'"</f>
        <v xml:space="preserve">  - '&amp;7• &amp;8Nivel: &amp;a22'</v>
      </c>
      <c r="B46" s="10"/>
      <c r="C46" s="10"/>
      <c r="D46" s="10"/>
      <c r="E46" s="10" t="str">
        <f>"  - '&amp;7• &amp;8Nivel: &amp;a"&amp;MAIN!$D$93+($C$2*MAIN!$I$27)&amp;"'"</f>
        <v xml:space="preserve">  - '&amp;7• &amp;8Nivel: &amp;a36'</v>
      </c>
      <c r="F46" s="10"/>
      <c r="G46" s="10"/>
      <c r="H46" s="10"/>
      <c r="I46" s="10" t="str">
        <f>"  - '&amp;7• &amp;8Nivel: &amp;a"&amp;MAIN!$E$93+($C$2*MAIN!$I$27)&amp;"'"</f>
        <v xml:space="preserve">  - '&amp;7• &amp;8Nivel: &amp;a79'</v>
      </c>
      <c r="J46" s="10"/>
      <c r="K46" s="10"/>
      <c r="L46" s="10"/>
      <c r="M46" s="10" t="str">
        <f>"  - '&amp;7• &amp;8Nivel: &amp;a"&amp;MAIN!$F$93+($C$2*MAIN!$I$27)&amp;"'"</f>
        <v xml:space="preserve">  - '&amp;7• &amp;8Nivel: &amp;a207'</v>
      </c>
      <c r="N46" s="10"/>
      <c r="O46" s="10"/>
      <c r="P46" s="10"/>
      <c r="Q46" s="10" t="str">
        <f>"  - '&amp;7• &amp;8Nivel: &amp;a"&amp;MAIN!$G$93+($C$2*MAIN!$I$27)&amp;"'"</f>
        <v xml:space="preserve">  - '&amp;7• &amp;8Nivel: &amp;a399'</v>
      </c>
      <c r="R46" s="10"/>
      <c r="S46" s="10"/>
      <c r="T46" s="10"/>
    </row>
    <row r="47" spans="1:20" x14ac:dyDescent="0.25">
      <c r="A47" s="12" t="str">
        <f>"  - '&amp;7• &amp;8"&amp;MAIN!$C$12&amp;" lvl: &amp;a"&amp;ROUNDUP((MAIN!$C$93+($C$2*MAIN!$I$27))/3,0)&amp;"'"</f>
        <v xml:space="preserve">  - '&amp;7• &amp;8Esencia lvl: &amp;a8'</v>
      </c>
      <c r="B47" s="12"/>
      <c r="C47" s="12"/>
      <c r="D47" s="12"/>
      <c r="E47" s="12" t="str">
        <f>"  - '&amp;7• &amp;8"&amp;MAIN!$C$12&amp;" lvl: &amp;a"&amp;ROUNDUP((MAIN!$D$93+($C$2*MAIN!$I$27))/3,0)&amp;"'"</f>
        <v xml:space="preserve">  - '&amp;7• &amp;8Esencia lvl: &amp;a12'</v>
      </c>
      <c r="F47" s="12"/>
      <c r="G47" s="12"/>
      <c r="H47" s="12"/>
      <c r="I47" s="12" t="str">
        <f>"  - '&amp;7• &amp;8"&amp;MAIN!$C$12&amp;" lvl: &amp;a"&amp;ROUNDUP((MAIN!$E$93+($C$2*MAIN!$I$27))/3,0)&amp;"'"</f>
        <v xml:space="preserve">  - '&amp;7• &amp;8Esencia lvl: &amp;a27'</v>
      </c>
      <c r="J47" s="12"/>
      <c r="K47" s="12"/>
      <c r="L47" s="12"/>
      <c r="M47" s="12" t="str">
        <f>"  - '&amp;7• &amp;8"&amp;MAIN!$C$12&amp;" lvl: &amp;a"&amp;ROUNDUP((MAIN!$F$93+($C$2*MAIN!$I$27))/3,0)&amp;"'"</f>
        <v xml:space="preserve">  - '&amp;7• &amp;8Esencia lvl: &amp;a69'</v>
      </c>
      <c r="N47" s="12"/>
      <c r="O47" s="12"/>
      <c r="P47" s="12"/>
      <c r="Q47" s="12" t="str">
        <f>"  - '&amp;7• &amp;8"&amp;MAIN!$C$12&amp;" lvl: &amp;a"&amp;ROUNDUP((MAIN!$G$93+($C$2*MAIN!$I$27))/3,0)&amp;"'"</f>
        <v xml:space="preserve">  - '&amp;7• &amp;8Esencia lvl: &amp;a133'</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91" customFormat="1" x14ac:dyDescent="0.25">
      <c r="A49" s="9" t="s">
        <v>1196</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&amp;a"&amp;MAIN!$C$88*$C$2&amp;"'"</f>
        <v xml:space="preserve">  - '&amp;4• &amp;fFuerza: &amp;a12'</v>
      </c>
      <c r="B51" s="10"/>
      <c r="C51" s="10"/>
      <c r="D51" s="10"/>
      <c r="E51" s="10" t="str">
        <f>"  - '&amp;4• &amp;f"&amp;MAIN!$C$9&amp;": &amp;a"&amp;MAIN!$D$88*$C$2&amp;"'"</f>
        <v xml:space="preserve">  - '&amp;4• &amp;fFuerza: &amp;a18'</v>
      </c>
      <c r="F51" s="10"/>
      <c r="G51" s="10"/>
      <c r="H51" s="10"/>
      <c r="I51" s="10" t="str">
        <f>"  - '&amp;4• &amp;f"&amp;MAIN!$C$9&amp;": &amp;a"&amp;MAIN!$E$88*$C$2&amp;"'"</f>
        <v xml:space="preserve">  - '&amp;4• &amp;fFuerza: &amp;a30'</v>
      </c>
      <c r="J51" s="10"/>
      <c r="K51" s="10"/>
      <c r="L51" s="10"/>
      <c r="M51" s="10" t="str">
        <f>"  - '&amp;4• &amp;f"&amp;MAIN!$C$9&amp;": &amp;a"&amp;MAIN!$F$88*$C$2&amp;"'"</f>
        <v xml:space="preserve">  - '&amp;4• &amp;fFuerza: &amp;a51'</v>
      </c>
      <c r="N51" s="10"/>
      <c r="O51" s="10"/>
      <c r="P51" s="10"/>
      <c r="Q51" s="10" t="str">
        <f>"  - '&amp;4• &amp;f"&amp;MAIN!$C$9&amp;": &amp;a"&amp;MAIN!$G$88*$C$2&amp;"'"</f>
        <v xml:space="preserve">  - '&amp;4• &amp;fFuerza: &amp;a84'</v>
      </c>
      <c r="R51" s="10"/>
      <c r="S51" s="10"/>
      <c r="T51" s="10"/>
    </row>
    <row r="52" spans="1:20" x14ac:dyDescent="0.25">
      <c r="A52" s="10" t="str">
        <f>"  - '&amp;4• &amp;f"&amp;MAIN!$C$8&amp;": &amp;a"&amp;MAIN!$C$88*$C$2&amp;"'"</f>
        <v xml:space="preserve">  - '&amp;4• &amp;fVitalidad: &amp;a12'</v>
      </c>
      <c r="B52" s="10"/>
      <c r="C52" s="10"/>
      <c r="D52" s="10"/>
      <c r="E52" s="10" t="str">
        <f>"  - '&amp;4• &amp;f"&amp;MAIN!$C$8&amp;": &amp;a"&amp;MAIN!$D$88*$C$2&amp;"'"</f>
        <v xml:space="preserve">  - '&amp;4• &amp;fVitalidad: &amp;a18'</v>
      </c>
      <c r="F52" s="10"/>
      <c r="G52" s="10"/>
      <c r="H52" s="10"/>
      <c r="I52" s="10" t="str">
        <f>"  - '&amp;4• &amp;f"&amp;MAIN!$C$8&amp;": &amp;a"&amp;MAIN!$E$88*$C$2&amp;"'"</f>
        <v xml:space="preserve">  - '&amp;4• &amp;fVitalidad: &amp;a30'</v>
      </c>
      <c r="J52" s="10"/>
      <c r="K52" s="10"/>
      <c r="L52" s="10"/>
      <c r="M52" s="10" t="str">
        <f>"  - '&amp;4• &amp;f"&amp;MAIN!$C$8&amp;": &amp;a"&amp;MAIN!$F$88*$C$2&amp;"'"</f>
        <v xml:space="preserve">  - '&amp;4• &amp;fVitalidad: &amp;a51'</v>
      </c>
      <c r="N52" s="10"/>
      <c r="O52" s="10"/>
      <c r="P52" s="10"/>
      <c r="Q52" s="10" t="str">
        <f>"  - '&amp;4• &amp;f"&amp;MAIN!$C$8&amp;": &amp;a"&amp;MAIN!$G$88*$C$2&amp;"'"</f>
        <v xml:space="preserve">  - '&amp;4• &amp;fVitalidad: &amp;a84'</v>
      </c>
      <c r="R52" s="10"/>
      <c r="S52" s="10"/>
      <c r="T52" s="10"/>
    </row>
    <row r="53" spans="1:20" x14ac:dyDescent="0.25">
      <c r="A53" s="10" t="str">
        <f>"  - '&amp;4• &amp;f"&amp;MAIN!$C$11&amp;": &amp;a"&amp;MAIN!$C$90*$C$2&amp;"'"</f>
        <v xml:space="preserve">  - '&amp;4• &amp;fInteligencia: &amp;a12'</v>
      </c>
      <c r="B53" s="10"/>
      <c r="C53" s="10"/>
      <c r="D53" s="10"/>
      <c r="E53" s="10" t="str">
        <f>"  - '&amp;4• &amp;f"&amp;MAIN!$C$11&amp;": &amp;a"&amp;MAIN!$D$90*$C$2&amp;"'"</f>
        <v xml:space="preserve">  - '&amp;4• &amp;fInteligencia: &amp;a18'</v>
      </c>
      <c r="F53" s="10"/>
      <c r="G53" s="10"/>
      <c r="H53" s="10"/>
      <c r="I53" s="10" t="str">
        <f>"  - '&amp;4• &amp;f"&amp;MAIN!$C$11&amp;": &amp;a"&amp;MAIN!$E$90*$C$2&amp;"'"</f>
        <v xml:space="preserve">  - '&amp;4• &amp;fInteligencia: &amp;a30'</v>
      </c>
      <c r="J53" s="10"/>
      <c r="K53" s="10"/>
      <c r="L53" s="10"/>
      <c r="M53" s="10" t="str">
        <f>"  - '&amp;4• &amp;f"&amp;MAIN!$C$11&amp;": &amp;a"&amp;MAIN!$F$90*$C$2&amp;"'"</f>
        <v xml:space="preserve">  - '&amp;4• &amp;fInteligencia: &amp;a51'</v>
      </c>
      <c r="N53" s="10"/>
      <c r="O53" s="10"/>
      <c r="P53" s="10"/>
      <c r="Q53" s="10" t="str">
        <f>"  - '&amp;4• &amp;f"&amp;MAIN!$C$11&amp;": &amp;a"&amp;MAIN!$G$90*$C$2&amp;"'"</f>
        <v xml:space="preserve">  - '&amp;4• &amp;fInteligencia: &amp;a84'</v>
      </c>
      <c r="R53" s="10"/>
      <c r="S53" s="10"/>
      <c r="T53" s="10"/>
    </row>
    <row r="54" spans="1:20" x14ac:dyDescent="0.25">
      <c r="A54" s="10" t="str">
        <f>"  - '&amp;4• &amp;f"&amp;MAIN!$C$10&amp;": &amp;a"&amp;MAIN!$C$89*$C$2&amp;"'"</f>
        <v xml:space="preserve">  - '&amp;4• &amp;fAgilidad: &amp;a12'</v>
      </c>
      <c r="B54" s="10"/>
      <c r="C54" s="10"/>
      <c r="D54" s="10"/>
      <c r="E54" s="10" t="str">
        <f>"  - '&amp;4• &amp;f"&amp;MAIN!$C$10&amp;": &amp;a"&amp;MAIN!$D$89*$C$2&amp;"'"</f>
        <v xml:space="preserve">  - '&amp;4• &amp;fAgilidad: &amp;a18'</v>
      </c>
      <c r="F54" s="10"/>
      <c r="G54" s="10"/>
      <c r="H54" s="10"/>
      <c r="I54" s="10" t="str">
        <f>"  - '&amp;4• &amp;f"&amp;MAIN!$C$10&amp;": &amp;a"&amp;MAIN!$E$89*$C$2&amp;"'"</f>
        <v xml:space="preserve">  - '&amp;4• &amp;fAgilidad: &amp;a30'</v>
      </c>
      <c r="J54" s="10"/>
      <c r="K54" s="10"/>
      <c r="L54" s="10"/>
      <c r="M54" s="10" t="str">
        <f>"  - '&amp;4• &amp;f"&amp;MAIN!$C$10&amp;": &amp;a"&amp;MAIN!$F$89*$C$2&amp;"'"</f>
        <v xml:space="preserve">  - '&amp;4• &amp;fAgilidad: &amp;a51'</v>
      </c>
      <c r="N54" s="10"/>
      <c r="O54" s="10"/>
      <c r="P54" s="10"/>
      <c r="Q54" s="10" t="str">
        <f>"  - '&amp;4• &amp;f"&amp;MAIN!$C$10&amp;": &amp;a"&amp;MAIN!$G$89*$C$2&amp;"'"</f>
        <v xml:space="preserve">  - '&amp;4• &amp;fAgilidad: &amp;a84'</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93"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92"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93"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Z189"/>
  <sheetViews>
    <sheetView topLeftCell="T1" workbookViewId="0">
      <selection activeCell="V4" sqref="V4:V6"/>
    </sheetView>
  </sheetViews>
  <sheetFormatPr baseColWidth="10" defaultColWidth="11.42578125" defaultRowHeight="15" x14ac:dyDescent="0.25"/>
  <cols>
    <col min="1" max="25" width="11.42578125" style="19"/>
    <col min="26" max="26" width="13.28515625" style="19" customWidth="1"/>
    <col min="27" max="16384" width="11.42578125" style="19"/>
  </cols>
  <sheetData>
    <row r="1" spans="1:26" ht="30.75" customHeight="1" x14ac:dyDescent="0.25">
      <c r="A1" s="351" t="s">
        <v>19</v>
      </c>
      <c r="B1" s="351"/>
      <c r="C1" s="351" t="s">
        <v>70</v>
      </c>
      <c r="D1" s="351"/>
      <c r="E1" s="351" t="s">
        <v>80</v>
      </c>
      <c r="F1" s="351"/>
      <c r="G1" s="351" t="s">
        <v>89</v>
      </c>
      <c r="H1" s="351"/>
      <c r="I1" s="351" t="s">
        <v>1197</v>
      </c>
      <c r="J1" s="351"/>
      <c r="K1" s="351" t="s">
        <v>1199</v>
      </c>
      <c r="L1" s="351"/>
    </row>
    <row r="2" spans="1:26" x14ac:dyDescent="0.25">
      <c r="A2" s="301" t="s">
        <v>102</v>
      </c>
      <c r="B2" s="301"/>
      <c r="C2" s="301">
        <f>'ECONOMIA &amp; PROFESIONES'!$P$3</f>
        <v>5</v>
      </c>
      <c r="D2" s="301"/>
      <c r="E2" s="301" t="s">
        <v>81</v>
      </c>
      <c r="F2" s="301"/>
      <c r="G2" s="301" t="s">
        <v>103</v>
      </c>
      <c r="H2" s="301"/>
      <c r="I2" s="301" t="str">
        <f>MAIN!$J$42</f>
        <v>&amp;7Ataque:</v>
      </c>
      <c r="J2" s="301"/>
      <c r="K2" s="301">
        <f>MAIN!$L$42</f>
        <v>2</v>
      </c>
      <c r="L2" s="301"/>
    </row>
    <row r="3" spans="1:26" ht="29.25" customHeight="1" x14ac:dyDescent="0.25">
      <c r="A3" s="357" t="s">
        <v>7</v>
      </c>
      <c r="B3" s="357"/>
      <c r="C3" s="357"/>
      <c r="D3" s="357"/>
      <c r="E3" s="357" t="s">
        <v>8</v>
      </c>
      <c r="F3" s="357"/>
      <c r="G3" s="357"/>
      <c r="H3" s="357"/>
      <c r="I3" s="357" t="s">
        <v>83</v>
      </c>
      <c r="J3" s="357"/>
      <c r="K3" s="357"/>
      <c r="L3" s="357"/>
      <c r="M3" s="357" t="s">
        <v>84</v>
      </c>
      <c r="N3" s="357"/>
      <c r="O3" s="357"/>
      <c r="P3" s="357"/>
      <c r="Q3" s="357" t="s">
        <v>85</v>
      </c>
      <c r="R3" s="357"/>
      <c r="S3" s="357"/>
      <c r="T3" s="357"/>
      <c r="U3" s="291"/>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91">
        <v>1</v>
      </c>
      <c r="V4" s="291" t="str">
        <f>$I$2&amp;" "&amp;ROUND(MAIN!$C$44*$C$2*$K$2/5*$U$4,0)</f>
        <v>&amp;7Ataque: 4</v>
      </c>
      <c r="W4" s="291" t="str">
        <f>$I$2&amp;" "&amp;ROUND(MAIN!$D$44*$C$2*$K$2/5*$U$4,0)</f>
        <v>&amp;7Ataque: 12</v>
      </c>
      <c r="X4" s="291" t="str">
        <f>$I$2&amp;" "&amp;ROUND(MAIN!$E$44*$C$2*$K$2/5*$U$4,0)</f>
        <v>&amp;7Ataque: 36</v>
      </c>
      <c r="Y4" s="291" t="str">
        <f>$I$2&amp;" "&amp;ROUND(MAIN!$F$44*$C$2*$K$2/5*$U$4,0)</f>
        <v>&amp;7Ataque: 108</v>
      </c>
      <c r="Z4" s="291" t="str">
        <f>$I$2&amp;" "&amp;ROUND(MAIN!$G$44*$C$2*$K$2/5*$U$4,0)</f>
        <v>&amp;7Ataque: 324</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91">
        <v>2</v>
      </c>
      <c r="V5" s="291" t="str">
        <f>$I$2&amp;" "&amp;ROUND(MAIN!$C$44*$C$2*$K$2/5*$U$5,0)</f>
        <v>&amp;7Ataque: 8</v>
      </c>
      <c r="W5" s="291" t="str">
        <f>$I$2&amp;" "&amp;ROUND(MAIN!$D$44*$C$2*$K$2/5*$U$5,0)</f>
        <v>&amp;7Ataque: 24</v>
      </c>
      <c r="X5" s="291" t="str">
        <f>$I$2&amp;" "&amp;ROUND(MAIN!$E$44*$C$2*$K$2/5*$U$5,0)</f>
        <v>&amp;7Ataque: 72</v>
      </c>
      <c r="Y5" s="291" t="str">
        <f>$I$2&amp;" "&amp;ROUND(MAIN!$F$44*$C$2*$K$2/5*$U$5,0)</f>
        <v>&amp;7Ataque: 216</v>
      </c>
      <c r="Z5" s="291" t="str">
        <f>$I$2&amp;" "&amp;ROUND(MAIN!$G$44*$C$2*$K$2/5*$U$5,0)</f>
        <v>&amp;7Ataque: 648</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$I$2&amp;" "&amp;ROUND(MAIN!$C$44*$C$2*$K$2/5*$U$6,0)</f>
        <v>&amp;7Ataque: 12</v>
      </c>
      <c r="W6" s="291" t="str">
        <f>$I$2&amp;" "&amp;ROUND(MAIN!$D$44*$C$2*$K$2/5*$U$6,0)</f>
        <v>&amp;7Ataque: 36</v>
      </c>
      <c r="X6" s="291" t="str">
        <f>$I$2&amp;" "&amp;ROUND(MAIN!$E$44*$C$2*$K$2/5*$U$6,0)</f>
        <v>&amp;7Ataque: 108</v>
      </c>
      <c r="Y6" s="291" t="str">
        <f>$I$2&amp;" "&amp;ROUND(MAIN!$F$44*$C$2*$K$2/5*$U$6,0)</f>
        <v>&amp;7Ataque: 324</v>
      </c>
      <c r="Z6" s="291" t="str">
        <f>$I$2&amp;" "&amp;ROUND(MAIN!$G$44*$C$2*$K$2/5*$U$6,0)</f>
        <v>&amp;7Ataque: 972</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$I$2&amp;" "&amp;ROUND(MAIN!$C$44*$C$2*$K$2/5*$U$7,0)</f>
        <v>&amp;7Ataque: 16</v>
      </c>
      <c r="W7" s="291" t="str">
        <f>$I$2&amp;" "&amp;ROUND(MAIN!$D$44*$C$2*$K$2/5*$U$7,0)</f>
        <v>&amp;7Ataque: 48</v>
      </c>
      <c r="X7" s="291" t="str">
        <f>$I$2&amp;" "&amp;ROUND(MAIN!$E$44*$C$2*$K$2/5*$U$7,0)</f>
        <v>&amp;7Ataque: 144</v>
      </c>
      <c r="Y7" s="291" t="str">
        <f>$I$2&amp;" "&amp;ROUND(MAIN!$F$44*$C$2*$K$2/5*$U$7,0)</f>
        <v>&amp;7Ataque: 432</v>
      </c>
      <c r="Z7" s="291" t="str">
        <f>$I$2&amp;" "&amp;ROUND(MAIN!$G$44*$C$2*$K$2/5*$U$7,0)</f>
        <v>&amp;7Ataque: 1296</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$I$2&amp;" "&amp;ROUND(MAIN!$C$44*$C$2*$K$2/5*$U$8,0)</f>
        <v>&amp;7Ataque: 20</v>
      </c>
      <c r="W8" s="291" t="str">
        <f>$I$2&amp;" "&amp;ROUND(MAIN!$D$44*$C$2*$K$2/5*$U$8,0)</f>
        <v>&amp;7Ataque: 60</v>
      </c>
      <c r="X8" s="291" t="str">
        <f>$I$2&amp;" "&amp;ROUND(MAIN!$E$44*$C$2*$K$2/5*$U$8,0)</f>
        <v>&amp;7Ataque: 180</v>
      </c>
      <c r="Y8" s="291" t="str">
        <f>$I$2&amp;" "&amp;ROUND(MAIN!$F$44*$C$2*$K$2/5*$U$8,0)</f>
        <v>&amp;7Ataque: 540</v>
      </c>
      <c r="Z8" s="291" t="str">
        <f>$I$2&amp;" "&amp;ROUND(MAIN!$G$44*$C$2*$K$2/5*$U$8,0)</f>
        <v>&amp;7Ataque: 1620</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"&amp;MAIN!$E$20</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  maximumBonusEnchantments: "&amp;MAIN!$E$21</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ARROW_INFINITE:"&amp;MAIN!$E$18&amp;":"&amp;MAIN!$E$19</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  - ARROW_DAMAGE:"&amp;MAIN!$E$18&amp;":"&amp;MAIN!$E$19</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  - ARROW_FIRE:"&amp;MAIN!$E$18&amp;":"&amp;MAIN!$E$19</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  - ARROW_KNOCKBACK:"&amp;MAIN!$E$18&amp;":"&amp;MAIN!$E$19</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  - DAMAGE_ALL:"&amp;MAIN!$E$18&amp;":"&amp;MAIN!$E$19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  - DAMAGE_ARTHROPODS:"&amp;MAIN!$E$18&amp;":"&amp;MAIN!$E$19</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  - DAMAGE_UNDEAD:"&amp;MAIN!$E$18&amp;":"&amp;MAIN!$E$19</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x14ac:dyDescent="0.25">
      <c r="A22" s="22" t="str">
        <f>"  - DIG_SPEED:"&amp;MAIN!$E$18&amp;":"&amp;MAIN!$E$19</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  - DURABILITY:"&amp;MAIN!$E$18&amp;":"&amp;MAIN!$E$19</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  - FIRE_ASPECT:"&amp;MAIN!$E$18&amp;":"&amp;MAIN!$E$19</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  - KNOCKBACK:"&amp;MAIN!$E$18&amp;":"&amp;MAIN!$E$19</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  - LOOT_BONUS_BLOCKS:"&amp;MAIN!$E$18&amp;":"&amp;MAIN!$E$19</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  - LOOT_BONUS_MOBS:"&amp;MAIN!$E$18&amp;":"&amp;MAIN!$E$19</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  - OXYGEN:"&amp;MAIN!$E$18&amp;":"&amp;MAIN!$E$19</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  - PROTECTION_ENVIRONMENT:"&amp;MAIN!$E$18&amp;":"&amp;MAIN!$E$19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  - PROTECTION_EXPLOSIONS:"&amp;MAIN!$E$18&amp;":"&amp;MAIN!$E$19</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  - PROTECTION_FALL:"&amp;MAIN!$E$18&amp;":"&amp;MAIN!$E$19</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  - PROTECTION_FIRE:"&amp;MAIN!$E$18&amp;":"&amp;MAIN!$E$19</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  - PROTECTION_PROJECTILE:"&amp;MAIN!$E$18&amp;":"&amp;MAIN!$E$19</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  - SILK_TOUCH:"&amp;MAIN!$E$18&amp;":"&amp;MAIN!$E$19</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  - WATER_WORKER:"&amp;MAIN!$E$18&amp;":"&amp;MAIN!$E$19</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"&amp;MAIN!$E$23</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  maximumBonusLore: "&amp;MAIN!$E$24</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&amp;6"&amp;(MAIN!$D$2+(MAIN!$E$18+MAIN!$E$19)/2*MAIN!$B$9+(MAIN!$E$20+MAIN!$E$21)/2*MAIN!$B$8+(MAIN!$E$47*MAIN!$B$11)+($C$2*MAIN!$B$10))/10&amp;" &amp;aAlmakos'"</f>
        <v xml:space="preserve">  - '&amp;aVenta: &amp;6405 &amp;aAlmakos'</v>
      </c>
      <c r="B62" s="20"/>
      <c r="C62" s="20"/>
      <c r="D62" s="20"/>
      <c r="E62" s="20" t="str">
        <f>"  - '&amp;aVenta: &amp;6"&amp;(MAIN!$D$3+(MAIN!$E$18+MAIN!$E$19)/2*MAIN!$B$9+(MAIN!$E$20+MAIN!$E$21)/2*MAIN!$B$8+(MAIN!$E$47*MAIN!$B$11)+($C$2*MAIN!$B$10))/10&amp;" &amp;aAlmakos'"</f>
        <v xml:space="preserve">  - '&amp;aVenta: &amp;6445 &amp;aAlmakos'</v>
      </c>
      <c r="F62" s="20"/>
      <c r="G62" s="20"/>
      <c r="H62" s="20"/>
      <c r="I62" s="20" t="str">
        <f>"  - '&amp;aVenta: &amp;6"&amp;(MAIN!$D$4+(MAIN!$E$18+MAIN!$E$19)/2*MAIN!$B$9+(MAIN!$E$20+MAIN!$E$21)/2*MAIN!$B$8+(MAIN!$E$47*MAIN!$B$11)+($C$2*MAIN!$B$10))/10&amp;" &amp;aAlmakos'"</f>
        <v xml:space="preserve">  - '&amp;aVenta: &amp;6525 &amp;aAlmakos'</v>
      </c>
      <c r="J62" s="20"/>
      <c r="K62" s="20"/>
      <c r="L62" s="20"/>
      <c r="M62" s="20" t="str">
        <f>"  - '&amp;aVenta: &amp;6"&amp;(MAIN!$D$5+(MAIN!$E$18+MAIN!$E$19)/2*MAIN!$B$9+(MAIN!$E$20+MAIN!$E$21)/2*MAIN!$B$8+(MAIN!$E$47*MAIN!$B$11)+($C$2*MAIN!$B$10))/10&amp;" &amp;aAlmakos'"</f>
        <v xml:space="preserve">  - '&amp;aVenta: &amp;6685 &amp;aAlmakos'</v>
      </c>
      <c r="N62" s="20"/>
      <c r="O62" s="20"/>
      <c r="P62" s="20"/>
      <c r="Q62" s="20" t="str">
        <f>"  - '&amp;aVenta: &amp;6"&amp;(MAIN!$D$6+(MAIN!$E$18+MAIN!$E$19)/2*MAIN!$B$9+(MAIN!$E$20+MAIN!$E$21)/2*MAIN!$B$8+(MAIN!$E$47*MAIN!$B$11)+($C$2*MAIN!$B$10))/10&amp;" &amp;aAlmakos'"</f>
        <v xml:space="preserve">  - '&amp;aVenta: &amp;61005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&amp;a28'</v>
      </c>
      <c r="B66" s="10"/>
      <c r="C66" s="10"/>
      <c r="D66" s="10"/>
      <c r="E66" s="10" t="str">
        <f>"  - '&amp;7• &amp;8Nivel: &amp;a"&amp;MAIN!$D$49+($C$2*MAIN!$I$27)&amp;"'"</f>
        <v xml:space="preserve">  - '&amp;7• &amp;8Nivel: &amp;a35'</v>
      </c>
      <c r="F66" s="10"/>
      <c r="G66" s="10"/>
      <c r="H66" s="10"/>
      <c r="I66" s="10" t="str">
        <f>"  - '&amp;7• &amp;8Nivel: &amp;a"&amp;MAIN!$E$49+($C$2*MAIN!$I$27)&amp;"'"</f>
        <v xml:space="preserve">  - '&amp;7• &amp;8Nivel: &amp;a57'</v>
      </c>
      <c r="J66" s="10"/>
      <c r="K66" s="10"/>
      <c r="L66" s="10"/>
      <c r="M66" s="10" t="str">
        <f>"  - '&amp;7• &amp;8Nivel: &amp;a"&amp;MAIN!$F$49+($C$2*MAIN!$I$27)&amp;"'"</f>
        <v xml:space="preserve">  - '&amp;7• &amp;8Nivel: &amp;a121'</v>
      </c>
      <c r="N66" s="10"/>
      <c r="O66" s="10"/>
      <c r="P66" s="10"/>
      <c r="Q66" s="10" t="str">
        <f>"  - '&amp;7• &amp;8Nivel: &amp;a"&amp;MAIN!$G$49+($C$2*MAIN!$I$27)&amp;"'"</f>
        <v xml:space="preserve">  - '&amp;7• &amp;8Nivel: &amp;a217'</v>
      </c>
      <c r="R66" s="10"/>
      <c r="S66" s="10"/>
      <c r="T66" s="10"/>
    </row>
    <row r="67" spans="1:20" x14ac:dyDescent="0.25">
      <c r="A67" s="12" t="str">
        <f>"  - '&amp;7• &amp;8"&amp;MAIN!$C$12&amp;" lvl: &amp;a"&amp;ROUNDUP((MAIN!$C$49+($C$2*MAIN!$I$27))/3,0)&amp;"'"</f>
        <v xml:space="preserve">  - '&amp;7• &amp;8Esencia lvl: &amp;a10'</v>
      </c>
      <c r="B67" s="12"/>
      <c r="C67" s="12"/>
      <c r="D67" s="12"/>
      <c r="E67" s="12" t="str">
        <f>"  - '&amp;7• &amp;8"&amp;MAIN!$C$12&amp;" lvl: &amp;a"&amp;ROUNDUP((MAIN!$D$49+($C$2*MAIN!$I$27))/3,0)&amp;"'"</f>
        <v xml:space="preserve">  - '&amp;7• &amp;8Esencia lvl: &amp;a12'</v>
      </c>
      <c r="F67" s="12"/>
      <c r="G67" s="12"/>
      <c r="H67" s="12"/>
      <c r="I67" s="12" t="str">
        <f>"  - '&amp;7• &amp;8"&amp;MAIN!$C$12&amp;" lvl: &amp;a"&amp;ROUNDUP((MAIN!$E$49+($C$2*MAIN!$I$27))/3,0)&amp;"'"</f>
        <v xml:space="preserve">  - '&amp;7• &amp;8Esencia lvl: &amp;a19'</v>
      </c>
      <c r="J67" s="12"/>
      <c r="K67" s="12"/>
      <c r="L67" s="12"/>
      <c r="M67" s="12" t="str">
        <f>"  - '&amp;7• &amp;8"&amp;MAIN!$C$12&amp;" lvl: &amp;a"&amp;ROUNDUP((MAIN!$F$49+($C$2*MAIN!$I$27))/3,0)&amp;"'"</f>
        <v xml:space="preserve">  - '&amp;7• &amp;8Esencia lvl: &amp;a41'</v>
      </c>
      <c r="N67" s="12"/>
      <c r="O67" s="12"/>
      <c r="P67" s="12"/>
      <c r="Q67" s="12" t="str">
        <f>"  - '&amp;7• &amp;8"&amp;MAIN!$C$12&amp;" lvl: &amp;a"&amp;ROUNDUP((MAIN!$G$49+($C$2*MAIN!$I$27))/3,0)&amp;"'"</f>
        <v xml:space="preserve">  - '&amp;7• &amp;8Esencia lvl: &amp;a73'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&amp;a10'</v>
      </c>
      <c r="B71" s="10"/>
      <c r="C71" s="10"/>
      <c r="D71" s="10"/>
      <c r="E71" s="10" t="str">
        <f>"  - '&amp;4• &amp;f"&amp;MAIN!$C$9&amp;": &amp;a"&amp;MAIN!$D$44*$C$2&amp;"'"</f>
        <v xml:space="preserve">  - '&amp;4• &amp;fFuerza: &amp;a30'</v>
      </c>
      <c r="F71" s="10"/>
      <c r="G71" s="10"/>
      <c r="H71" s="10"/>
      <c r="I71" s="10" t="str">
        <f>"  - '&amp;4• &amp;f"&amp;MAIN!$C$9&amp;": &amp;a"&amp;MAIN!$E$44*$C$2&amp;"'"</f>
        <v xml:space="preserve">  - '&amp;4• &amp;fFuerza: &amp;a90'</v>
      </c>
      <c r="J71" s="10"/>
      <c r="K71" s="10"/>
      <c r="L71" s="10"/>
      <c r="M71" s="10" t="str">
        <f>"  - '&amp;4• &amp;f"&amp;MAIN!$C$9&amp;": &amp;a"&amp;MAIN!$F$44*$C$2&amp;"'"</f>
        <v xml:space="preserve">  - '&amp;4• &amp;fFuerza: &amp;a270'</v>
      </c>
      <c r="N71" s="10"/>
      <c r="O71" s="10"/>
      <c r="P71" s="10"/>
      <c r="Q71" s="10" t="str">
        <f>"  - '&amp;4• &amp;f"&amp;MAIN!$C$9&amp;": &amp;a"&amp;MAIN!$G$44*$C$2&amp;"'"</f>
        <v xml:space="preserve">  - '&amp;4• &amp;fFuerza: &amp;a810'</v>
      </c>
      <c r="R71" s="10"/>
      <c r="S71" s="10"/>
      <c r="T71" s="10"/>
    </row>
    <row r="72" spans="1:20" x14ac:dyDescent="0.25">
      <c r="A72" s="10" t="str">
        <f>"  - '&amp;4• &amp;f"&amp;MAIN!$C$8&amp;": &amp;a"&amp;MAIN!$C$43*$C$2&amp;"'"</f>
        <v xml:space="preserve">  - '&amp;4• &amp;fVitalidad: &amp;a10'</v>
      </c>
      <c r="B72" s="10"/>
      <c r="C72" s="10"/>
      <c r="D72" s="10"/>
      <c r="E72" s="10" t="str">
        <f>"  - '&amp;4• &amp;f"&amp;MAIN!$C$8&amp;": &amp;a"&amp;MAIN!$D$43*$C$2&amp;"'"</f>
        <v xml:space="preserve">  - '&amp;4• &amp;fVitalidad: &amp;a30'</v>
      </c>
      <c r="F72" s="10"/>
      <c r="G72" s="10"/>
      <c r="H72" s="10"/>
      <c r="I72" s="10" t="str">
        <f>"  - '&amp;4• &amp;f"&amp;MAIN!$C$8&amp;": &amp;a"&amp;MAIN!$E$43*$C$2&amp;"'"</f>
        <v xml:space="preserve">  - '&amp;4• &amp;fVitalidad: &amp;a90'</v>
      </c>
      <c r="J72" s="10"/>
      <c r="K72" s="10"/>
      <c r="L72" s="10"/>
      <c r="M72" s="10" t="str">
        <f>"  - '&amp;4• &amp;f"&amp;MAIN!$C$8&amp;": &amp;a"&amp;MAIN!$F$43*$C$2&amp;"'"</f>
        <v xml:space="preserve">  - '&amp;4• &amp;fVitalidad: &amp;a270'</v>
      </c>
      <c r="N72" s="10"/>
      <c r="O72" s="10"/>
      <c r="P72" s="10"/>
      <c r="Q72" s="10" t="str">
        <f>"  - '&amp;4• &amp;f"&amp;MAIN!$C$8&amp;": &amp;a"&amp;MAIN!$G$43*$C$2&amp;"'"</f>
        <v xml:space="preserve">  - '&amp;4• &amp;fVitalidad: &amp;a810'</v>
      </c>
      <c r="R72" s="10"/>
      <c r="S72" s="10"/>
      <c r="T72" s="10"/>
    </row>
    <row r="73" spans="1:20" x14ac:dyDescent="0.25">
      <c r="A73" s="10" t="str">
        <f>"  - '&amp;4• &amp;f"&amp;MAIN!$C$11&amp;": &amp;a"&amp;MAIN!$C$43*$C$2&amp;"'"</f>
        <v xml:space="preserve">  - '&amp;4• &amp;fInteligencia: &amp;a10'</v>
      </c>
      <c r="B73" s="10"/>
      <c r="C73" s="10"/>
      <c r="D73" s="10"/>
      <c r="E73" s="10" t="str">
        <f>"  - '&amp;4• &amp;f"&amp;MAIN!$C$11&amp;": &amp;a"&amp;MAIN!$D$43*$C$2&amp;"'"</f>
        <v xml:space="preserve">  - '&amp;4• &amp;fInteligencia: &amp;a30'</v>
      </c>
      <c r="F73" s="10"/>
      <c r="G73" s="10"/>
      <c r="H73" s="10"/>
      <c r="I73" s="10" t="str">
        <f>"  - '&amp;4• &amp;f"&amp;MAIN!$C$11&amp;": &amp;a"&amp;MAIN!$E$43*$C$2&amp;"'"</f>
        <v xml:space="preserve">  - '&amp;4• &amp;fInteligencia: &amp;a90'</v>
      </c>
      <c r="J73" s="10"/>
      <c r="K73" s="10"/>
      <c r="L73" s="10"/>
      <c r="M73" s="10" t="str">
        <f>"  - '&amp;4• &amp;f"&amp;MAIN!$C$11&amp;": &amp;a"&amp;MAIN!$F$43*$C$2&amp;"'"</f>
        <v xml:space="preserve">  - '&amp;4• &amp;fInteligencia: &amp;a270'</v>
      </c>
      <c r="N73" s="10"/>
      <c r="O73" s="10"/>
      <c r="P73" s="10"/>
      <c r="Q73" s="10" t="str">
        <f>"  - '&amp;4• &amp;f"&amp;MAIN!$C$11&amp;": &amp;a"&amp;MAIN!$G$43*$C$2&amp;"'"</f>
        <v xml:space="preserve">  - '&amp;4• &amp;fInteligencia: &amp;a810'</v>
      </c>
      <c r="R73" s="10"/>
      <c r="S73" s="10"/>
      <c r="T73" s="10"/>
    </row>
    <row r="74" spans="1:20" x14ac:dyDescent="0.25">
      <c r="A74" s="10" t="str">
        <f>"  - '&amp;4• &amp;f"&amp;MAIN!$C$10&amp;": &amp;a"&amp;MAIN!$C$45*$C$2&amp;"'"</f>
        <v xml:space="preserve">  - '&amp;4• &amp;fAgilidad: &amp;a10'</v>
      </c>
      <c r="B74" s="10"/>
      <c r="C74" s="10"/>
      <c r="D74" s="10"/>
      <c r="E74" s="10" t="str">
        <f>"  - '&amp;4• &amp;f"&amp;MAIN!$C$10&amp;": &amp;a"&amp;MAIN!$D$45*$C$2&amp;"'"</f>
        <v xml:space="preserve">  - '&amp;4• &amp;fAgilidad: &amp;a30'</v>
      </c>
      <c r="F74" s="10"/>
      <c r="G74" s="10"/>
      <c r="H74" s="10"/>
      <c r="I74" s="10" t="str">
        <f>"  - '&amp;4• &amp;f"&amp;MAIN!$C$10&amp;": &amp;a"&amp;MAIN!$E$45*$C$2&amp;"'"</f>
        <v xml:space="preserve">  - '&amp;4• &amp;fAgilidad: &amp;a90'</v>
      </c>
      <c r="J74" s="10"/>
      <c r="K74" s="10"/>
      <c r="L74" s="10"/>
      <c r="M74" s="10" t="str">
        <f>"  - '&amp;4• &amp;f"&amp;MAIN!$C$10&amp;": &amp;a"&amp;MAIN!$F$45*$C$2&amp;"'"</f>
        <v xml:space="preserve">  - '&amp;4• &amp;fAgilidad: &amp;a270'</v>
      </c>
      <c r="N74" s="10"/>
      <c r="O74" s="10"/>
      <c r="P74" s="10"/>
      <c r="Q74" s="10" t="str">
        <f>"  - '&amp;4• &amp;f"&amp;MAIN!$C$10&amp;": &amp;a"&amp;MAIN!$G$45*$C$2&amp;"'"</f>
        <v xml:space="preserve">  - '&amp;4• &amp;fAgilidad: &amp;a810'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"&amp;MAIN!$E$29</f>
        <v>minimumSockets: 1</v>
      </c>
      <c r="B77" s="11"/>
      <c r="C77" s="11"/>
      <c r="D77" s="11"/>
      <c r="E77" s="11" t="str">
        <f>$A$77</f>
        <v>minimumSockets: 1</v>
      </c>
      <c r="F77" s="11"/>
      <c r="G77" s="11"/>
      <c r="H77" s="11"/>
      <c r="I77" s="11" t="str">
        <f t="shared" ref="I77" si="18">$A$77</f>
        <v>minimumSockets: 1</v>
      </c>
      <c r="J77" s="11"/>
      <c r="K77" s="11"/>
      <c r="L77" s="11"/>
      <c r="M77" s="11" t="str">
        <f t="shared" ref="M77" si="19">$A$77</f>
        <v>minimumSockets: 1</v>
      </c>
      <c r="N77" s="11"/>
      <c r="O77" s="11"/>
      <c r="P77" s="11"/>
      <c r="Q77" s="11" t="str">
        <f t="shared" ref="Q77" si="20">$A$77</f>
        <v>minimumSockets: 1</v>
      </c>
      <c r="R77" s="11"/>
      <c r="S77" s="11"/>
      <c r="T77" s="11"/>
    </row>
    <row r="78" spans="1:20" x14ac:dyDescent="0.25">
      <c r="A78" s="11" t="str">
        <f>"maximumSockets: "&amp;MAIN!$E$30</f>
        <v>maximumSockets: 2</v>
      </c>
      <c r="B78" s="11"/>
      <c r="C78" s="11"/>
      <c r="D78" s="11"/>
      <c r="E78" s="11" t="str">
        <f>$A$78</f>
        <v>maximumSockets: 2</v>
      </c>
      <c r="F78" s="11"/>
      <c r="G78" s="11"/>
      <c r="H78" s="11"/>
      <c r="I78" s="11" t="str">
        <f t="shared" ref="I78" si="21">$A$78</f>
        <v>maximumSockets: 2</v>
      </c>
      <c r="J78" s="11"/>
      <c r="K78" s="11"/>
      <c r="L78" s="11"/>
      <c r="M78" s="11" t="str">
        <f t="shared" ref="M78" si="22">$A$78</f>
        <v>maximumSockets: 2</v>
      </c>
      <c r="N78" s="11"/>
      <c r="O78" s="11"/>
      <c r="P78" s="11"/>
      <c r="Q78" s="11" t="str">
        <f t="shared" ref="Q78" si="23">$A$78</f>
        <v>maximumSockets: 2</v>
      </c>
      <c r="R78" s="11"/>
      <c r="S78" s="11"/>
      <c r="T78" s="11"/>
    </row>
    <row r="79" spans="1:20" s="293"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24">M83</f>
        <v>broadcastOnFind: false</v>
      </c>
      <c r="R83" s="11"/>
      <c r="S83" s="11"/>
      <c r="T83" s="11"/>
    </row>
    <row r="84" spans="1:20" x14ac:dyDescent="0.25">
      <c r="A84" s="11" t="str">
        <f>"optimalDistance: "&amp;MAIN!$E$39</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"maximumDistance: "&amp;MAIN!$E$40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Z189"/>
  <sheetViews>
    <sheetView topLeftCell="A64"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1" t="s">
        <v>19</v>
      </c>
      <c r="B1" s="351"/>
      <c r="C1" s="351" t="s">
        <v>70</v>
      </c>
      <c r="D1" s="351"/>
      <c r="E1" s="351" t="s">
        <v>80</v>
      </c>
      <c r="F1" s="351"/>
      <c r="G1" s="351" t="s">
        <v>89</v>
      </c>
      <c r="H1" s="351"/>
      <c r="I1" s="351" t="s">
        <v>1197</v>
      </c>
      <c r="J1" s="351"/>
      <c r="K1" s="351" t="s">
        <v>1199</v>
      </c>
      <c r="L1" s="351"/>
    </row>
    <row r="2" spans="1:26" x14ac:dyDescent="0.25">
      <c r="A2" s="301" t="s">
        <v>102</v>
      </c>
      <c r="B2" s="301"/>
      <c r="C2" s="301">
        <f>'ECONOMIA &amp; PROFESIONES'!$P$3</f>
        <v>5</v>
      </c>
      <c r="D2" s="301"/>
      <c r="E2" s="301" t="s">
        <v>81</v>
      </c>
      <c r="F2" s="301"/>
      <c r="G2" s="301" t="s">
        <v>103</v>
      </c>
      <c r="H2" s="301"/>
      <c r="I2" s="301" t="str">
        <f>MAIN!$J$53</f>
        <v>Armor</v>
      </c>
      <c r="J2" s="301"/>
      <c r="K2" s="301">
        <f>MAIN!$L$53</f>
        <v>1</v>
      </c>
      <c r="L2" s="301"/>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91"/>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91">
        <v>1</v>
      </c>
      <c r="V4" s="291" t="str">
        <f>"+"&amp;ROUND(MAIN!$C$55*$C$2*$K$2/5*$U$4,0)&amp;" "&amp;$I$2</f>
        <v>+5 Armor</v>
      </c>
      <c r="W4" s="291" t="str">
        <f>"+"&amp;ROUND(MAIN!$D$55*$C$2*$K$2/5*$U$4,0)&amp;" "&amp;$I$2</f>
        <v>+8 Armor</v>
      </c>
      <c r="X4" s="291" t="str">
        <f>"+"&amp;ROUND(MAIN!$E$55*$C$2*$K$2/5*$U$4,0)&amp;" "&amp;$I$2</f>
        <v>+13 Armor</v>
      </c>
      <c r="Y4" s="291" t="str">
        <f>"+"&amp;ROUND(MAIN!$F$55*$C$2*$K$2/5*$U$4,0)&amp;" "&amp;$I$2</f>
        <v>+22 Armor</v>
      </c>
      <c r="Z4" s="291" t="str">
        <f>"+"&amp;ROUND(MAIN!$G$55*$C$2*$K$2/5*$U$4,0)&amp;" "&amp;$I$2</f>
        <v>+37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91">
        <v>2</v>
      </c>
      <c r="V5" s="291" t="str">
        <f>"+"&amp;ROUND(MAIN!$C$55*$C$2*$K$2/5*$U$5,0)&amp;" "&amp;$I$2</f>
        <v>+10 Armor</v>
      </c>
      <c r="W5" s="291" t="str">
        <f>"+"&amp;ROUND(MAIN!$D$55*$C$2*$K$2/5*$U$5,0)&amp;" "&amp;$I$2</f>
        <v>+16 Armor</v>
      </c>
      <c r="X5" s="291" t="str">
        <f>"+"&amp;ROUND(MAIN!$E$55*$C$2*$K$2/5*$U$5,0)&amp;" "&amp;$I$2</f>
        <v>+26 Armor</v>
      </c>
      <c r="Y5" s="291" t="str">
        <f>"+"&amp;ROUND(MAIN!$F$55*$C$2*$K$2/5*$U$5,0)&amp;" "&amp;$I$2</f>
        <v>+44 Armor</v>
      </c>
      <c r="Z5" s="291" t="str">
        <f>"+"&amp;ROUND(MAIN!$G$55*$C$2*$K$2/5*$U$5,0)&amp;" "&amp;$I$2</f>
        <v>+74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+15 Armor</v>
      </c>
      <c r="W6" s="291" t="str">
        <f>"+"&amp;ROUND(MAIN!$D$55*$C$2*$K$2/5*$U$6,0)&amp;" "&amp;$I$2</f>
        <v>+24 Armor</v>
      </c>
      <c r="X6" s="291" t="str">
        <f>"+"&amp;ROUND(MAIN!$E$55*$C$2*$K$2/5*$U$6,0)&amp;" "&amp;$I$2</f>
        <v>+39 Armor</v>
      </c>
      <c r="Y6" s="291" t="str">
        <f>"+"&amp;ROUND(MAIN!$F$55*$C$2*$K$2/5*$U$6,0)&amp;" "&amp;$I$2</f>
        <v>+66 Armor</v>
      </c>
      <c r="Z6" s="291" t="str">
        <f>"+"&amp;ROUND(MAIN!$G$55*$C$2*$K$2/5*$U$6,0)&amp;" "&amp;$I$2</f>
        <v>+111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+20 Armor</v>
      </c>
      <c r="W7" s="291" t="str">
        <f>"+"&amp;ROUND(MAIN!$D$55*$C$2*$K$2/5*$U$7,0)&amp;" "&amp;$I$2</f>
        <v>+32 Armor</v>
      </c>
      <c r="X7" s="291" t="str">
        <f>"+"&amp;ROUND(MAIN!$E$55*$C$2*$K$2/5*$U$7,0)&amp;" "&amp;$I$2</f>
        <v>+52 Armor</v>
      </c>
      <c r="Y7" s="291" t="str">
        <f>"+"&amp;ROUND(MAIN!$F$55*$C$2*$K$2/5*$U$7,0)&amp;" "&amp;$I$2</f>
        <v>+88 Armor</v>
      </c>
      <c r="Z7" s="291" t="str">
        <f>"+"&amp;ROUND(MAIN!$G$55*$C$2*$K$2/5*$U$7,0)&amp;" "&amp;$I$2</f>
        <v>+148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+25 Armor</v>
      </c>
      <c r="W8" s="291" t="str">
        <f>"+"&amp;ROUND(MAIN!$D$55*$C$2*$K$2/5*$U$8,0)&amp;" "&amp;$I$2</f>
        <v>+40 Armor</v>
      </c>
      <c r="X8" s="291" t="str">
        <f>"+"&amp;ROUND(MAIN!$E$55*$C$2*$K$2/5*$U$8,0)&amp;" "&amp;$I$2</f>
        <v>+65 Armor</v>
      </c>
      <c r="Y8" s="291" t="str">
        <f>"+"&amp;ROUND(MAIN!$F$55*$C$2*$K$2/5*$U$8,0)&amp;" "&amp;$I$2</f>
        <v>+110 Armor</v>
      </c>
      <c r="Z8" s="291" t="str">
        <f>"+"&amp;ROUND(MAIN!$G$55*$C$2*$K$2/5*$U$8,0)&amp;" "&amp;$I$2</f>
        <v>+185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 t="shared" ref="E12" si="6">$A$12</f>
        <v xml:space="preserve">  minimumBonusEnchantments: 2</v>
      </c>
      <c r="F12" s="11"/>
      <c r="G12" s="11"/>
      <c r="H12" s="11"/>
      <c r="I12" s="11" t="str">
        <f t="shared" ref="I12" si="7">$A$12</f>
        <v xml:space="preserve">  minimumBonusEnchantments: 2</v>
      </c>
      <c r="J12" s="11"/>
      <c r="K12" s="11"/>
      <c r="L12" s="11"/>
      <c r="M12" s="11" t="str">
        <f t="shared" ref="M12" si="8">$A$12</f>
        <v xml:space="preserve">  minimumBonusEnchantments: 2</v>
      </c>
      <c r="N12" s="11"/>
      <c r="O12" s="11"/>
      <c r="P12" s="11"/>
      <c r="Q12" s="11" t="str">
        <f t="shared" ref="Q12" si="9">$A$12</f>
        <v xml:space="preserve">  minimumBonusEnchantments: 2</v>
      </c>
      <c r="R12" s="11"/>
      <c r="S12" s="11"/>
      <c r="T12" s="11"/>
    </row>
    <row r="13" spans="1:26" x14ac:dyDescent="0.25">
      <c r="A13" s="11" t="str">
        <f>'armas raro'!$A$13</f>
        <v xml:space="preserve">  maximumBonusEnchantments: 3</v>
      </c>
      <c r="B13" s="11"/>
      <c r="C13" s="11"/>
      <c r="D13" s="11"/>
      <c r="E13" s="11" t="str">
        <f t="shared" ref="E13" si="10">$A$13</f>
        <v xml:space="preserve">  maximumBonusEnchantments: 3</v>
      </c>
      <c r="F13" s="11"/>
      <c r="G13" s="11"/>
      <c r="H13" s="11"/>
      <c r="I13" s="11" t="str">
        <f t="shared" ref="I13" si="11">$A$13</f>
        <v xml:space="preserve">  maximumBonusEnchantments: 3</v>
      </c>
      <c r="J13" s="11"/>
      <c r="K13" s="11"/>
      <c r="L13" s="11"/>
      <c r="M13" s="11" t="str">
        <f t="shared" ref="M13" si="12">$A$13</f>
        <v xml:space="preserve">  maximumBonusEnchantments: 3</v>
      </c>
      <c r="N13" s="11"/>
      <c r="O13" s="11"/>
      <c r="P13" s="11"/>
      <c r="Q13" s="11" t="str">
        <f t="shared" ref="Q13" si="13">$A$13</f>
        <v xml:space="preserve">  maximumBonusEnchantments: 3</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s="21" customFormat="1"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 t="shared" ref="E59" si="14">$A$59</f>
        <v xml:space="preserve">  minimumBonusLore: 1</v>
      </c>
      <c r="F59" s="11"/>
      <c r="G59" s="11"/>
      <c r="H59" s="11"/>
      <c r="I59" s="11" t="str">
        <f t="shared" ref="I59" si="15">$A$59</f>
        <v xml:space="preserve">  minimumBonusLore: 1</v>
      </c>
      <c r="J59" s="11"/>
      <c r="K59" s="11"/>
      <c r="L59" s="11"/>
      <c r="M59" s="11" t="str">
        <f t="shared" ref="M59" si="16">$A$59</f>
        <v xml:space="preserve">  minimumBonusLore: 1</v>
      </c>
      <c r="N59" s="11"/>
      <c r="O59" s="11"/>
      <c r="P59" s="11"/>
      <c r="Q59" s="11" t="str">
        <f t="shared" ref="Q59" si="17">$A$59</f>
        <v xml:space="preserve">  minimumBonusLore: 1</v>
      </c>
      <c r="R59" s="11"/>
      <c r="S59" s="11"/>
      <c r="T59" s="11"/>
    </row>
    <row r="60" spans="1:20" x14ac:dyDescent="0.25">
      <c r="A60" s="11" t="str">
        <f>'armas raro'!$A$60</f>
        <v xml:space="preserve">  maximumBonusLore: 2</v>
      </c>
      <c r="B60" s="11"/>
      <c r="C60" s="11"/>
      <c r="D60" s="11"/>
      <c r="E60" s="11" t="str">
        <f t="shared" ref="E60" si="18">$A$60</f>
        <v xml:space="preserve">  maximumBonusLore: 2</v>
      </c>
      <c r="F60" s="11"/>
      <c r="G60" s="11"/>
      <c r="H60" s="11"/>
      <c r="I60" s="11" t="str">
        <f t="shared" ref="I60" si="19">$A$60</f>
        <v xml:space="preserve">  maximumBonusLore: 2</v>
      </c>
      <c r="J60" s="11"/>
      <c r="K60" s="11"/>
      <c r="L60" s="11"/>
      <c r="M60" s="11" t="str">
        <f t="shared" ref="M60" si="20">$A$60</f>
        <v xml:space="preserve">  maximumBonusLore: 2</v>
      </c>
      <c r="N60" s="11"/>
      <c r="O60" s="11"/>
      <c r="P60" s="11"/>
      <c r="Q60" s="11" t="str">
        <f t="shared" ref="Q60" si="21">$A$60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&amp;6"&amp;(MAIN!$F$2+(MAIN!$E$18+MAIN!$E$19)/2*MAIN!$B$9+(MAIN!$E$20+MAIN!$E$21)/2*MAIN!$B$8+(MAIN!$E$58*MAIN!$B$11)+($C$2*MAIN!$B$10))/10&amp;" &amp;aAlmakos'"</f>
        <v xml:space="preserve">  - '&amp;aVenta: &amp;6487.5 &amp;aAlmakos'</v>
      </c>
      <c r="B62" s="20"/>
      <c r="C62" s="20"/>
      <c r="D62" s="20"/>
      <c r="E62" s="20" t="str">
        <f>"  - '&amp;aVenta: &amp;6"&amp;(MAIN!$G$2+(MAIN!$E$18+MAIN!$E$19)/2*MAIN!$B$9+(MAIN!$E$20+MAIN!$E$21)/2*MAIN!$B$8+(MAIN!$E$58*MAIN!$B$11)+($C$2*MAIN!$B$10))/10&amp;" &amp;aAlmakos'"</f>
        <v xml:space="preserve">  - '&amp;aVenta: &amp;6587.5 &amp;aAlmakos'</v>
      </c>
      <c r="F62" s="20"/>
      <c r="G62" s="20"/>
      <c r="H62" s="20"/>
      <c r="I62" s="20" t="str">
        <f>"  - '&amp;aVenta: &amp;6"&amp;(MAIN!$H$2+(MAIN!$E$18+MAIN!$E$19)/2*MAIN!$B$9+(MAIN!$E$20+MAIN!$E$21)/2*MAIN!$B$8+(MAIN!$E$58*MAIN!$B$11)+($C$2*MAIN!$B$10))/10&amp;" &amp;aAlmakos'"</f>
        <v xml:space="preserve">  - '&amp;aVenta: &amp;6787.5 &amp;aAlmakos'</v>
      </c>
      <c r="J62" s="20"/>
      <c r="K62" s="20"/>
      <c r="L62" s="20"/>
      <c r="M62" s="20" t="str">
        <f>"  - '&amp;aVenta: &amp;6"&amp;(MAIN!$I$2+(MAIN!$E$18+MAIN!$E$19)/2*MAIN!$B$9+(MAIN!$E$20+MAIN!$E$21)/2*MAIN!$B$8+(MAIN!$E$58*MAIN!$B$11)+($C$2*MAIN!$B$10))/10&amp;" &amp;aAlmakos'"</f>
        <v xml:space="preserve">  - '&amp;aVenta: &amp;61187.5 &amp;aAlmakos'</v>
      </c>
      <c r="N62" s="20"/>
      <c r="O62" s="20"/>
      <c r="P62" s="20"/>
      <c r="Q62" s="20" t="str">
        <f>"  - '&amp;aVenta: &amp;6"&amp;(MAIN!$J$2+(MAIN!$E$18+MAIN!$E$19)/2*MAIN!$B$9+(MAIN!$E$20+MAIN!$E$21)/2*MAIN!$B$8+(MAIN!$E$58*MAIN!$B$11)+($C$2*MAIN!$B$10))/10&amp;" &amp;aAlmakos'"</f>
        <v xml:space="preserve">  - '&amp;aVenta: &amp;61987.5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&amp;a33'</v>
      </c>
      <c r="B66" s="10"/>
      <c r="C66" s="10"/>
      <c r="D66" s="10"/>
      <c r="E66" s="10" t="str">
        <f>"  - '&amp;7• &amp;8Nivel: &amp;a"&amp;MAIN!$D$60+($C$2*MAIN!$I$27)&amp;"'"</f>
        <v xml:space="preserve">  - '&amp;7• &amp;8Nivel: &amp;a51'</v>
      </c>
      <c r="F66" s="10"/>
      <c r="G66" s="10"/>
      <c r="H66" s="10"/>
      <c r="I66" s="10" t="str">
        <f>"  - '&amp;7• &amp;8Nivel: &amp;a"&amp;MAIN!$E$60+($C$2*MAIN!$I$27)&amp;"'"</f>
        <v xml:space="preserve">  - '&amp;7• &amp;8Nivel: &amp;a105'</v>
      </c>
      <c r="J66" s="10"/>
      <c r="K66" s="10"/>
      <c r="L66" s="10"/>
      <c r="M66" s="10" t="str">
        <f>"  - '&amp;7• &amp;8Nivel: &amp;a"&amp;MAIN!$F$60+($C$2*MAIN!$I$27)&amp;"'"</f>
        <v xml:space="preserve">  - '&amp;7• &amp;8Nivel: &amp;a265'</v>
      </c>
      <c r="N66" s="10"/>
      <c r="O66" s="10"/>
      <c r="P66" s="10"/>
      <c r="Q66" s="10" t="str">
        <f>"  - '&amp;7• &amp;8Nivel: &amp;a"&amp;MAIN!$G$60+($C$2*MAIN!$I$27)&amp;"'"</f>
        <v xml:space="preserve">  - '&amp;7• &amp;8Nivel: &amp;a505'</v>
      </c>
      <c r="R66" s="10"/>
      <c r="S66" s="10"/>
      <c r="T66" s="10"/>
    </row>
    <row r="67" spans="1:20" x14ac:dyDescent="0.25">
      <c r="A67" s="12" t="str">
        <f>"  - '&amp;7• &amp;8"&amp;MAIN!$C$12&amp;" lvl: &amp;a"&amp;ROUNDUP((MAIN!$C$60+($C$2*MAIN!$I$27))/3,0)&amp;"'"</f>
        <v xml:space="preserve">  - '&amp;7• &amp;8Esencia lvl: &amp;a11'</v>
      </c>
      <c r="B67" s="12"/>
      <c r="C67" s="12"/>
      <c r="D67" s="12"/>
      <c r="E67" s="12" t="str">
        <f>"  - '&amp;7• &amp;8"&amp;MAIN!$C$12&amp;" lvl: &amp;a"&amp;ROUNDUP((MAIN!$D$60+($C$2*MAIN!$I$27))/3,0)&amp;"'"</f>
        <v xml:space="preserve">  - '&amp;7• &amp;8Esencia lvl: &amp;a17'</v>
      </c>
      <c r="F67" s="12"/>
      <c r="G67" s="12"/>
      <c r="H67" s="12"/>
      <c r="I67" s="12" t="str">
        <f>"  - '&amp;7• &amp;8"&amp;MAIN!$C$12&amp;" lvl: &amp;a"&amp;ROUNDUP((MAIN!$E$60+($C$2*MAIN!$I$27))/3,0)&amp;"'"</f>
        <v xml:space="preserve">  - '&amp;7• &amp;8Esencia lvl: &amp;a35'</v>
      </c>
      <c r="J67" s="12"/>
      <c r="K67" s="12"/>
      <c r="L67" s="12"/>
      <c r="M67" s="12" t="str">
        <f>"  - '&amp;7• &amp;8"&amp;MAIN!$C$12&amp;" lvl: &amp;a"&amp;ROUNDUP((MAIN!$F$60+($C$2*MAIN!$I$27))/3,0)&amp;"'"</f>
        <v xml:space="preserve">  - '&amp;7• &amp;8Esencia lvl: &amp;a89'</v>
      </c>
      <c r="N67" s="12"/>
      <c r="O67" s="12"/>
      <c r="P67" s="12"/>
      <c r="Q67" s="12" t="str">
        <f>"  - '&amp;7• &amp;8"&amp;MAIN!$C$12&amp;" lvl: &amp;a"&amp;ROUNDUP((MAIN!$G$60+($C$2*MAIN!$I$27))/3,0)&amp;"'"</f>
        <v xml:space="preserve">  - '&amp;7• &amp;8Esencia lvl: &amp;a169'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&amp;a25'</v>
      </c>
      <c r="B71" s="10"/>
      <c r="C71" s="10"/>
      <c r="D71" s="10"/>
      <c r="E71" s="10" t="str">
        <f>"  - '&amp;4• &amp;f"&amp;MAIN!$C$9&amp;": &amp;a"&amp;MAIN!$D$55*$C$2&amp;"'"</f>
        <v xml:space="preserve">  - '&amp;4• &amp;fFuerza: &amp;a40'</v>
      </c>
      <c r="F71" s="10"/>
      <c r="G71" s="10"/>
      <c r="H71" s="10"/>
      <c r="I71" s="10" t="str">
        <f>"  - '&amp;4• &amp;f"&amp;MAIN!$C$9&amp;": &amp;a"&amp;MAIN!$E$55*$C$2&amp;"'"</f>
        <v xml:space="preserve">  - '&amp;4• &amp;fFuerza: &amp;a65'</v>
      </c>
      <c r="J71" s="10"/>
      <c r="K71" s="10"/>
      <c r="L71" s="10"/>
      <c r="M71" s="10" t="str">
        <f>"  - '&amp;4• &amp;f"&amp;MAIN!$C$9&amp;": &amp;a"&amp;MAIN!$F$55*$C$2&amp;"'"</f>
        <v xml:space="preserve">  - '&amp;4• &amp;fFuerza: &amp;a110'</v>
      </c>
      <c r="N71" s="10"/>
      <c r="O71" s="10"/>
      <c r="P71" s="10"/>
      <c r="Q71" s="10" t="str">
        <f>"  - '&amp;4• &amp;f"&amp;MAIN!$C$9&amp;": &amp;a"&amp;MAIN!$G$55*$C$2&amp;"'"</f>
        <v xml:space="preserve">  - '&amp;4• &amp;fFuerza: &amp;a185'</v>
      </c>
      <c r="R71" s="10"/>
      <c r="S71" s="10"/>
      <c r="T71" s="10"/>
    </row>
    <row r="72" spans="1:20" x14ac:dyDescent="0.25">
      <c r="A72" s="10" t="str">
        <f>"  - '&amp;4• &amp;f"&amp;MAIN!$C$8&amp;": &amp;a"&amp;MAIN!$C$55*$C$2&amp;"'"</f>
        <v xml:space="preserve">  - '&amp;4• &amp;fVitalidad: &amp;a25'</v>
      </c>
      <c r="B72" s="10"/>
      <c r="C72" s="10"/>
      <c r="D72" s="10"/>
      <c r="E72" s="10" t="str">
        <f>"  - '&amp;4• &amp;f"&amp;MAIN!$C$8&amp;": &amp;a"&amp;MAIN!$D$55*$C$2&amp;"'"</f>
        <v xml:space="preserve">  - '&amp;4• &amp;fVitalidad: &amp;a40'</v>
      </c>
      <c r="F72" s="10"/>
      <c r="G72" s="10"/>
      <c r="H72" s="10"/>
      <c r="I72" s="10" t="str">
        <f>"  - '&amp;4• &amp;f"&amp;MAIN!$C$8&amp;": &amp;a"&amp;MAIN!$E$55*$C$2&amp;"'"</f>
        <v xml:space="preserve">  - '&amp;4• &amp;fVitalidad: &amp;a65'</v>
      </c>
      <c r="J72" s="10"/>
      <c r="K72" s="10"/>
      <c r="L72" s="10"/>
      <c r="M72" s="10" t="str">
        <f>"  - '&amp;4• &amp;f"&amp;MAIN!$C$8&amp;": &amp;a"&amp;MAIN!$F$55*$C$2&amp;"'"</f>
        <v xml:space="preserve">  - '&amp;4• &amp;fVitalidad: &amp;a110'</v>
      </c>
      <c r="N72" s="10"/>
      <c r="O72" s="10"/>
      <c r="P72" s="10"/>
      <c r="Q72" s="10" t="str">
        <f>"  - '&amp;4• &amp;f"&amp;MAIN!$C$8&amp;": &amp;a"&amp;MAIN!$G$55*$C$2&amp;"'"</f>
        <v xml:space="preserve">  - '&amp;4• &amp;fVitalidad: &amp;a185'</v>
      </c>
      <c r="R72" s="10"/>
      <c r="S72" s="10"/>
      <c r="T72" s="10"/>
    </row>
    <row r="73" spans="1:20" x14ac:dyDescent="0.25">
      <c r="A73" s="10" t="str">
        <f>"  - '&amp;4• &amp;f"&amp;MAIN!$C$11&amp;": &amp;a"&amp;MAIN!$C$54*$C$2&amp;"'"</f>
        <v xml:space="preserve">  - '&amp;4• &amp;fInteligencia: &amp;a25'</v>
      </c>
      <c r="B73" s="10"/>
      <c r="C73" s="10"/>
      <c r="D73" s="10"/>
      <c r="E73" s="10" t="str">
        <f>"  - '&amp;4• &amp;f"&amp;MAIN!$C$11&amp;": &amp;a"&amp;MAIN!$D$54*$C$2&amp;"'"</f>
        <v xml:space="preserve">  - '&amp;4• &amp;fInteligencia: &amp;a40'</v>
      </c>
      <c r="F73" s="10"/>
      <c r="G73" s="10"/>
      <c r="H73" s="10"/>
      <c r="I73" s="10" t="str">
        <f>"  - '&amp;4• &amp;f"&amp;MAIN!$C$11&amp;": &amp;a"&amp;MAIN!$E$54*$C$2&amp;"'"</f>
        <v xml:space="preserve">  - '&amp;4• &amp;fInteligencia: &amp;a65'</v>
      </c>
      <c r="J73" s="10"/>
      <c r="K73" s="10"/>
      <c r="L73" s="10"/>
      <c r="M73" s="10" t="str">
        <f>"  - '&amp;4• &amp;f"&amp;MAIN!$C$11&amp;": &amp;a"&amp;MAIN!$F$54*$C$2&amp;"'"</f>
        <v xml:space="preserve">  - '&amp;4• &amp;fInteligencia: &amp;a110'</v>
      </c>
      <c r="N73" s="10"/>
      <c r="O73" s="10"/>
      <c r="P73" s="10"/>
      <c r="Q73" s="10" t="str">
        <f>"  - '&amp;4• &amp;f"&amp;MAIN!$C$11&amp;": &amp;a"&amp;MAIN!$G$54*$C$2&amp;"'"</f>
        <v xml:space="preserve">  - '&amp;4• &amp;fInteligencia: &amp;a185'</v>
      </c>
      <c r="R73" s="10"/>
      <c r="S73" s="10"/>
      <c r="T73" s="10"/>
    </row>
    <row r="74" spans="1:20" x14ac:dyDescent="0.25">
      <c r="A74" s="10" t="str">
        <f>"  - '&amp;4• &amp;f"&amp;MAIN!$C$10&amp;": &amp;a"&amp;MAIN!$C$56*$C$2&amp;"'"</f>
        <v xml:space="preserve">  - '&amp;4• &amp;fAgilidad: &amp;a25'</v>
      </c>
      <c r="B74" s="10"/>
      <c r="C74" s="10"/>
      <c r="D74" s="10"/>
      <c r="E74" s="10" t="str">
        <f>"  - '&amp;4• &amp;f"&amp;MAIN!$C$10&amp;": &amp;a"&amp;MAIN!$D$56*$C$2&amp;"'"</f>
        <v xml:space="preserve">  - '&amp;4• &amp;fAgilidad: &amp;a40'</v>
      </c>
      <c r="F74" s="10"/>
      <c r="G74" s="10"/>
      <c r="H74" s="10"/>
      <c r="I74" s="10" t="str">
        <f>"  - '&amp;4• &amp;f"&amp;MAIN!$C$10&amp;": &amp;a"&amp;MAIN!$E$56*$C$2&amp;"'"</f>
        <v xml:space="preserve">  - '&amp;4• &amp;fAgilidad: &amp;a65'</v>
      </c>
      <c r="J74" s="10"/>
      <c r="K74" s="10"/>
      <c r="L74" s="10"/>
      <c r="M74" s="10" t="str">
        <f>"  - '&amp;4• &amp;f"&amp;MAIN!$C$10&amp;": &amp;a"&amp;MAIN!$F$56*$C$2&amp;"'"</f>
        <v xml:space="preserve">  - '&amp;4• &amp;fAgilidad: &amp;a110'</v>
      </c>
      <c r="N74" s="10"/>
      <c r="O74" s="10"/>
      <c r="P74" s="10"/>
      <c r="Q74" s="10" t="str">
        <f>"  - '&amp;4• &amp;f"&amp;MAIN!$C$10&amp;": &amp;a"&amp;MAIN!$G$56*$C$2&amp;"'"</f>
        <v xml:space="preserve">  - '&amp;4• &amp;fAgilidad: &amp;a185'</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 t="shared" ref="E77" si="22">$A$77</f>
        <v>minimumSockets: 1</v>
      </c>
      <c r="F77" s="11"/>
      <c r="G77" s="11"/>
      <c r="H77" s="11"/>
      <c r="I77" s="11" t="str">
        <f t="shared" ref="I77" si="23">$A$77</f>
        <v>minimumSockets: 1</v>
      </c>
      <c r="J77" s="11"/>
      <c r="K77" s="11"/>
      <c r="L77" s="11"/>
      <c r="M77" s="11" t="str">
        <f t="shared" ref="M77" si="24">$A$77</f>
        <v>minimumSockets: 1</v>
      </c>
      <c r="N77" s="11"/>
      <c r="O77" s="11"/>
      <c r="P77" s="11"/>
      <c r="Q77" s="11" t="str">
        <f t="shared" ref="Q77" si="25">$A$77</f>
        <v>minimumSockets: 1</v>
      </c>
      <c r="R77" s="11"/>
      <c r="S77" s="11"/>
      <c r="T77" s="11"/>
    </row>
    <row r="78" spans="1:20" x14ac:dyDescent="0.25">
      <c r="A78" s="11" t="str">
        <f>'armas raro'!$A$78</f>
        <v>maximumSockets: 2</v>
      </c>
      <c r="B78" s="11"/>
      <c r="C78" s="11"/>
      <c r="D78" s="11"/>
      <c r="E78" s="11" t="str">
        <f t="shared" ref="E78" si="26">$A$78</f>
        <v>maximumSockets: 2</v>
      </c>
      <c r="F78" s="11"/>
      <c r="G78" s="11"/>
      <c r="H78" s="11"/>
      <c r="I78" s="11" t="str">
        <f t="shared" ref="I78" si="27">$A$78</f>
        <v>maximumSockets: 2</v>
      </c>
      <c r="J78" s="11"/>
      <c r="K78" s="11"/>
      <c r="L78" s="11"/>
      <c r="M78" s="11" t="str">
        <f t="shared" ref="M78" si="28">$A$78</f>
        <v>maximumSockets: 2</v>
      </c>
      <c r="N78" s="11"/>
      <c r="O78" s="11"/>
      <c r="P78" s="11"/>
      <c r="Q78" s="11" t="str">
        <f t="shared" ref="Q78" si="29">$A$78</f>
        <v>maximumSockets: 2</v>
      </c>
      <c r="R78" s="11"/>
      <c r="S78" s="11"/>
      <c r="T78" s="11"/>
    </row>
    <row r="79" spans="1:20" s="293"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30">M83</f>
        <v>broadcastOnFind: false</v>
      </c>
      <c r="R83" s="11"/>
      <c r="S83" s="11"/>
      <c r="T83" s="11"/>
    </row>
    <row r="84" spans="1:20" x14ac:dyDescent="0.25">
      <c r="A84" s="11" t="str">
        <f>'armas raro'!$A$84</f>
        <v>optimalDistance: 2400</v>
      </c>
      <c r="B84" s="11"/>
      <c r="C84" s="11"/>
      <c r="D84" s="11"/>
      <c r="E84" s="11" t="str">
        <f t="shared" ref="E84" si="31">$A$84</f>
        <v>optimalDistance: 2400</v>
      </c>
      <c r="F84" s="11"/>
      <c r="G84" s="11"/>
      <c r="H84" s="11"/>
      <c r="I84" s="11" t="str">
        <f t="shared" ref="I84" si="32">$A$84</f>
        <v>optimalDistance: 2400</v>
      </c>
      <c r="J84" s="11"/>
      <c r="K84" s="11"/>
      <c r="L84" s="11"/>
      <c r="M84" s="11" t="str">
        <f t="shared" ref="M84" si="33">$A$84</f>
        <v>optimalDistance: 2400</v>
      </c>
      <c r="N84" s="11"/>
      <c r="O84" s="11"/>
      <c r="P84" s="11"/>
      <c r="Q84" s="11" t="str">
        <f t="shared" ref="Q84" si="34">$A$84</f>
        <v>optimalDistance: 2400</v>
      </c>
      <c r="R84" s="11"/>
      <c r="S84" s="11"/>
      <c r="T84" s="11"/>
    </row>
    <row r="85" spans="1:20" x14ac:dyDescent="0.25">
      <c r="A85" s="11" t="str">
        <f>'armas raro'!$A$85</f>
        <v>maximumDistance: 1800</v>
      </c>
      <c r="B85" s="11"/>
      <c r="C85" s="11"/>
      <c r="D85" s="11"/>
      <c r="E85" s="11" t="str">
        <f t="shared" ref="E85" si="35">$A$85</f>
        <v>maximumDistance: 1800</v>
      </c>
      <c r="F85" s="11"/>
      <c r="G85" s="11"/>
      <c r="H85" s="11"/>
      <c r="I85" s="11" t="str">
        <f t="shared" ref="I85" si="36">$A$85</f>
        <v>maximumDistance: 1800</v>
      </c>
      <c r="J85" s="11"/>
      <c r="K85" s="11"/>
      <c r="L85" s="11"/>
      <c r="M85" s="11" t="str">
        <f t="shared" ref="M85" si="37">$A$85</f>
        <v>maximumDistance: 1800</v>
      </c>
      <c r="N85" s="11"/>
      <c r="O85" s="11"/>
      <c r="P85" s="11"/>
      <c r="Q85" s="11" t="str">
        <f t="shared" ref="Q85" si="38">$A$85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Z189"/>
  <sheetViews>
    <sheetView topLeftCell="A68"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1" t="s">
        <v>19</v>
      </c>
      <c r="B1" s="351"/>
      <c r="C1" s="351" t="s">
        <v>70</v>
      </c>
      <c r="D1" s="351"/>
      <c r="E1" s="351" t="s">
        <v>80</v>
      </c>
      <c r="F1" s="351"/>
      <c r="G1" s="351" t="s">
        <v>89</v>
      </c>
      <c r="H1" s="351"/>
      <c r="I1" s="351" t="s">
        <v>1197</v>
      </c>
      <c r="J1" s="351"/>
      <c r="K1" s="351" t="s">
        <v>1199</v>
      </c>
      <c r="L1" s="351"/>
    </row>
    <row r="2" spans="1:26" x14ac:dyDescent="0.25">
      <c r="A2" s="301" t="s">
        <v>102</v>
      </c>
      <c r="B2" s="301"/>
      <c r="C2" s="301">
        <f>'ECONOMIA &amp; PROFESIONES'!$P$3</f>
        <v>5</v>
      </c>
      <c r="D2" s="301"/>
      <c r="E2" s="301" t="s">
        <v>81</v>
      </c>
      <c r="F2" s="301"/>
      <c r="G2" s="301" t="s">
        <v>103</v>
      </c>
      <c r="H2" s="301"/>
      <c r="I2" s="301" t="str">
        <f>MAIN!$J$53</f>
        <v>Armor</v>
      </c>
      <c r="J2" s="301"/>
      <c r="K2" s="301">
        <f>MAIN!$L$53</f>
        <v>1</v>
      </c>
      <c r="L2" s="301"/>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"+"&amp;ROUND(MAIN!$C$66*$C$2*$K$2/5*$U$4,0)&amp;" "&amp;$I$2</f>
        <v>+8 Armor</v>
      </c>
      <c r="W4" s="2" t="str">
        <f>"+"&amp;ROUND(MAIN!$D$66*$C$2*$K$2/5*$U$4,0)&amp;" "&amp;$I$2</f>
        <v>+13 Armor</v>
      </c>
      <c r="X4" s="2" t="str">
        <f>"+"&amp;ROUND(MAIN!$E$66*$C$2*$K$2/5*$U$4,0)&amp;" "&amp;$I$2</f>
        <v>+22 Armor</v>
      </c>
      <c r="Y4" s="2" t="str">
        <f>"+"&amp;ROUND(MAIN!$F$66*$C$2*$K$2/5*$U$4,0)&amp;" "&amp;$I$2</f>
        <v>+37 Armor</v>
      </c>
      <c r="Z4" s="2" t="str">
        <f>"+"&amp;ROUND(MAIN!$G$66*$C$2*$K$2/5*$U$4,0)&amp;" "&amp;$I$2</f>
        <v>+62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"+"&amp;ROUND(MAIN!$C$66*$C$2*$K$2/5*$U$5,0)&amp;" "&amp;$I$2</f>
        <v>+16 Armor</v>
      </c>
      <c r="W5" s="2" t="str">
        <f>"+"&amp;ROUND(MAIN!$D$66*$C$2*$K$2/5*$U$5,0)&amp;" "&amp;$I$2</f>
        <v>+26 Armor</v>
      </c>
      <c r="X5" s="2" t="str">
        <f>"+"&amp;ROUND(MAIN!$E$66*$C$2*$K$2/5*$U$5,0)&amp;" "&amp;$I$2</f>
        <v>+44 Armor</v>
      </c>
      <c r="Y5" s="2" t="str">
        <f>"+"&amp;ROUND(MAIN!$F$66*$C$2*$K$2/5*$U$5,0)&amp;" "&amp;$I$2</f>
        <v>+74 Armor</v>
      </c>
      <c r="Z5" s="2" t="str">
        <f>"+"&amp;ROUND(MAIN!$G$66*$C$2*$K$2/5*$U$5,0)&amp;" "&amp;$I$2</f>
        <v>+124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+24 Armor</v>
      </c>
      <c r="W6" s="2" t="str">
        <f>"+"&amp;ROUND(MAIN!$D$66*$C$2*$K$2/5*$U$6,0)&amp;" "&amp;$I$2</f>
        <v>+39 Armor</v>
      </c>
      <c r="X6" s="2" t="str">
        <f>"+"&amp;ROUND(MAIN!$E$66*$C$2*$K$2/5*$U$6,0)&amp;" "&amp;$I$2</f>
        <v>+66 Armor</v>
      </c>
      <c r="Y6" s="2" t="str">
        <f>"+"&amp;ROUND(MAIN!$F$66*$C$2*$K$2/5*$U$6,0)&amp;" "&amp;$I$2</f>
        <v>+111 Armor</v>
      </c>
      <c r="Z6" s="2" t="str">
        <f>"+"&amp;ROUND(MAIN!$G$66*$C$2*$K$2/5*$U$6,0)&amp;" "&amp;$I$2</f>
        <v>+186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+32 Armor</v>
      </c>
      <c r="W7" s="2" t="str">
        <f>"+"&amp;ROUND(MAIN!$D$66*$C$2*$K$2/5*$U$7,0)&amp;" "&amp;$I$2</f>
        <v>+52 Armor</v>
      </c>
      <c r="X7" s="2" t="str">
        <f>"+"&amp;ROUND(MAIN!$E$66*$C$2*$K$2/5*$U$7,0)&amp;" "&amp;$I$2</f>
        <v>+88 Armor</v>
      </c>
      <c r="Y7" s="2" t="str">
        <f>"+"&amp;ROUND(MAIN!$F$66*$C$2*$K$2/5*$U$7,0)&amp;" "&amp;$I$2</f>
        <v>+148 Armor</v>
      </c>
      <c r="Z7" s="2" t="str">
        <f>"+"&amp;ROUND(MAIN!$G$66*$C$2*$K$2/5*$U$7,0)&amp;" "&amp;$I$2</f>
        <v>+248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+40 Armor</v>
      </c>
      <c r="W8" s="2" t="str">
        <f>"+"&amp;ROUND(MAIN!$D$66*$C$2*$K$2/5*$U$8,0)&amp;" "&amp;$I$2</f>
        <v>+65 Armor</v>
      </c>
      <c r="X8" s="2" t="str">
        <f>"+"&amp;ROUND(MAIN!$E$66*$C$2*$K$2/5*$U$8,0)&amp;" "&amp;$I$2</f>
        <v>+110 Armor</v>
      </c>
      <c r="Y8" s="2" t="str">
        <f>"+"&amp;ROUND(MAIN!$F$66*$C$2*$K$2/5*$U$8,0)&amp;" "&amp;$I$2</f>
        <v>+185 Armor</v>
      </c>
      <c r="Z8" s="2" t="str">
        <f>"+"&amp;ROUND(MAIN!$G$66*$C$2*$K$2/5*$U$8,0)&amp;" "&amp;$I$2</f>
        <v>+310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s="21" customFormat="1"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&amp;6"&amp;(MAIN!$F$3+(MAIN!$E$18+MAIN!$E$19)/2*MAIN!$B$9+(MAIN!$E$20+MAIN!$E$21)/2*MAIN!$B$8+(MAIN!$E$69*MAIN!$B$11)+($C$2*MAIN!$B$10))/10&amp;" &amp;aAlmakos'"</f>
        <v xml:space="preserve">  - '&amp;aVenta: &amp;6570 &amp;aAlmakos'</v>
      </c>
      <c r="B62" s="20"/>
      <c r="C62" s="20"/>
      <c r="D62" s="20"/>
      <c r="E62" s="20" t="str">
        <f>"  - '&amp;aVenta: &amp;6"&amp;(MAIN!$G$3+(MAIN!$E$18+MAIN!$E$19)/2*MAIN!$B$9+(MAIN!$E$20+MAIN!$E$21)/2*MAIN!$B$8+(MAIN!$E$69*MAIN!$B$11)+($C$2*MAIN!$B$10))/10&amp;" &amp;aAlmakos'"</f>
        <v xml:space="preserve">  - '&amp;aVenta: &amp;6730 &amp;aAlmakos'</v>
      </c>
      <c r="F62" s="20"/>
      <c r="G62" s="20"/>
      <c r="H62" s="20"/>
      <c r="I62" s="20" t="str">
        <f>"  - '&amp;aVenta: &amp;6"&amp;(MAIN!$H$3+(MAIN!$E$18+MAIN!$E$19)/2*MAIN!$B$9+(MAIN!$E$20+MAIN!$E$21)/2*MAIN!$B$8+(MAIN!$E$69*MAIN!$B$11)+($C$2*MAIN!$B$10))/10&amp;" &amp;aAlmakos'"</f>
        <v xml:space="preserve">  - '&amp;aVenta: &amp;61050 &amp;aAlmakos'</v>
      </c>
      <c r="J62" s="20"/>
      <c r="K62" s="20"/>
      <c r="L62" s="20"/>
      <c r="M62" s="20" t="str">
        <f>"  - '&amp;aVenta: &amp;6"&amp;(MAIN!$I$3+(MAIN!$E$18+MAIN!$E$19)/2*MAIN!$B$9+(MAIN!$E$20+MAIN!$E$21)/2*MAIN!$B$8+(MAIN!$E$69*MAIN!$B$11)+($C$2*MAIN!$B$10))/10&amp;" &amp;aAlmakos'"</f>
        <v xml:space="preserve">  - '&amp;aVenta: &amp;61690 &amp;aAlmakos'</v>
      </c>
      <c r="N62" s="20"/>
      <c r="O62" s="20"/>
      <c r="P62" s="20"/>
      <c r="Q62" s="20" t="str">
        <f>"  - '&amp;aVenta: &amp;6"&amp;(MAIN!$J$3+(MAIN!$E$18+MAIN!$E$19)/2*MAIN!$B$9+(MAIN!$E$20+MAIN!$E$21)/2*MAIN!$B$8+(MAIN!$E$69*MAIN!$B$11)+($C$2*MAIN!$B$10))/10&amp;" &amp;aAlmakos'"</f>
        <v xml:space="preserve">  - '&amp;aVenta: &amp;62970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&amp;a39'</v>
      </c>
      <c r="B66" s="10"/>
      <c r="C66" s="10"/>
      <c r="D66" s="10"/>
      <c r="E66" s="10" t="str">
        <f>"  - '&amp;7• &amp;8Nivel: &amp;a"&amp;MAIN!$D$71+($C$2*MAIN!$I$27)&amp;"'"</f>
        <v xml:space="preserve">  - '&amp;7• &amp;8Nivel: &amp;a67'</v>
      </c>
      <c r="F66" s="10"/>
      <c r="G66" s="10"/>
      <c r="H66" s="10"/>
      <c r="I66" s="10" t="str">
        <f>"  - '&amp;7• &amp;8Nivel: &amp;a"&amp;MAIN!$E$71+($C$2*MAIN!$I$27)&amp;"'"</f>
        <v xml:space="preserve">  - '&amp;7• &amp;8Nivel: &amp;a153'</v>
      </c>
      <c r="J66" s="10"/>
      <c r="K66" s="10"/>
      <c r="L66" s="10"/>
      <c r="M66" s="10" t="str">
        <f>"  - '&amp;7• &amp;8Nivel: &amp;a"&amp;MAIN!$F$71+($C$2*MAIN!$I$27)&amp;"'"</f>
        <v xml:space="preserve">  - '&amp;7• &amp;8Nivel: &amp;a409'</v>
      </c>
      <c r="N66" s="10"/>
      <c r="O66" s="10"/>
      <c r="P66" s="10"/>
      <c r="Q66" s="10" t="str">
        <f>"  - '&amp;7• &amp;8Nivel: &amp;a"&amp;MAIN!$G$71+($C$2*MAIN!$I$27)&amp;"'"</f>
        <v xml:space="preserve">  - '&amp;7• &amp;8Nivel: &amp;a793'</v>
      </c>
      <c r="R66" s="10"/>
      <c r="S66" s="10"/>
      <c r="T66" s="10"/>
    </row>
    <row r="67" spans="1:20" x14ac:dyDescent="0.25">
      <c r="A67" s="12" t="str">
        <f>"  - '&amp;7• &amp;8"&amp;MAIN!$C$12&amp;" lvl: &amp;a"&amp;ROUNDUP((MAIN!$C$71+($C$2*MAIN!$I$27))/3,0)&amp;"'"</f>
        <v xml:space="preserve">  - '&amp;7• &amp;8Esencia lvl: &amp;a13'</v>
      </c>
      <c r="B67" s="12"/>
      <c r="C67" s="12"/>
      <c r="D67" s="12"/>
      <c r="E67" s="12" t="str">
        <f>"  - '&amp;7• &amp;8"&amp;MAIN!$C$12&amp;" lvl: &amp;a"&amp;ROUNDUP((MAIN!$D$71+($C$2*MAIN!$I$27))/3,0)&amp;"'"</f>
        <v xml:space="preserve">  - '&amp;7• &amp;8Esencia lvl: &amp;a23'</v>
      </c>
      <c r="F67" s="12"/>
      <c r="G67" s="12"/>
      <c r="H67" s="12"/>
      <c r="I67" s="12" t="str">
        <f>"  - '&amp;7• &amp;8"&amp;MAIN!$C$12&amp;" lvl: &amp;a"&amp;ROUNDUP((MAIN!$E$71+($C$2*MAIN!$I$27))/3,0)&amp;"'"</f>
        <v xml:space="preserve">  - '&amp;7• &amp;8Esencia lvl: &amp;a51'</v>
      </c>
      <c r="J67" s="12"/>
      <c r="K67" s="12"/>
      <c r="L67" s="12"/>
      <c r="M67" s="12" t="str">
        <f>"  - '&amp;7• &amp;8"&amp;MAIN!$C$12&amp;" lvl: &amp;a"&amp;ROUNDUP((MAIN!$F$71+($C$2*MAIN!$I$27))/3,0)&amp;"'"</f>
        <v xml:space="preserve">  - '&amp;7• &amp;8Esencia lvl: &amp;a137'</v>
      </c>
      <c r="N67" s="12"/>
      <c r="O67" s="12"/>
      <c r="P67" s="12"/>
      <c r="Q67" s="12" t="str">
        <f>"  - '&amp;7• &amp;8"&amp;MAIN!$C$12&amp;" lvl: &amp;a"&amp;ROUNDUP((MAIN!$G$71+($C$2*MAIN!$I$27))/3,0)&amp;"'"</f>
        <v xml:space="preserve">  - '&amp;7• &amp;8Esencia lvl: &amp;a265'</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&amp;a40'</v>
      </c>
      <c r="B71" s="10"/>
      <c r="C71" s="10"/>
      <c r="D71" s="10"/>
      <c r="E71" s="10" t="str">
        <f>"  - '&amp;4• &amp;f"&amp;MAIN!$C$9&amp;": &amp;a"&amp;MAIN!$D$66*$C$2&amp;"'"</f>
        <v xml:space="preserve">  - '&amp;4• &amp;fFuerza: &amp;a65'</v>
      </c>
      <c r="F71" s="10"/>
      <c r="G71" s="10"/>
      <c r="H71" s="10"/>
      <c r="I71" s="10" t="str">
        <f>"  - '&amp;4• &amp;f"&amp;MAIN!$C$9&amp;": &amp;a"&amp;MAIN!$E$66*$C$2&amp;"'"</f>
        <v xml:space="preserve">  - '&amp;4• &amp;fFuerza: &amp;a110'</v>
      </c>
      <c r="J71" s="10"/>
      <c r="K71" s="10"/>
      <c r="L71" s="10"/>
      <c r="M71" s="10" t="str">
        <f>"  - '&amp;4• &amp;f"&amp;MAIN!$C$9&amp;": &amp;a"&amp;MAIN!$F$66*$C$2&amp;"'"</f>
        <v xml:space="preserve">  - '&amp;4• &amp;fFuerza: &amp;a185'</v>
      </c>
      <c r="N71" s="10"/>
      <c r="O71" s="10"/>
      <c r="P71" s="10"/>
      <c r="Q71" s="10" t="str">
        <f>"  - '&amp;4• &amp;f"&amp;MAIN!$C$9&amp;": &amp;a"&amp;MAIN!$G$66*$C$2&amp;"'"</f>
        <v xml:space="preserve">  - '&amp;4• &amp;fFuerza: &amp;a310'</v>
      </c>
      <c r="R71" s="10"/>
      <c r="S71" s="10"/>
      <c r="T71" s="10"/>
    </row>
    <row r="72" spans="1:20" x14ac:dyDescent="0.25">
      <c r="A72" s="10" t="str">
        <f>"  - '&amp;4• &amp;f"&amp;MAIN!$C$8&amp;": &amp;a"&amp;MAIN!$C$66*$C$2&amp;"'"</f>
        <v xml:space="preserve">  - '&amp;4• &amp;fVitalidad: &amp;a40'</v>
      </c>
      <c r="B72" s="10"/>
      <c r="C72" s="10"/>
      <c r="D72" s="10"/>
      <c r="E72" s="10" t="str">
        <f>"  - '&amp;4• &amp;f"&amp;MAIN!$C$8&amp;": &amp;a"&amp;MAIN!$D$66*$C$2&amp;"'"</f>
        <v xml:space="preserve">  - '&amp;4• &amp;fVitalidad: &amp;a65'</v>
      </c>
      <c r="F72" s="10"/>
      <c r="G72" s="10"/>
      <c r="H72" s="10"/>
      <c r="I72" s="10" t="str">
        <f>"  - '&amp;4• &amp;f"&amp;MAIN!$C$8&amp;": &amp;a"&amp;MAIN!$E$66*$C$2&amp;"'"</f>
        <v xml:space="preserve">  - '&amp;4• &amp;fVitalidad: &amp;a110'</v>
      </c>
      <c r="J72" s="10"/>
      <c r="K72" s="10"/>
      <c r="L72" s="10"/>
      <c r="M72" s="10" t="str">
        <f>"  - '&amp;4• &amp;f"&amp;MAIN!$C$8&amp;": &amp;a"&amp;MAIN!$F$66*$C$2&amp;"'"</f>
        <v xml:space="preserve">  - '&amp;4• &amp;fVitalidad: &amp;a185'</v>
      </c>
      <c r="N72" s="10"/>
      <c r="O72" s="10"/>
      <c r="P72" s="10"/>
      <c r="Q72" s="10" t="str">
        <f>"  - '&amp;4• &amp;f"&amp;MAIN!$C$8&amp;": &amp;a"&amp;MAIN!$G$66*$C$2&amp;"'"</f>
        <v xml:space="preserve">  - '&amp;4• &amp;fVitalidad: &amp;a310'</v>
      </c>
      <c r="R72" s="10"/>
      <c r="S72" s="10"/>
      <c r="T72" s="10"/>
    </row>
    <row r="73" spans="1:20" x14ac:dyDescent="0.25">
      <c r="A73" s="10" t="str">
        <f>"  - '&amp;4• &amp;f"&amp;MAIN!$C$11&amp;": &amp;a"&amp;MAIN!$C$68*$C$2&amp;"'"</f>
        <v xml:space="preserve">  - '&amp;4• &amp;fInteligencia: &amp;a40'</v>
      </c>
      <c r="B73" s="10"/>
      <c r="C73" s="10"/>
      <c r="D73" s="10"/>
      <c r="E73" s="10" t="str">
        <f>"  - '&amp;4• &amp;f"&amp;MAIN!$C$11&amp;": &amp;a"&amp;MAIN!$D$68*$C$2&amp;"'"</f>
        <v xml:space="preserve">  - '&amp;4• &amp;fInteligencia: &amp;a65'</v>
      </c>
      <c r="F73" s="10"/>
      <c r="G73" s="10"/>
      <c r="H73" s="10"/>
      <c r="I73" s="10" t="str">
        <f>"  - '&amp;4• &amp;f"&amp;MAIN!$C$11&amp;": &amp;a"&amp;MAIN!$E$67*$C$2&amp;"'"</f>
        <v xml:space="preserve">  - '&amp;4• &amp;fInteligencia: &amp;a110'</v>
      </c>
      <c r="J73" s="10"/>
      <c r="K73" s="10"/>
      <c r="L73" s="10"/>
      <c r="M73" s="10" t="str">
        <f>"  - '&amp;4• &amp;f"&amp;MAIN!$C$11&amp;": &amp;a"&amp;MAIN!$F$68*$C$2&amp;"'"</f>
        <v xml:space="preserve">  - '&amp;4• &amp;fInteligencia: &amp;a185'</v>
      </c>
      <c r="N73" s="10"/>
      <c r="O73" s="10"/>
      <c r="P73" s="10"/>
      <c r="Q73" s="10" t="str">
        <f>"  - '&amp;4• &amp;f"&amp;MAIN!$C$11&amp;": &amp;a"&amp;MAIN!$G$68*$C$2&amp;"'"</f>
        <v xml:space="preserve">  - '&amp;4• &amp;fInteligencia: &amp;a310'</v>
      </c>
      <c r="R73" s="10"/>
      <c r="S73" s="10"/>
      <c r="T73" s="10"/>
    </row>
    <row r="74" spans="1:20" x14ac:dyDescent="0.25">
      <c r="A74" s="10" t="str">
        <f>"  - '&amp;4• &amp;f"&amp;MAIN!$C$10&amp;": &amp;a"&amp;MAIN!$C$67*$C$2&amp;"'"</f>
        <v xml:space="preserve">  - '&amp;4• &amp;fAgilidad: &amp;a40'</v>
      </c>
      <c r="B74" s="10"/>
      <c r="C74" s="10"/>
      <c r="D74" s="10"/>
      <c r="E74" s="10" t="str">
        <f>"  - '&amp;4• &amp;f"&amp;MAIN!$C$10&amp;": &amp;a"&amp;MAIN!$D$67*$C$2&amp;"'"</f>
        <v xml:space="preserve">  - '&amp;4• &amp;fAgilidad: &amp;a65'</v>
      </c>
      <c r="F74" s="10"/>
      <c r="G74" s="10"/>
      <c r="H74" s="10"/>
      <c r="I74" s="10" t="str">
        <f>"  - '&amp;4• &amp;f"&amp;MAIN!$C$10&amp;": &amp;a"&amp;MAIN!$E$67*$C$2&amp;"'"</f>
        <v xml:space="preserve">  - '&amp;4• &amp;fAgilidad: &amp;a110'</v>
      </c>
      <c r="J74" s="10"/>
      <c r="K74" s="10"/>
      <c r="L74" s="10"/>
      <c r="M74" s="10" t="str">
        <f>"  - '&amp;4• &amp;f"&amp;MAIN!$C$10&amp;": &amp;a"&amp;MAIN!$F$67*$C$2&amp;"'"</f>
        <v xml:space="preserve">  - '&amp;4• &amp;fAgilidad: &amp;a185'</v>
      </c>
      <c r="N74" s="10"/>
      <c r="O74" s="10"/>
      <c r="P74" s="10"/>
      <c r="Q74" s="10" t="str">
        <f>"  - '&amp;4• &amp;f"&amp;MAIN!$C$10&amp;": &amp;a"&amp;MAIN!$G$67*$C$2&amp;"'"</f>
        <v xml:space="preserve">  - '&amp;4• &amp;fAgilidad: &amp;a310'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93"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Z189"/>
  <sheetViews>
    <sheetView topLeftCell="A64"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51" t="s">
        <v>19</v>
      </c>
      <c r="B1" s="351"/>
      <c r="C1" s="351" t="s">
        <v>70</v>
      </c>
      <c r="D1" s="351"/>
      <c r="E1" s="351" t="s">
        <v>80</v>
      </c>
      <c r="F1" s="351"/>
      <c r="G1" s="351" t="s">
        <v>89</v>
      </c>
      <c r="H1" s="351"/>
      <c r="I1" s="351" t="s">
        <v>1197</v>
      </c>
      <c r="J1" s="351"/>
      <c r="K1" s="351" t="s">
        <v>1199</v>
      </c>
      <c r="L1" s="351"/>
    </row>
    <row r="2" spans="1:26" x14ac:dyDescent="0.25">
      <c r="A2" s="301" t="s">
        <v>102</v>
      </c>
      <c r="B2" s="301"/>
      <c r="C2" s="301">
        <f>'ECONOMIA &amp; PROFESIONES'!$P$3</f>
        <v>5</v>
      </c>
      <c r="D2" s="301"/>
      <c r="E2" s="301" t="s">
        <v>81</v>
      </c>
      <c r="F2" s="301"/>
      <c r="G2" s="301" t="s">
        <v>103</v>
      </c>
      <c r="H2" s="301"/>
      <c r="I2" s="301" t="str">
        <f>MAIN!$J$53</f>
        <v>Armor</v>
      </c>
      <c r="J2" s="301"/>
      <c r="K2" s="301">
        <f>MAIN!$L$53</f>
        <v>1</v>
      </c>
      <c r="L2" s="301"/>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"+"&amp;ROUND(MAIN!$C$77*$C$2*$K$2/5*$U$4,0)&amp;" "&amp;$I$2</f>
        <v>+7 Armor</v>
      </c>
      <c r="W4" s="2" t="str">
        <f>"+"&amp;ROUND(MAIN!$D$77*$C$2*$K$2/5*$U$4,0)&amp;" "&amp;$I$2</f>
        <v>+11 Armor</v>
      </c>
      <c r="X4" s="2" t="str">
        <f>"+"&amp;ROUND(MAIN!$E$77*$C$2*$K$2/5*$U$4,0)&amp;" "&amp;$I$2</f>
        <v>+18 Armor</v>
      </c>
      <c r="Y4" s="2" t="str">
        <f>"+"&amp;ROUND(MAIN!$F$77*$C$2*$K$2/5*$U$4,0)&amp;" "&amp;$I$2</f>
        <v>+30 Armor</v>
      </c>
      <c r="Z4" s="2" t="str">
        <f>"+"&amp;ROUND(MAIN!$G$77*$C$2*$K$2/5*$U$4,0)&amp;" "&amp;$I$2</f>
        <v>+51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"+"&amp;ROUND(MAIN!$C$77*$C$2*$K$2/5*$U$5,0)&amp;" "&amp;$I$2</f>
        <v>+14 Armor</v>
      </c>
      <c r="W5" s="2" t="str">
        <f>"+"&amp;ROUND(MAIN!$D$77*$C$2*$K$2/5*$U$5,0)&amp;" "&amp;$I$2</f>
        <v>+22 Armor</v>
      </c>
      <c r="X5" s="2" t="str">
        <f>"+"&amp;ROUND(MAIN!$E$77*$C$2*$K$2/5*$U$5,0)&amp;" "&amp;$I$2</f>
        <v>+36 Armor</v>
      </c>
      <c r="Y5" s="2" t="str">
        <f>"+"&amp;ROUND(MAIN!$F$77*$C$2*$K$2/5*$U$5,0)&amp;" "&amp;$I$2</f>
        <v>+60 Armor</v>
      </c>
      <c r="Z5" s="2" t="str">
        <f>"+"&amp;ROUND(MAIN!$G$77*$C$2*$K$2/5*$U$5,0)&amp;" "&amp;$I$2</f>
        <v>+102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+21 Armor</v>
      </c>
      <c r="W6" s="2" t="str">
        <f>"+"&amp;ROUND(MAIN!$D$77*$C$2*$K$2/5*$U$6,0)&amp;" "&amp;$I$2</f>
        <v>+33 Armor</v>
      </c>
      <c r="X6" s="2" t="str">
        <f>"+"&amp;ROUND(MAIN!$E$77*$C$2*$K$2/5*$U$6,0)&amp;" "&amp;$I$2</f>
        <v>+54 Armor</v>
      </c>
      <c r="Y6" s="2" t="str">
        <f>"+"&amp;ROUND(MAIN!$F$77*$C$2*$K$2/5*$U$6,0)&amp;" "&amp;$I$2</f>
        <v>+90 Armor</v>
      </c>
      <c r="Z6" s="2" t="str">
        <f>"+"&amp;ROUND(MAIN!$G$77*$C$2*$K$2/5*$U$6,0)&amp;" "&amp;$I$2</f>
        <v>+153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+28 Armor</v>
      </c>
      <c r="W7" s="2" t="str">
        <f>"+"&amp;ROUND(MAIN!$D$77*$C$2*$K$2/5*$U$7,0)&amp;" "&amp;$I$2</f>
        <v>+44 Armor</v>
      </c>
      <c r="X7" s="2" t="str">
        <f>"+"&amp;ROUND(MAIN!$E$77*$C$2*$K$2/5*$U$7,0)&amp;" "&amp;$I$2</f>
        <v>+72 Armor</v>
      </c>
      <c r="Y7" s="2" t="str">
        <f>"+"&amp;ROUND(MAIN!$F$77*$C$2*$K$2/5*$U$7,0)&amp;" "&amp;$I$2</f>
        <v>+120 Armor</v>
      </c>
      <c r="Z7" s="2" t="str">
        <f>"+"&amp;ROUND(MAIN!$G$77*$C$2*$K$2/5*$U$7,0)&amp;" "&amp;$I$2</f>
        <v>+204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+35 Armor</v>
      </c>
      <c r="W8" s="2" t="str">
        <f>"+"&amp;ROUND(MAIN!$D$77*$C$2*$K$2/5*$U$8,0)&amp;" "&amp;$I$2</f>
        <v>+55 Armor</v>
      </c>
      <c r="X8" s="2" t="str">
        <f>"+"&amp;ROUND(MAIN!$E$77*$C$2*$K$2/5*$U$8,0)&amp;" "&amp;$I$2</f>
        <v>+90 Armor</v>
      </c>
      <c r="Y8" s="2" t="str">
        <f>"+"&amp;ROUND(MAIN!$F$77*$C$2*$K$2/5*$U$8,0)&amp;" "&amp;$I$2</f>
        <v>+150 Armor</v>
      </c>
      <c r="Z8" s="2" t="str">
        <f>"+"&amp;ROUND(MAIN!$G$77*$C$2*$K$2/5*$U$8,0)&amp;" "&amp;$I$2</f>
        <v>+255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&amp;6"&amp;(MAIN!$F$4+(MAIN!$E$18+MAIN!$E$19)/2*MAIN!$B$9+(MAIN!$E$20+MAIN!$E$21)/2*MAIN!$B$8+(MAIN!$E$80*MAIN!$B$11)+($C$2*MAIN!$B$10))/10&amp;" &amp;aAlmakos'"</f>
        <v xml:space="preserve">  - '&amp;aVenta: &amp;6542.5 &amp;aAlmakos'</v>
      </c>
      <c r="B62" s="20"/>
      <c r="C62" s="20"/>
      <c r="D62" s="20"/>
      <c r="E62" s="20" t="str">
        <f>"  - '&amp;aVenta: &amp;6"&amp;(MAIN!$G$4+(MAIN!$E$18+MAIN!$E$19)/2*MAIN!$B$9+(MAIN!$E$20+MAIN!$E$21)/2*MAIN!$B$8+(MAIN!$E$80*MAIN!$B$11)+($C$2*MAIN!$B$10))/10&amp;" &amp;aAlmakos'"</f>
        <v xml:space="preserve">  - '&amp;aVenta: &amp;6682.5 &amp;aAlmakos'</v>
      </c>
      <c r="F62" s="20"/>
      <c r="G62" s="20"/>
      <c r="H62" s="20"/>
      <c r="I62" s="20" t="str">
        <f>"  - '&amp;aVenta: &amp;6"&amp;(MAIN!$H$4+(MAIN!$E$18+MAIN!$E$19)/2*MAIN!$B$9+(MAIN!$E$20+MAIN!$E$21)/2*MAIN!$B$8+(MAIN!$E$80*MAIN!$B$11)+($C$2*MAIN!$B$10))/10&amp;" &amp;aAlmakos'"</f>
        <v xml:space="preserve">  - '&amp;aVenta: &amp;6962.5 &amp;aAlmakos'</v>
      </c>
      <c r="J62" s="20"/>
      <c r="K62" s="20"/>
      <c r="L62" s="20"/>
      <c r="M62" s="20" t="str">
        <f>"  - '&amp;aVenta: &amp;6"&amp;(MAIN!$I$4+(MAIN!$E$18+MAIN!$E$19)/2*MAIN!$B$9+(MAIN!$E$20+MAIN!$E$21)/2*MAIN!$B$8+(MAIN!$E$80*MAIN!$B$11)+($C$2*MAIN!$B$10))/10&amp;" &amp;aAlmakos'"</f>
        <v xml:space="preserve">  - '&amp;aVenta: &amp;61522.5 &amp;aAlmakos'</v>
      </c>
      <c r="N62" s="20"/>
      <c r="O62" s="20"/>
      <c r="P62" s="20"/>
      <c r="Q62" s="20" t="str">
        <f>"  - '&amp;aVenta: &amp;6"&amp;(MAIN!$J$4+(MAIN!$E$18+MAIN!$E$19)/2*MAIN!$B$9+(MAIN!$E$20+MAIN!$E$21)/2*MAIN!$B$8+(MAIN!$E$80*MAIN!$B$11)+($C$2*MAIN!$B$10))/10&amp;" &amp;aAlmakos'"</f>
        <v xml:space="preserve">  - '&amp;aVenta: &amp;62642.5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&amp;a37'</v>
      </c>
      <c r="B66" s="10"/>
      <c r="C66" s="10"/>
      <c r="D66" s="10"/>
      <c r="E66" s="10" t="str">
        <f>"  - '&amp;7• &amp;8Nivel: &amp;a"&amp;MAIN!$D$82+($C$2*MAIN!$I$27)&amp;"'"</f>
        <v xml:space="preserve">  - '&amp;7• &amp;8Nivel: &amp;a62'</v>
      </c>
      <c r="F66" s="10"/>
      <c r="G66" s="10"/>
      <c r="H66" s="10"/>
      <c r="I66" s="10" t="str">
        <f>"  - '&amp;7• &amp;8Nivel: &amp;a"&amp;MAIN!$E$82+($C$2*MAIN!$I$27)&amp;"'"</f>
        <v xml:space="preserve">  - '&amp;7• &amp;8Nivel: &amp;a137'</v>
      </c>
      <c r="J66" s="10"/>
      <c r="K66" s="10"/>
      <c r="L66" s="10"/>
      <c r="M66" s="10" t="str">
        <f>"  - '&amp;7• &amp;8Nivel: &amp;a"&amp;MAIN!$F$82+($C$2*MAIN!$I$27)&amp;"'"</f>
        <v xml:space="preserve">  - '&amp;7• &amp;8Nivel: &amp;a361'</v>
      </c>
      <c r="N66" s="10"/>
      <c r="O66" s="10"/>
      <c r="P66" s="10"/>
      <c r="Q66" s="10" t="str">
        <f>"  - '&amp;7• &amp;8Nivel: &amp;a"&amp;MAIN!$G$82+($C$2*MAIN!$I$27)&amp;"'"</f>
        <v xml:space="preserve">  - '&amp;7• &amp;8Nivel: &amp;a697'</v>
      </c>
      <c r="R66" s="10"/>
      <c r="S66" s="10"/>
      <c r="T66" s="10"/>
    </row>
    <row r="67" spans="1:20" x14ac:dyDescent="0.25">
      <c r="A67" s="12" t="str">
        <f>"  - '&amp;7• &amp;8"&amp;MAIN!$C$12&amp;" lvl: &amp;a"&amp;ROUNDUP((MAIN!$C$82+($C$2*MAIN!$I$27))/3,0)&amp;"'"</f>
        <v xml:space="preserve">  - '&amp;7• &amp;8Esencia lvl: &amp;a13'</v>
      </c>
      <c r="B67" s="12"/>
      <c r="C67" s="12"/>
      <c r="D67" s="12"/>
      <c r="E67" s="12" t="str">
        <f>"  - '&amp;7• &amp;8"&amp;MAIN!$C$12&amp;" lvl: &amp;a"&amp;ROUNDUP((MAIN!$D$82+($C$2*MAIN!$I$27))/3,0)&amp;"'"</f>
        <v xml:space="preserve">  - '&amp;7• &amp;8Esencia lvl: &amp;a21'</v>
      </c>
      <c r="F67" s="12"/>
      <c r="G67" s="12"/>
      <c r="H67" s="12"/>
      <c r="I67" s="12" t="str">
        <f>"  - '&amp;7• &amp;8"&amp;MAIN!$C$12&amp;" lvl: &amp;a"&amp;ROUNDUP((MAIN!$E$82+($C$2*MAIN!$I$27))/3,0)&amp;"'"</f>
        <v xml:space="preserve">  - '&amp;7• &amp;8Esencia lvl: &amp;a46'</v>
      </c>
      <c r="J67" s="12"/>
      <c r="K67" s="12"/>
      <c r="L67" s="12"/>
      <c r="M67" s="12" t="str">
        <f>"  - '&amp;7• &amp;8"&amp;MAIN!$C$12&amp;" lvl: &amp;a"&amp;ROUNDUP((MAIN!$F$82+($C$2*MAIN!$I$27))/3,0)&amp;"'"</f>
        <v xml:space="preserve">  - '&amp;7• &amp;8Esencia lvl: &amp;a121'</v>
      </c>
      <c r="N67" s="12"/>
      <c r="O67" s="12"/>
      <c r="P67" s="12"/>
      <c r="Q67" s="12" t="str">
        <f>"  - '&amp;7• &amp;8"&amp;MAIN!$C$12&amp;" lvl: &amp;a"&amp;ROUNDUP((MAIN!$G$82+($C$2*MAIN!$I$27))/3,0)&amp;"'"</f>
        <v xml:space="preserve">  - '&amp;7• &amp;8Esencia lvl: &amp;a233'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&amp;a35'</v>
      </c>
      <c r="B71" s="10"/>
      <c r="C71" s="10"/>
      <c r="D71" s="10"/>
      <c r="E71" s="10" t="str">
        <f>"  - '&amp;4• &amp;f"&amp;MAIN!$C$9&amp;": &amp;a"&amp;MAIN!$D$77*$C$2&amp;"'"</f>
        <v xml:space="preserve">  - '&amp;4• &amp;fFuerza: &amp;a55'</v>
      </c>
      <c r="F71" s="10"/>
      <c r="G71" s="10"/>
      <c r="H71" s="10"/>
      <c r="I71" s="10" t="str">
        <f>"  - '&amp;4• &amp;f"&amp;MAIN!$C$9&amp;": &amp;a"&amp;MAIN!$E$77*$C$2&amp;"'"</f>
        <v xml:space="preserve">  - '&amp;4• &amp;fFuerza: &amp;a90'</v>
      </c>
      <c r="J71" s="10"/>
      <c r="K71" s="10"/>
      <c r="L71" s="10"/>
      <c r="M71" s="10" t="str">
        <f>"  - '&amp;4• &amp;f"&amp;MAIN!$C$9&amp;": &amp;a"&amp;MAIN!$F$77*$C$2&amp;"'"</f>
        <v xml:space="preserve">  - '&amp;4• &amp;fFuerza: &amp;a150'</v>
      </c>
      <c r="N71" s="10"/>
      <c r="O71" s="10"/>
      <c r="P71" s="10"/>
      <c r="Q71" s="10" t="str">
        <f>"  - '&amp;4• &amp;f"&amp;MAIN!$C$9&amp;": &amp;a"&amp;MAIN!$G$77*$C$2&amp;"'"</f>
        <v xml:space="preserve">  - '&amp;4• &amp;fFuerza: &amp;a255'</v>
      </c>
      <c r="R71" s="10"/>
      <c r="S71" s="10"/>
      <c r="T71" s="10"/>
    </row>
    <row r="72" spans="1:20" x14ac:dyDescent="0.25">
      <c r="A72" s="10" t="str">
        <f>"  - '&amp;4• &amp;f"&amp;MAIN!$C$8&amp;": &amp;a"&amp;MAIN!$C$77*$C$2&amp;"'"</f>
        <v xml:space="preserve">  - '&amp;4• &amp;fVitalidad: &amp;a35'</v>
      </c>
      <c r="B72" s="10"/>
      <c r="C72" s="10"/>
      <c r="D72" s="10"/>
      <c r="E72" s="10" t="str">
        <f>"  - '&amp;4• &amp;f"&amp;MAIN!$C$8&amp;": &amp;a"&amp;MAIN!$D$77*$C$2&amp;"'"</f>
        <v xml:space="preserve">  - '&amp;4• &amp;fVitalidad: &amp;a55'</v>
      </c>
      <c r="F72" s="10"/>
      <c r="G72" s="10"/>
      <c r="H72" s="10"/>
      <c r="I72" s="10" t="str">
        <f>"  - '&amp;4• &amp;f"&amp;MAIN!$C$8&amp;": &amp;a"&amp;MAIN!$E$77*$C$2&amp;"'"</f>
        <v xml:space="preserve">  - '&amp;4• &amp;fVitalidad: &amp;a90'</v>
      </c>
      <c r="J72" s="10"/>
      <c r="K72" s="10"/>
      <c r="L72" s="10"/>
      <c r="M72" s="10" t="str">
        <f>"  - '&amp;4• &amp;f"&amp;MAIN!$C$8&amp;": &amp;a"&amp;MAIN!$F$77*$C$2&amp;"'"</f>
        <v xml:space="preserve">  - '&amp;4• &amp;fVitalidad: &amp;a150'</v>
      </c>
      <c r="N72" s="10"/>
      <c r="O72" s="10"/>
      <c r="P72" s="10"/>
      <c r="Q72" s="10" t="str">
        <f>"  - '&amp;4• &amp;f"&amp;MAIN!$C$8&amp;": &amp;a"&amp;MAIN!$G$77*$C$2&amp;"'"</f>
        <v xml:space="preserve">  - '&amp;4• &amp;fVitalidad: &amp;a255'</v>
      </c>
      <c r="R72" s="10"/>
      <c r="S72" s="10"/>
      <c r="T72" s="10"/>
    </row>
    <row r="73" spans="1:20" x14ac:dyDescent="0.25">
      <c r="A73" s="10" t="str">
        <f>"  - '&amp;4• &amp;f"&amp;MAIN!$C$11&amp;": &amp;a"&amp;MAIN!$C$79*$C$2&amp;"'"</f>
        <v xml:space="preserve">  - '&amp;4• &amp;fInteligencia: &amp;a35'</v>
      </c>
      <c r="B73" s="10"/>
      <c r="C73" s="10"/>
      <c r="D73" s="10"/>
      <c r="E73" s="10" t="str">
        <f>"  - '&amp;4• &amp;f"&amp;MAIN!$C$11&amp;": &amp;a"&amp;MAIN!$D$79*$C$2&amp;"'"</f>
        <v xml:space="preserve">  - '&amp;4• &amp;fInteligencia: &amp;a55'</v>
      </c>
      <c r="F73" s="10"/>
      <c r="G73" s="10"/>
      <c r="H73" s="10"/>
      <c r="I73" s="10" t="str">
        <f>"  - '&amp;4• &amp;f"&amp;MAIN!$C$11&amp;": &amp;a"&amp;MAIN!$E$79*$C$2&amp;"'"</f>
        <v xml:space="preserve">  - '&amp;4• &amp;fInteligencia: &amp;a90'</v>
      </c>
      <c r="J73" s="10"/>
      <c r="K73" s="10"/>
      <c r="L73" s="10"/>
      <c r="M73" s="10" t="str">
        <f>"  - '&amp;4• &amp;f"&amp;MAIN!$C$11&amp;": &amp;a"&amp;MAIN!$F$79*$C$2&amp;"'"</f>
        <v xml:space="preserve">  - '&amp;4• &amp;fInteligencia: &amp;a150'</v>
      </c>
      <c r="N73" s="10"/>
      <c r="O73" s="10"/>
      <c r="P73" s="10"/>
      <c r="Q73" s="10" t="str">
        <f>"  - '&amp;4• &amp;f"&amp;MAIN!$C$11&amp;": &amp;a"&amp;MAIN!$G$79*$C$2&amp;"'"</f>
        <v xml:space="preserve">  - '&amp;4• &amp;fInteligencia: &amp;a255'</v>
      </c>
      <c r="R73" s="10"/>
      <c r="S73" s="10"/>
      <c r="T73" s="10"/>
    </row>
    <row r="74" spans="1:20" x14ac:dyDescent="0.25">
      <c r="A74" s="10" t="str">
        <f>"  - '&amp;4• &amp;f"&amp;MAIN!$C$10&amp;": &amp;a"&amp;MAIN!$C$78*$C$2&amp;"'"</f>
        <v xml:space="preserve">  - '&amp;4• &amp;fAgilidad: &amp;a35'</v>
      </c>
      <c r="B74" s="10"/>
      <c r="C74" s="10"/>
      <c r="D74" s="10"/>
      <c r="E74" s="10" t="str">
        <f>"  - '&amp;4• &amp;f"&amp;MAIN!$C$10&amp;": &amp;a"&amp;MAIN!$D$78*$C$2&amp;"'"</f>
        <v xml:space="preserve">  - '&amp;4• &amp;fAgilidad: &amp;a55'</v>
      </c>
      <c r="F74" s="10"/>
      <c r="G74" s="10"/>
      <c r="H74" s="10"/>
      <c r="I74" s="10" t="str">
        <f>"  - '&amp;4• &amp;f"&amp;MAIN!$C$10&amp;": &amp;a"&amp;MAIN!$E$78*$C$2&amp;"'"</f>
        <v xml:space="preserve">  - '&amp;4• &amp;fAgilidad: &amp;a90'</v>
      </c>
      <c r="J74" s="10"/>
      <c r="K74" s="10"/>
      <c r="L74" s="10"/>
      <c r="M74" s="10" t="str">
        <f>"  - '&amp;4• &amp;f"&amp;MAIN!$C$10&amp;": &amp;a"&amp;MAIN!$F$78*$C$2&amp;"'"</f>
        <v xml:space="preserve">  - '&amp;4• &amp;fAgilidad: &amp;a150'</v>
      </c>
      <c r="N74" s="10"/>
      <c r="O74" s="10"/>
      <c r="P74" s="10"/>
      <c r="Q74" s="10" t="str">
        <f>"  - '&amp;4• &amp;f"&amp;MAIN!$C$10&amp;": &amp;a"&amp;MAIN!$G$78*$C$2&amp;"'"</f>
        <v xml:space="preserve">  - '&amp;4• &amp;fAgilidad: &amp;a255'</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93"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51" t="s">
        <v>19</v>
      </c>
      <c r="B1" s="351"/>
      <c r="C1" s="351" t="s">
        <v>70</v>
      </c>
      <c r="D1" s="351"/>
      <c r="E1" s="351" t="s">
        <v>80</v>
      </c>
      <c r="F1" s="351"/>
      <c r="G1" s="351" t="s">
        <v>89</v>
      </c>
      <c r="H1" s="351"/>
      <c r="I1" s="351" t="s">
        <v>1197</v>
      </c>
      <c r="J1" s="351"/>
      <c r="K1" s="351" t="s">
        <v>1199</v>
      </c>
      <c r="L1" s="351"/>
    </row>
    <row r="2" spans="1:26" x14ac:dyDescent="0.25">
      <c r="A2" s="301" t="s">
        <v>102</v>
      </c>
      <c r="B2" s="301"/>
      <c r="C2" s="301">
        <f>'ECONOMIA &amp; PROFESIONES'!$P$3</f>
        <v>5</v>
      </c>
      <c r="D2" s="301"/>
      <c r="E2" s="301" t="s">
        <v>81</v>
      </c>
      <c r="F2" s="301"/>
      <c r="G2" s="301" t="s">
        <v>103</v>
      </c>
      <c r="H2" s="301"/>
      <c r="I2" s="301" t="str">
        <f>MAIN!$J$53</f>
        <v>Armor</v>
      </c>
      <c r="J2" s="301"/>
      <c r="K2" s="301">
        <f>MAIN!$L$53</f>
        <v>1</v>
      </c>
      <c r="L2" s="301"/>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"+"&amp;ROUND(MAIN!$C$88*$C$2*$K$2/5*$U$4,0)&amp;" "&amp;$I$2</f>
        <v>+4 Armor</v>
      </c>
      <c r="W4" s="2" t="str">
        <f>"+"&amp;ROUND(MAIN!$D$88*$C$2*$K$2/5*$U$4,0)&amp;" "&amp;$I$2</f>
        <v>+6 Armor</v>
      </c>
      <c r="X4" s="2" t="str">
        <f>"+"&amp;ROUND(MAIN!$E$88*$C$2*$K$2/5*$U$4,0)&amp;" "&amp;$I$2</f>
        <v>+10 Armor</v>
      </c>
      <c r="Y4" s="2" t="str">
        <f>"+"&amp;ROUND(MAIN!$F$88*$C$2*$K$2/5*$U$4,0)&amp;" "&amp;$I$2</f>
        <v>+17 Armor</v>
      </c>
      <c r="Z4" s="2" t="str">
        <f>"+"&amp;ROUND(MAIN!$G$88*$C$2*$K$2/5*$U$4,0)&amp;" "&amp;$I$2</f>
        <v>+28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"+"&amp;ROUND(MAIN!$C$88*$C$2*$K$2/5*$U$5,0)&amp;" "&amp;$I$2</f>
        <v>+8 Armor</v>
      </c>
      <c r="W5" s="2" t="str">
        <f>"+"&amp;ROUND(MAIN!$D$88*$C$2*$K$2/5*$U$5,0)&amp;" "&amp;$I$2</f>
        <v>+12 Armor</v>
      </c>
      <c r="X5" s="2" t="str">
        <f>"+"&amp;ROUND(MAIN!$E$88*$C$2*$K$2/5*$U$5,0)&amp;" "&amp;$I$2</f>
        <v>+20 Armor</v>
      </c>
      <c r="Y5" s="2" t="str">
        <f>"+"&amp;ROUND(MAIN!$F$88*$C$2*$K$2/5*$U$5,0)&amp;" "&amp;$I$2</f>
        <v>+34 Armor</v>
      </c>
      <c r="Z5" s="2" t="str">
        <f>"+"&amp;ROUND(MAIN!$G$88*$C$2*$K$2/5*$U$5,0)&amp;" "&amp;$I$2</f>
        <v>+56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+12 Armor</v>
      </c>
      <c r="W6" s="2" t="str">
        <f>"+"&amp;ROUND(MAIN!$D$88*$C$2*$K$2/5*$U$6,0)&amp;" "&amp;$I$2</f>
        <v>+18 Armor</v>
      </c>
      <c r="X6" s="2" t="str">
        <f>"+"&amp;ROUND(MAIN!$E$88*$C$2*$K$2/5*$U$6,0)&amp;" "&amp;$I$2</f>
        <v>+30 Armor</v>
      </c>
      <c r="Y6" s="2" t="str">
        <f>"+"&amp;ROUND(MAIN!$F$88*$C$2*$K$2/5*$U$6,0)&amp;" "&amp;$I$2</f>
        <v>+51 Armor</v>
      </c>
      <c r="Z6" s="2" t="str">
        <f>"+"&amp;ROUND(MAIN!$G$88*$C$2*$K$2/5*$U$6,0)&amp;" "&amp;$I$2</f>
        <v>+84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+16 Armor</v>
      </c>
      <c r="W7" s="2" t="str">
        <f>"+"&amp;ROUND(MAIN!$D$88*$C$2*$K$2/5*$U$7,0)&amp;" "&amp;$I$2</f>
        <v>+24 Armor</v>
      </c>
      <c r="X7" s="2" t="str">
        <f>"+"&amp;ROUND(MAIN!$E$88*$C$2*$K$2/5*$U$7,0)&amp;" "&amp;$I$2</f>
        <v>+40 Armor</v>
      </c>
      <c r="Y7" s="2" t="str">
        <f>"+"&amp;ROUND(MAIN!$F$88*$C$2*$K$2/5*$U$7,0)&amp;" "&amp;$I$2</f>
        <v>+68 Armor</v>
      </c>
      <c r="Z7" s="2" t="str">
        <f>"+"&amp;ROUND(MAIN!$G$88*$C$2*$K$2/5*$U$7,0)&amp;" "&amp;$I$2</f>
        <v>+112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+20 Armor</v>
      </c>
      <c r="W8" s="2" t="str">
        <f>"+"&amp;ROUND(MAIN!$D$88*$C$2*$K$2/5*$U$8,0)&amp;" "&amp;$I$2</f>
        <v>+30 Armor</v>
      </c>
      <c r="X8" s="2" t="str">
        <f>"+"&amp;ROUND(MAIN!$E$88*$C$2*$K$2/5*$U$8,0)&amp;" "&amp;$I$2</f>
        <v>+50 Armor</v>
      </c>
      <c r="Y8" s="2" t="str">
        <f>"+"&amp;ROUND(MAIN!$F$88*$C$2*$K$2/5*$U$8,0)&amp;" "&amp;$I$2</f>
        <v>+85 Armor</v>
      </c>
      <c r="Z8" s="2" t="str">
        <f>"+"&amp;ROUND(MAIN!$G$88*$C$2*$K$2/5*$U$8,0)&amp;" "&amp;$I$2</f>
        <v>+140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ht="15" customHeight="1"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&amp;6"&amp;(MAIN!$F$5+(MAIN!$E$18+MAIN!$E$19)/2*MAIN!$B$9+(MAIN!$E$20+MAIN!$E$21)/2*MAIN!$B$8+(MAIN!$E$91*MAIN!$B$11)+($C$2*MAIN!$B$10))/10&amp;" &amp;aAlmakos'"</f>
        <v xml:space="preserve">  - '&amp;aVenta: &amp;6460 &amp;aAlmakos'</v>
      </c>
      <c r="B62" s="20"/>
      <c r="C62" s="20"/>
      <c r="D62" s="20"/>
      <c r="E62" s="20" t="str">
        <f>"  - '&amp;aVenta: &amp;6"&amp;(MAIN!$G$5+(MAIN!$E$18+MAIN!$E$19)/2*MAIN!$B$9+(MAIN!$E$20+MAIN!$E$21)/2*MAIN!$B$8+(MAIN!$E$91*MAIN!$B$11)+($C$2*MAIN!$B$10))/10&amp;" &amp;aAlmakos'"</f>
        <v xml:space="preserve">  - '&amp;aVenta: &amp;6540 &amp;aAlmakos'</v>
      </c>
      <c r="F62" s="20"/>
      <c r="G62" s="20"/>
      <c r="H62" s="20"/>
      <c r="I62" s="20" t="str">
        <f>"  - '&amp;aVenta: &amp;6"&amp;(MAIN!$H$5+(MAIN!$E$18+MAIN!$E$19)/2*MAIN!$B$9+(MAIN!$E$20+MAIN!$E$21)/2*MAIN!$B$8+(MAIN!$E$91*MAIN!$B$11)+($C$2*MAIN!$B$10))/10&amp;" &amp;aAlmakos'"</f>
        <v xml:space="preserve">  - '&amp;aVenta: &amp;6700 &amp;aAlmakos'</v>
      </c>
      <c r="J62" s="20"/>
      <c r="K62" s="20"/>
      <c r="L62" s="20"/>
      <c r="M62" s="20" t="str">
        <f>"  - '&amp;aVenta: &amp;6"&amp;(MAIN!$I$5+(MAIN!$E$18+MAIN!$E$19)/2*MAIN!$B$9+(MAIN!$E$20+MAIN!$E$21)/2*MAIN!$B$8+(MAIN!$E$91*MAIN!$B$11)+($C$2*MAIN!$B$10))/10&amp;" &amp;aAlmakos'"</f>
        <v xml:space="preserve">  - '&amp;aVenta: &amp;61020 &amp;aAlmakos'</v>
      </c>
      <c r="N62" s="20"/>
      <c r="O62" s="20"/>
      <c r="P62" s="20"/>
      <c r="Q62" s="20" t="str">
        <f>"  - '&amp;aVenta: &amp;6"&amp;(MAIN!$J$5+(MAIN!$E$18+MAIN!$E$19)/2*MAIN!$B$9+(MAIN!$E$20+MAIN!$E$21)/2*MAIN!$B$8+(MAIN!$E$91*MAIN!$B$11)+($C$2*MAIN!$B$10))/10&amp;" &amp;aAlmakos'"</f>
        <v xml:space="preserve">  - '&amp;aVenta: &amp;61660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&amp;a32'</v>
      </c>
      <c r="B66" s="10"/>
      <c r="C66" s="10"/>
      <c r="D66" s="10"/>
      <c r="E66" s="10" t="str">
        <f>"  - '&amp;7• &amp;8Nivel: &amp;a"&amp;MAIN!$D$93+($C$2*MAIN!$I$27)&amp;"'"</f>
        <v xml:space="preserve">  - '&amp;7• &amp;8Nivel: &amp;a46'</v>
      </c>
      <c r="F66" s="10"/>
      <c r="G66" s="10"/>
      <c r="H66" s="10"/>
      <c r="I66" s="10" t="str">
        <f>"  - '&amp;7• &amp;8Nivel: &amp;a"&amp;MAIN!$E$93+($C$2*MAIN!$I$27)&amp;"'"</f>
        <v xml:space="preserve">  - '&amp;7• &amp;8Nivel: &amp;a89'</v>
      </c>
      <c r="J66" s="10"/>
      <c r="K66" s="10"/>
      <c r="L66" s="10"/>
      <c r="M66" s="10" t="str">
        <f>"  - '&amp;7• &amp;8Nivel: &amp;a"&amp;MAIN!$F$93+($C$2*MAIN!$I$27)&amp;"'"</f>
        <v xml:space="preserve">  - '&amp;7• &amp;8Nivel: &amp;a217'</v>
      </c>
      <c r="N66" s="10"/>
      <c r="O66" s="10"/>
      <c r="P66" s="10"/>
      <c r="Q66" s="10" t="str">
        <f>"  - '&amp;7• &amp;8Nivel: &amp;a"&amp;MAIN!$G$93+($C$2*MAIN!$I$27)&amp;"'"</f>
        <v xml:space="preserve">  - '&amp;7• &amp;8Nivel: &amp;a409'</v>
      </c>
      <c r="R66" s="10"/>
      <c r="S66" s="10"/>
      <c r="T66" s="10"/>
    </row>
    <row r="67" spans="1:20" x14ac:dyDescent="0.25">
      <c r="A67" s="12" t="str">
        <f>"  - '&amp;7• &amp;8"&amp;MAIN!$C$12&amp;" lvl: &amp;a"&amp;ROUNDUP((MAIN!$C$93+($C$2*MAIN!$I$27))/3,0)&amp;"'"</f>
        <v xml:space="preserve">  - '&amp;7• &amp;8Esencia lvl: &amp;a11'</v>
      </c>
      <c r="B67" s="12"/>
      <c r="C67" s="12"/>
      <c r="D67" s="12"/>
      <c r="E67" s="12" t="str">
        <f>"  - '&amp;7• &amp;8"&amp;MAIN!$C$12&amp;" lvl: &amp;a"&amp;ROUNDUP((MAIN!$D$93+($C$2*MAIN!$I$27))/3,0)&amp;"'"</f>
        <v xml:space="preserve">  - '&amp;7• &amp;8Esencia lvl: &amp;a16'</v>
      </c>
      <c r="F67" s="12"/>
      <c r="G67" s="12"/>
      <c r="H67" s="12"/>
      <c r="I67" s="12" t="str">
        <f>"  - '&amp;7• &amp;8"&amp;MAIN!$C$12&amp;" lvl: &amp;a"&amp;ROUNDUP((MAIN!$E$93+($C$2*MAIN!$I$27))/3,0)&amp;"'"</f>
        <v xml:space="preserve">  - '&amp;7• &amp;8Esencia lvl: &amp;a30'</v>
      </c>
      <c r="J67" s="12"/>
      <c r="K67" s="12"/>
      <c r="L67" s="12"/>
      <c r="M67" s="12" t="str">
        <f>"  - '&amp;7• &amp;8"&amp;MAIN!$C$12&amp;" lvl: &amp;a"&amp;ROUNDUP((MAIN!$F$93+($C$2*MAIN!$I$27))/3,0)&amp;"'"</f>
        <v xml:space="preserve">  - '&amp;7• &amp;8Esencia lvl: &amp;a73'</v>
      </c>
      <c r="N67" s="12"/>
      <c r="O67" s="12"/>
      <c r="P67" s="12"/>
      <c r="Q67" s="12" t="str">
        <f>"  - '&amp;7• &amp;8"&amp;MAIN!$C$12&amp;" lvl: &amp;a"&amp;ROUNDUP((MAIN!$G$93+($C$2*MAIN!$I$27))/3,0)&amp;"'"</f>
        <v xml:space="preserve">  - '&amp;7• &amp;8Esencia lvl: &amp;a137'</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&amp;a20'</v>
      </c>
      <c r="B71" s="10"/>
      <c r="C71" s="10"/>
      <c r="D71" s="10"/>
      <c r="E71" s="10" t="str">
        <f>"  - '&amp;4• &amp;f"&amp;MAIN!$C$9&amp;": &amp;a"&amp;MAIN!$D$88*$C$2&amp;"'"</f>
        <v xml:space="preserve">  - '&amp;4• &amp;fFuerza: &amp;a30'</v>
      </c>
      <c r="F71" s="10"/>
      <c r="G71" s="10"/>
      <c r="H71" s="10"/>
      <c r="I71" s="10" t="str">
        <f>"  - '&amp;4• &amp;f"&amp;MAIN!$C$9&amp;": &amp;a"&amp;MAIN!$E$88*$C$2&amp;"'"</f>
        <v xml:space="preserve">  - '&amp;4• &amp;fFuerza: &amp;a50'</v>
      </c>
      <c r="J71" s="10"/>
      <c r="K71" s="10"/>
      <c r="L71" s="10"/>
      <c r="M71" s="10" t="str">
        <f>"  - '&amp;4• &amp;f"&amp;MAIN!$C$9&amp;": &amp;a"&amp;MAIN!$F$88*$C$2&amp;"'"</f>
        <v xml:space="preserve">  - '&amp;4• &amp;fFuerza: &amp;a85'</v>
      </c>
      <c r="N71" s="10"/>
      <c r="O71" s="10"/>
      <c r="P71" s="10"/>
      <c r="Q71" s="10" t="str">
        <f>"  - '&amp;4• &amp;f"&amp;MAIN!$C$9&amp;": &amp;a"&amp;MAIN!$G$88*$C$2&amp;"'"</f>
        <v xml:space="preserve">  - '&amp;4• &amp;fFuerza: &amp;a140'</v>
      </c>
      <c r="R71" s="10"/>
      <c r="S71" s="10"/>
      <c r="T71" s="10"/>
    </row>
    <row r="72" spans="1:20" x14ac:dyDescent="0.25">
      <c r="A72" s="10" t="str">
        <f>"  - '&amp;4• &amp;f"&amp;MAIN!$C$8&amp;": &amp;a"&amp;MAIN!$C$88*$C$2&amp;"'"</f>
        <v xml:space="preserve">  - '&amp;4• &amp;fVitalidad: &amp;a20'</v>
      </c>
      <c r="B72" s="10"/>
      <c r="C72" s="10"/>
      <c r="D72" s="10"/>
      <c r="E72" s="10" t="str">
        <f>"  - '&amp;4• &amp;f"&amp;MAIN!$C$8&amp;": &amp;a"&amp;MAIN!$D$88*$C$2&amp;"'"</f>
        <v xml:space="preserve">  - '&amp;4• &amp;fVitalidad: &amp;a30'</v>
      </c>
      <c r="F72" s="10"/>
      <c r="G72" s="10"/>
      <c r="H72" s="10"/>
      <c r="I72" s="10" t="str">
        <f>"  - '&amp;4• &amp;f"&amp;MAIN!$C$8&amp;": &amp;a"&amp;MAIN!$E$88*$C$2&amp;"'"</f>
        <v xml:space="preserve">  - '&amp;4• &amp;fVitalidad: &amp;a50'</v>
      </c>
      <c r="J72" s="10"/>
      <c r="K72" s="10"/>
      <c r="L72" s="10"/>
      <c r="M72" s="10" t="str">
        <f>"  - '&amp;4• &amp;f"&amp;MAIN!$C$8&amp;": &amp;a"&amp;MAIN!$F$88*$C$2&amp;"'"</f>
        <v xml:space="preserve">  - '&amp;4• &amp;fVitalidad: &amp;a85'</v>
      </c>
      <c r="N72" s="10"/>
      <c r="O72" s="10"/>
      <c r="P72" s="10"/>
      <c r="Q72" s="10" t="str">
        <f>"  - '&amp;4• &amp;f"&amp;MAIN!$C$8&amp;": &amp;a"&amp;MAIN!$G$88*$C$2&amp;"'"</f>
        <v xml:space="preserve">  - '&amp;4• &amp;fVitalidad: &amp;a140'</v>
      </c>
      <c r="R72" s="10"/>
      <c r="S72" s="10"/>
      <c r="T72" s="10"/>
    </row>
    <row r="73" spans="1:20" x14ac:dyDescent="0.25">
      <c r="A73" s="10" t="str">
        <f>"  - '&amp;4• &amp;f"&amp;MAIN!$C$11&amp;": &amp;a"&amp;MAIN!$C$90*$C$2&amp;"'"</f>
        <v xml:space="preserve">  - '&amp;4• &amp;fInteligencia: &amp;a20'</v>
      </c>
      <c r="B73" s="10"/>
      <c r="C73" s="10"/>
      <c r="D73" s="10"/>
      <c r="E73" s="10" t="str">
        <f>"  - '&amp;4• &amp;f"&amp;MAIN!$C$11&amp;": &amp;a"&amp;MAIN!$D$90*$C$2&amp;"'"</f>
        <v xml:space="preserve">  - '&amp;4• &amp;fInteligencia: &amp;a30'</v>
      </c>
      <c r="F73" s="10"/>
      <c r="G73" s="10"/>
      <c r="H73" s="10"/>
      <c r="I73" s="10" t="str">
        <f>"  - '&amp;4• &amp;f"&amp;MAIN!$C$11&amp;": &amp;a"&amp;MAIN!$E$90*$C$2&amp;"'"</f>
        <v xml:space="preserve">  - '&amp;4• &amp;fInteligencia: &amp;a50'</v>
      </c>
      <c r="J73" s="10"/>
      <c r="K73" s="10"/>
      <c r="L73" s="10"/>
      <c r="M73" s="10" t="str">
        <f>"  - '&amp;4• &amp;f"&amp;MAIN!$C$11&amp;": &amp;a"&amp;MAIN!$F$90*$C$2&amp;"'"</f>
        <v xml:space="preserve">  - '&amp;4• &amp;fInteligencia: &amp;a85'</v>
      </c>
      <c r="N73" s="10"/>
      <c r="O73" s="10"/>
      <c r="P73" s="10"/>
      <c r="Q73" s="10" t="str">
        <f>"  - '&amp;4• &amp;f"&amp;MAIN!$C$11&amp;": &amp;a"&amp;MAIN!$G$90*$C$2&amp;"'"</f>
        <v xml:space="preserve">  - '&amp;4• &amp;fInteligencia: &amp;a140'</v>
      </c>
      <c r="R73" s="10"/>
      <c r="S73" s="10"/>
      <c r="T73" s="10"/>
    </row>
    <row r="74" spans="1:20" x14ac:dyDescent="0.25">
      <c r="A74" s="10" t="str">
        <f>"  - '&amp;4• &amp;f"&amp;MAIN!$C$10&amp;": &amp;a"&amp;MAIN!$C$89*$C$2&amp;"'"</f>
        <v xml:space="preserve">  - '&amp;4• &amp;fAgilidad: &amp;a20'</v>
      </c>
      <c r="B74" s="10"/>
      <c r="C74" s="10"/>
      <c r="D74" s="10"/>
      <c r="E74" s="10" t="str">
        <f>"  - '&amp;4• &amp;f"&amp;MAIN!$C$10&amp;": &amp;a"&amp;MAIN!$D$89*$C$2&amp;"'"</f>
        <v xml:space="preserve">  - '&amp;4• &amp;fAgilidad: &amp;a30'</v>
      </c>
      <c r="F74" s="10"/>
      <c r="G74" s="10"/>
      <c r="H74" s="10"/>
      <c r="I74" s="10" t="str">
        <f>"  - '&amp;4• &amp;f"&amp;MAIN!$C$10&amp;": &amp;a"&amp;MAIN!$E$89*$C$2&amp;"'"</f>
        <v xml:space="preserve">  - '&amp;4• &amp;fAgilidad: &amp;a50'</v>
      </c>
      <c r="J74" s="10"/>
      <c r="K74" s="10"/>
      <c r="L74" s="10"/>
      <c r="M74" s="10" t="str">
        <f>"  - '&amp;4• &amp;f"&amp;MAIN!$C$10&amp;": &amp;a"&amp;MAIN!$F$89*$C$2&amp;"'"</f>
        <v xml:space="preserve">  - '&amp;4• &amp;fAgilidad: &amp;a85'</v>
      </c>
      <c r="N74" s="10"/>
      <c r="O74" s="10"/>
      <c r="P74" s="10"/>
      <c r="Q74" s="10" t="str">
        <f>"  - '&amp;4• &amp;f"&amp;MAIN!$C$10&amp;": &amp;a"&amp;MAIN!$G$89*$C$2&amp;"'"</f>
        <v xml:space="preserve">  - '&amp;4• &amp;fAgilidad: &amp;a140'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93"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Z189"/>
  <sheetViews>
    <sheetView topLeftCell="T1" workbookViewId="0">
      <selection activeCell="Z4" sqref="Z4:Z8"/>
    </sheetView>
  </sheetViews>
  <sheetFormatPr baseColWidth="10" defaultColWidth="11.42578125" defaultRowHeight="15" x14ac:dyDescent="0.25"/>
  <cols>
    <col min="1" max="16384" width="11.42578125" style="19"/>
  </cols>
  <sheetData>
    <row r="1" spans="1:26" ht="30.75" customHeight="1" x14ac:dyDescent="0.25">
      <c r="A1" s="351" t="s">
        <v>19</v>
      </c>
      <c r="B1" s="351"/>
      <c r="C1" s="351" t="s">
        <v>70</v>
      </c>
      <c r="D1" s="351"/>
      <c r="E1" s="351" t="s">
        <v>80</v>
      </c>
      <c r="F1" s="351"/>
      <c r="G1" s="351" t="s">
        <v>89</v>
      </c>
      <c r="H1" s="351"/>
      <c r="I1" s="351" t="s">
        <v>1197</v>
      </c>
      <c r="J1" s="351"/>
      <c r="K1" s="351" t="s">
        <v>1199</v>
      </c>
      <c r="L1" s="351"/>
    </row>
    <row r="2" spans="1:26" x14ac:dyDescent="0.25">
      <c r="A2" s="301" t="s">
        <v>104</v>
      </c>
      <c r="B2" s="301"/>
      <c r="C2" s="301">
        <f>'ECONOMIA &amp; PROFESIONES'!$Q$3</f>
        <v>7</v>
      </c>
      <c r="D2" s="301"/>
      <c r="E2" s="301" t="s">
        <v>81</v>
      </c>
      <c r="F2" s="301"/>
      <c r="G2" s="301" t="s">
        <v>3</v>
      </c>
      <c r="H2" s="301"/>
      <c r="I2" s="301" t="str">
        <f>MAIN!$J$42</f>
        <v>&amp;7Ataque:</v>
      </c>
      <c r="J2" s="301"/>
      <c r="K2" s="301">
        <f>MAIN!$L$42</f>
        <v>2</v>
      </c>
      <c r="L2" s="301"/>
    </row>
    <row r="3" spans="1:26" ht="29.25" customHeight="1" x14ac:dyDescent="0.25">
      <c r="A3" s="357" t="s">
        <v>7</v>
      </c>
      <c r="B3" s="357"/>
      <c r="C3" s="357"/>
      <c r="D3" s="357"/>
      <c r="E3" s="357" t="s">
        <v>8</v>
      </c>
      <c r="F3" s="357"/>
      <c r="G3" s="357"/>
      <c r="H3" s="357"/>
      <c r="I3" s="357" t="s">
        <v>83</v>
      </c>
      <c r="J3" s="357"/>
      <c r="K3" s="357"/>
      <c r="L3" s="357"/>
      <c r="M3" s="357" t="s">
        <v>84</v>
      </c>
      <c r="N3" s="357"/>
      <c r="O3" s="357"/>
      <c r="P3" s="357"/>
      <c r="Q3" s="357" t="s">
        <v>85</v>
      </c>
      <c r="R3" s="357"/>
      <c r="S3" s="357"/>
      <c r="T3" s="357"/>
      <c r="U3" s="291"/>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91">
        <v>1</v>
      </c>
      <c r="V4" s="291" t="str">
        <f>$I$2&amp;" "&amp;ROUND(MAIN!$C$44*$C$2*$K$2/5*$U$4,0)</f>
        <v>&amp;7Ataque: 6</v>
      </c>
      <c r="W4" s="291" t="str">
        <f>$I$2&amp;" "&amp;ROUND(MAIN!$D$44*$C$2*$K$2/5*$U$4,0)</f>
        <v>&amp;7Ataque: 17</v>
      </c>
      <c r="X4" s="291" t="str">
        <f>$I$2&amp;" "&amp;ROUND(MAIN!$E$44*$C$2*$K$2/5*$U$4,0)</f>
        <v>&amp;7Ataque: 50</v>
      </c>
      <c r="Y4" s="291" t="str">
        <f>$I$2&amp;" "&amp;ROUND(MAIN!$F$44*$C$2*$K$2/5*$U$4,0)</f>
        <v>&amp;7Ataque: 151</v>
      </c>
      <c r="Z4" s="291" t="str">
        <f>$I$2&amp;" "&amp;ROUND(MAIN!$G$44*$C$2*$K$2/5*$U$4,0)</f>
        <v>&amp;7Ataque: 454</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91">
        <v>2</v>
      </c>
      <c r="V5" s="291" t="str">
        <f>$I$2&amp;" "&amp;ROUND(MAIN!$C$44*$C$2*$K$2/5*$U$5,0)</f>
        <v>&amp;7Ataque: 11</v>
      </c>
      <c r="W5" s="291" t="str">
        <f>$I$2&amp;" "&amp;ROUND(MAIN!$D$44*$C$2*$K$2/5*$U$5,0)</f>
        <v>&amp;7Ataque: 34</v>
      </c>
      <c r="X5" s="291" t="str">
        <f>$I$2&amp;" "&amp;ROUND(MAIN!$E$44*$C$2*$K$2/5*$U$5,0)</f>
        <v>&amp;7Ataque: 101</v>
      </c>
      <c r="Y5" s="291" t="str">
        <f>$I$2&amp;" "&amp;ROUND(MAIN!$F$44*$C$2*$K$2/5*$U$5,0)</f>
        <v>&amp;7Ataque: 302</v>
      </c>
      <c r="Z5" s="291" t="str">
        <f>$I$2&amp;" "&amp;ROUND(MAIN!$G$44*$C$2*$K$2/5*$U$5,0)</f>
        <v>&amp;7Ataque: 907</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$I$2&amp;" "&amp;ROUND(MAIN!$C$44*$C$2*$K$2/5*$U$6,0)</f>
        <v>&amp;7Ataque: 17</v>
      </c>
      <c r="W6" s="291" t="str">
        <f>$I$2&amp;" "&amp;ROUND(MAIN!$D$44*$C$2*$K$2/5*$U$6,0)</f>
        <v>&amp;7Ataque: 50</v>
      </c>
      <c r="X6" s="291" t="str">
        <f>$I$2&amp;" "&amp;ROUND(MAIN!$E$44*$C$2*$K$2/5*$U$6,0)</f>
        <v>&amp;7Ataque: 151</v>
      </c>
      <c r="Y6" s="291" t="str">
        <f>$I$2&amp;" "&amp;ROUND(MAIN!$F$44*$C$2*$K$2/5*$U$6,0)</f>
        <v>&amp;7Ataque: 454</v>
      </c>
      <c r="Z6" s="291" t="str">
        <f>$I$2&amp;" "&amp;ROUND(MAIN!$G$44*$C$2*$K$2/5*$U$6,0)</f>
        <v>&amp;7Ataque: 1361</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$I$2&amp;" "&amp;ROUND(MAIN!$C$44*$C$2*$K$2/5*$U$7,0)</f>
        <v>&amp;7Ataque: 22</v>
      </c>
      <c r="W7" s="291" t="str">
        <f>$I$2&amp;" "&amp;ROUND(MAIN!$D$44*$C$2*$K$2/5*$U$7,0)</f>
        <v>&amp;7Ataque: 67</v>
      </c>
      <c r="X7" s="291" t="str">
        <f>$I$2&amp;" "&amp;ROUND(MAIN!$E$44*$C$2*$K$2/5*$U$7,0)</f>
        <v>&amp;7Ataque: 202</v>
      </c>
      <c r="Y7" s="291" t="str">
        <f>$I$2&amp;" "&amp;ROUND(MAIN!$F$44*$C$2*$K$2/5*$U$7,0)</f>
        <v>&amp;7Ataque: 605</v>
      </c>
      <c r="Z7" s="291" t="str">
        <f>$I$2&amp;" "&amp;ROUND(MAIN!$G$44*$C$2*$K$2/5*$U$7,0)</f>
        <v>&amp;7Ataque: 1814</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$I$2&amp;" "&amp;ROUND(MAIN!$C$44*$C$2*$K$2/5*$U$8,0)</f>
        <v>&amp;7Ataque: 28</v>
      </c>
      <c r="W8" s="291" t="str">
        <f>$I$2&amp;" "&amp;ROUND(MAIN!$D$44*$C$2*$K$2/5*$U$8,0)</f>
        <v>&amp;7Ataque: 84</v>
      </c>
      <c r="X8" s="291" t="str">
        <f>$I$2&amp;" "&amp;ROUND(MAIN!$E$44*$C$2*$K$2/5*$U$8,0)</f>
        <v>&amp;7Ataque: 252</v>
      </c>
      <c r="Y8" s="291" t="str">
        <f>$I$2&amp;" "&amp;ROUND(MAIN!$F$44*$C$2*$K$2/5*$U$8,0)</f>
        <v>&amp;7Ataque: 756</v>
      </c>
      <c r="Z8" s="291" t="str">
        <f>$I$2&amp;" "&amp;ROUND(MAIN!$G$44*$C$2*$K$2/5*$U$8,0)</f>
        <v>&amp;7Ataque: 2268</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"&amp;MAIN!$F$20</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  maximumBonusEnchantments: "&amp;MAIN!$F$21</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ARROW_INFINITE:"&amp;MAIN!$F$18&amp;":"&amp;MAIN!$F$19</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  - ARROW_DAMAGE:"&amp;MAIN!$F$18&amp;":"&amp;MAIN!$F$19</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  - ARROW_FIRE:"&amp;MAIN!$F$18&amp;":"&amp;MAIN!$F$19</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  - ARROW_KNOCKBACK:"&amp;MAIN!$F$18&amp;":"&amp;MAIN!$F$19</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  - DAMAGE_ALL:"&amp;MAIN!$F$18&amp;":"&amp;MAIN!$F$19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  - DAMAGE_ARTHROPODS:"&amp;MAIN!$F$18&amp;":"&amp;MAIN!$F$19</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  - DAMAGE_UNDEAD:"&amp;MAIN!$F$18&amp;":"&amp;MAIN!$F$19</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x14ac:dyDescent="0.25">
      <c r="A22" s="22" t="str">
        <f>"  - DIG_SPEED:"&amp;MAIN!$F$18&amp;":"&amp;MAIN!$F$19</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  - DURABILITY:"&amp;MAIN!$F$18&amp;":"&amp;MAIN!$F$19</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  - FIRE_ASPECT:"&amp;MAIN!$F$18&amp;":"&amp;MAIN!$F$19</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  - KNOCKBACK:"&amp;MAIN!$F$18&amp;":"&amp;MAIN!$F$19</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  - LOOT_BONUS_BLOCKS:"&amp;MAIN!$F$18&amp;":"&amp;MAIN!$F$19</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  - LOOT_BONUS_MOBS:"&amp;MAIN!$F$18&amp;":"&amp;MAIN!$F$19</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  - OXYGEN:"&amp;MAIN!$F$18&amp;":"&amp;MAIN!$F$19</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  - PROTECTION_ENVIRONMENT:"&amp;MAIN!$F$18&amp;":"&amp;MAIN!$F$19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  - PROTECTION_EXPLOSIONS:"&amp;MAIN!$F$18&amp;":"&amp;MAIN!$F$19</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  - PROTECTION_FALL:"&amp;MAIN!$F$18&amp;":"&amp;MAIN!$F$19</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  - PROTECTION_FIRE:"&amp;MAIN!$F$18&amp;":"&amp;MAIN!$F$19</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  - PROTECTION_PROJECTILE:"&amp;MAIN!$F$18&amp;":"&amp;MAIN!$F$19</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  - SILK_TOUCH:"&amp;MAIN!$F$18&amp;":"&amp;MAIN!$F$19</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  - WATER_WORKER:"&amp;MAIN!$F$18&amp;":"&amp;MAIN!$F$19</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"&amp;MAIN!$F$23</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  maximumBonusLore: "&amp;MAIN!$F$24</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&amp;6"&amp;(MAIN!$D$2+(MAIN!$F$18+MAIN!$F$19)/2*MAIN!$B$9+(MAIN!$F$20+MAIN!$F$21)/2*MAIN!$B$8+(MAIN!$F$47*MAIN!$B$11)+($C$2*MAIN!$B$10))/10&amp;" &amp;aAlmakos'"</f>
        <v xml:space="preserve">  - '&amp;aVenta: &amp;6565 &amp;aAlmakos'</v>
      </c>
      <c r="B62" s="20"/>
      <c r="C62" s="20"/>
      <c r="D62" s="20"/>
      <c r="E62" s="20" t="str">
        <f>"  - '&amp;aVenta: &amp;6"&amp;(MAIN!$D$3+(MAIN!$F$18+MAIN!$F$19)/2*MAIN!$B$9+(MAIN!$F$20+MAIN!$F$21)/2*MAIN!$B$8+(MAIN!$F$47*MAIN!$B$11)+($C$2*MAIN!$B$10))/10&amp;" &amp;aAlmakos'"</f>
        <v xml:space="preserve">  - '&amp;aVenta: &amp;6605 &amp;aAlmakos'</v>
      </c>
      <c r="F62" s="20"/>
      <c r="G62" s="20"/>
      <c r="H62" s="20"/>
      <c r="I62" s="20" t="str">
        <f>"  - '&amp;aVenta: &amp;6"&amp;(MAIN!$D$4+(MAIN!$F$18+MAIN!$F$19)/2*MAIN!$B$9+(MAIN!$F$20+MAIN!$F$21)/2*MAIN!$B$8+(MAIN!$F$47*MAIN!$B$11)+($C$2*MAIN!$B$10))/10&amp;" &amp;aAlmakos'"</f>
        <v xml:space="preserve">  - '&amp;aVenta: &amp;6685 &amp;aAlmakos'</v>
      </c>
      <c r="J62" s="20"/>
      <c r="K62" s="20"/>
      <c r="L62" s="20"/>
      <c r="M62" s="20" t="str">
        <f>"  - '&amp;aVenta: &amp;6"&amp;(MAIN!$D$5+(MAIN!$F$18+MAIN!$F$19)/2*MAIN!$B$9+(MAIN!$F$20+MAIN!$F$21)/2*MAIN!$B$8+(MAIN!$F$47*MAIN!$B$11)+($C$2*MAIN!$B$10))/10&amp;" &amp;aAlmakos'"</f>
        <v xml:space="preserve">  - '&amp;aVenta: &amp;6845 &amp;aAlmakos'</v>
      </c>
      <c r="N62" s="20"/>
      <c r="O62" s="20"/>
      <c r="P62" s="20"/>
      <c r="Q62" s="20" t="str">
        <f>"  - '&amp;aVenta: &amp;6"&amp;(MAIN!$D$6+(MAIN!$F$18+MAIN!$F$19)/2*MAIN!$B$9+(MAIN!$F$20+MAIN!$F$21)/2*MAIN!$B$8+(MAIN!$F$47*MAIN!$B$11)+($C$2*MAIN!$B$10))/10&amp;" &amp;aAlmakos'"</f>
        <v xml:space="preserve">  - '&amp;aVenta: &amp;61165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&amp;a38'</v>
      </c>
      <c r="B66" s="10"/>
      <c r="C66" s="10"/>
      <c r="D66" s="10"/>
      <c r="E66" s="10" t="str">
        <f>"  - '&amp;7• &amp;8Nivel: &amp;a"&amp;MAIN!$D$49+($C$2*MAIN!$I$27)&amp;"'"</f>
        <v xml:space="preserve">  - '&amp;7• &amp;8Nivel: &amp;a45'</v>
      </c>
      <c r="F66" s="10"/>
      <c r="G66" s="10"/>
      <c r="H66" s="10"/>
      <c r="I66" s="10" t="str">
        <f>"  - '&amp;7• &amp;8Nivel: &amp;a"&amp;MAIN!$E$49+($C$2*MAIN!$I$27)&amp;"'"</f>
        <v xml:space="preserve">  - '&amp;7• &amp;8Nivel: &amp;a67'</v>
      </c>
      <c r="J66" s="10"/>
      <c r="K66" s="10"/>
      <c r="L66" s="10"/>
      <c r="M66" s="10" t="str">
        <f>"  - '&amp;7• &amp;8Nivel: &amp;a"&amp;MAIN!$F$49+($C$2*MAIN!$I$27)&amp;"'"</f>
        <v xml:space="preserve">  - '&amp;7• &amp;8Nivel: &amp;a131'</v>
      </c>
      <c r="N66" s="10"/>
      <c r="O66" s="10"/>
      <c r="P66" s="10"/>
      <c r="Q66" s="10" t="str">
        <f>"  - '&amp;7• &amp;8Nivel: &amp;a"&amp;MAIN!$G$49+($C$2*MAIN!$I$27)&amp;"'"</f>
        <v xml:space="preserve">  - '&amp;7• &amp;8Nivel: &amp;a227'</v>
      </c>
      <c r="R66" s="10"/>
      <c r="S66" s="10"/>
      <c r="T66" s="10"/>
    </row>
    <row r="67" spans="1:20" x14ac:dyDescent="0.25">
      <c r="A67" s="12" t="str">
        <f>"  - '&amp;7• &amp;8"&amp;MAIN!$C$12&amp;" lvl: &amp;a"&amp;ROUNDUP((MAIN!$C$49+($C$2*MAIN!$I$27))/3,0)&amp;"'"</f>
        <v xml:space="preserve">  - '&amp;7• &amp;8Esencia lvl: &amp;a13'</v>
      </c>
      <c r="B67" s="12"/>
      <c r="C67" s="12"/>
      <c r="D67" s="12"/>
      <c r="E67" s="12" t="str">
        <f>"  - '&amp;7• &amp;8"&amp;MAIN!$C$12&amp;" lvl: &amp;a"&amp;ROUNDUP((MAIN!$D$49+($C$2*MAIN!$I$27))/3,0)&amp;"'"</f>
        <v xml:space="preserve">  - '&amp;7• &amp;8Esencia lvl: &amp;a15'</v>
      </c>
      <c r="F67" s="12"/>
      <c r="G67" s="12"/>
      <c r="H67" s="12"/>
      <c r="I67" s="12" t="str">
        <f>"  - '&amp;7• &amp;8"&amp;MAIN!$C$12&amp;" lvl: &amp;a"&amp;ROUNDUP((MAIN!$E$49+($C$2*MAIN!$I$27))/3,0)&amp;"'"</f>
        <v xml:space="preserve">  - '&amp;7• &amp;8Esencia lvl: &amp;a23'</v>
      </c>
      <c r="J67" s="12"/>
      <c r="K67" s="12"/>
      <c r="L67" s="12"/>
      <c r="M67" s="12" t="str">
        <f>"  - '&amp;7• &amp;8"&amp;MAIN!$C$12&amp;" lvl: &amp;a"&amp;ROUNDUP((MAIN!$F$49+($C$2*MAIN!$I$27))/3,0)&amp;"'"</f>
        <v xml:space="preserve">  - '&amp;7• &amp;8Esencia lvl: &amp;a44'</v>
      </c>
      <c r="N67" s="12"/>
      <c r="O67" s="12"/>
      <c r="P67" s="12"/>
      <c r="Q67" s="12" t="str">
        <f>"  - '&amp;7• &amp;8"&amp;MAIN!$C$12&amp;" lvl: &amp;a"&amp;ROUNDUP((MAIN!$G$49+($C$2*MAIN!$I$27))/3,0)&amp;"'"</f>
        <v xml:space="preserve">  - '&amp;7• &amp;8Esencia lvl: &amp;a76'</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&amp;a14'</v>
      </c>
      <c r="B71" s="10"/>
      <c r="C71" s="10"/>
      <c r="D71" s="10"/>
      <c r="E71" s="10" t="str">
        <f>"  - '&amp;4• &amp;f"&amp;MAIN!$C$9&amp;": &amp;a"&amp;MAIN!$D$44*$C$2&amp;"'"</f>
        <v xml:space="preserve">  - '&amp;4• &amp;fFuerza: &amp;a42'</v>
      </c>
      <c r="F71" s="10"/>
      <c r="G71" s="10"/>
      <c r="H71" s="10"/>
      <c r="I71" s="10" t="str">
        <f>"  - '&amp;4• &amp;f"&amp;MAIN!$C$9&amp;": &amp;a"&amp;MAIN!$E$44*$C$2&amp;"'"</f>
        <v xml:space="preserve">  - '&amp;4• &amp;fFuerza: &amp;a126'</v>
      </c>
      <c r="J71" s="10"/>
      <c r="K71" s="10"/>
      <c r="L71" s="10"/>
      <c r="M71" s="10" t="str">
        <f>"  - '&amp;4• &amp;f"&amp;MAIN!$C$9&amp;": &amp;a"&amp;MAIN!$F$44*$C$2&amp;"'"</f>
        <v xml:space="preserve">  - '&amp;4• &amp;fFuerza: &amp;a378'</v>
      </c>
      <c r="N71" s="10"/>
      <c r="O71" s="10"/>
      <c r="P71" s="10"/>
      <c r="Q71" s="10" t="str">
        <f>"  - '&amp;4• &amp;f"&amp;MAIN!$C$9&amp;": &amp;a"&amp;MAIN!$G$44*$C$2&amp;"'"</f>
        <v xml:space="preserve">  - '&amp;4• &amp;fFuerza: &amp;a1134'</v>
      </c>
      <c r="R71" s="10"/>
      <c r="S71" s="10"/>
      <c r="T71" s="10"/>
    </row>
    <row r="72" spans="1:20" x14ac:dyDescent="0.25">
      <c r="A72" s="10" t="str">
        <f>"  - '&amp;4• &amp;f"&amp;MAIN!$C$8&amp;": &amp;a"&amp;MAIN!$C$43*$C$2&amp;"'"</f>
        <v xml:space="preserve">  - '&amp;4• &amp;fVitalidad: &amp;a14'</v>
      </c>
      <c r="B72" s="10"/>
      <c r="C72" s="10"/>
      <c r="D72" s="10"/>
      <c r="E72" s="10" t="str">
        <f>"  - '&amp;4• &amp;f"&amp;MAIN!$C$8&amp;": &amp;a"&amp;MAIN!$D$43*$C$2&amp;"'"</f>
        <v xml:space="preserve">  - '&amp;4• &amp;fVitalidad: &amp;a42'</v>
      </c>
      <c r="F72" s="10"/>
      <c r="G72" s="10"/>
      <c r="H72" s="10"/>
      <c r="I72" s="10" t="str">
        <f>"  - '&amp;4• &amp;f"&amp;MAIN!$C$8&amp;": &amp;a"&amp;MAIN!$E$43*$C$2&amp;"'"</f>
        <v xml:space="preserve">  - '&amp;4• &amp;fVitalidad: &amp;a126'</v>
      </c>
      <c r="J72" s="10"/>
      <c r="K72" s="10"/>
      <c r="L72" s="10"/>
      <c r="M72" s="10" t="str">
        <f>"  - '&amp;4• &amp;f"&amp;MAIN!$C$8&amp;": &amp;a"&amp;MAIN!$F$43*$C$2&amp;"'"</f>
        <v xml:space="preserve">  - '&amp;4• &amp;fVitalidad: &amp;a378'</v>
      </c>
      <c r="N72" s="10"/>
      <c r="O72" s="10"/>
      <c r="P72" s="10"/>
      <c r="Q72" s="10" t="str">
        <f>"  - '&amp;4• &amp;f"&amp;MAIN!$C$8&amp;": &amp;a"&amp;MAIN!$G$43*$C$2&amp;"'"</f>
        <v xml:space="preserve">  - '&amp;4• &amp;fVitalidad: &amp;a1134'</v>
      </c>
      <c r="R72" s="10"/>
      <c r="S72" s="10"/>
      <c r="T72" s="10"/>
    </row>
    <row r="73" spans="1:20" x14ac:dyDescent="0.25">
      <c r="A73" s="10" t="str">
        <f>"  - '&amp;4• &amp;f"&amp;MAIN!$C$11&amp;": &amp;a"&amp;MAIN!$C$43*$C$2&amp;"'"</f>
        <v xml:space="preserve">  - '&amp;4• &amp;fInteligencia: &amp;a14'</v>
      </c>
      <c r="B73" s="10"/>
      <c r="C73" s="10"/>
      <c r="D73" s="10"/>
      <c r="E73" s="10" t="str">
        <f>"  - '&amp;4• &amp;f"&amp;MAIN!$C$11&amp;": &amp;a"&amp;MAIN!$D$43*$C$2&amp;"'"</f>
        <v xml:space="preserve">  - '&amp;4• &amp;fInteligencia: &amp;a42'</v>
      </c>
      <c r="F73" s="10"/>
      <c r="G73" s="10"/>
      <c r="H73" s="10"/>
      <c r="I73" s="10" t="str">
        <f>"  - '&amp;4• &amp;f"&amp;MAIN!$C$11&amp;": &amp;a"&amp;MAIN!$E$43*$C$2&amp;"'"</f>
        <v xml:space="preserve">  - '&amp;4• &amp;fInteligencia: &amp;a126'</v>
      </c>
      <c r="J73" s="10"/>
      <c r="K73" s="10"/>
      <c r="L73" s="10"/>
      <c r="M73" s="10" t="str">
        <f>"  - '&amp;4• &amp;f"&amp;MAIN!$C$11&amp;": &amp;a"&amp;MAIN!$F$43*$C$2&amp;"'"</f>
        <v xml:space="preserve">  - '&amp;4• &amp;fInteligencia: &amp;a378'</v>
      </c>
      <c r="N73" s="10"/>
      <c r="O73" s="10"/>
      <c r="P73" s="10"/>
      <c r="Q73" s="10" t="str">
        <f>"  - '&amp;4• &amp;f"&amp;MAIN!$C$11&amp;": &amp;a"&amp;MAIN!$G$43*$C$2&amp;"'"</f>
        <v xml:space="preserve">  - '&amp;4• &amp;fInteligencia: &amp;a1134'</v>
      </c>
      <c r="R73" s="10"/>
      <c r="S73" s="10"/>
      <c r="T73" s="10"/>
    </row>
    <row r="74" spans="1:20" x14ac:dyDescent="0.25">
      <c r="A74" s="10" t="str">
        <f>"  - '&amp;4• &amp;f"&amp;MAIN!$C$10&amp;": &amp;a"&amp;MAIN!$C$45*$C$2&amp;"'"</f>
        <v xml:space="preserve">  - '&amp;4• &amp;fAgilidad: &amp;a14'</v>
      </c>
      <c r="B74" s="10"/>
      <c r="C74" s="10"/>
      <c r="D74" s="10"/>
      <c r="E74" s="10" t="str">
        <f>"  - '&amp;4• &amp;f"&amp;MAIN!$C$10&amp;": &amp;a"&amp;MAIN!$D$45*$C$2&amp;"'"</f>
        <v xml:space="preserve">  - '&amp;4• &amp;fAgilidad: &amp;a42'</v>
      </c>
      <c r="F74" s="10"/>
      <c r="G74" s="10"/>
      <c r="H74" s="10"/>
      <c r="I74" s="10" t="str">
        <f>"  - '&amp;4• &amp;f"&amp;MAIN!$C$10&amp;": &amp;a"&amp;MAIN!$E$45*$C$2&amp;"'"</f>
        <v xml:space="preserve">  - '&amp;4• &amp;fAgilidad: &amp;a126'</v>
      </c>
      <c r="J74" s="10"/>
      <c r="K74" s="10"/>
      <c r="L74" s="10"/>
      <c r="M74" s="10" t="str">
        <f>"  - '&amp;4• &amp;f"&amp;MAIN!$C$10&amp;": &amp;a"&amp;MAIN!$F$45*$C$2&amp;"'"</f>
        <v xml:space="preserve">  - '&amp;4• &amp;fAgilidad: &amp;a378'</v>
      </c>
      <c r="N74" s="10"/>
      <c r="O74" s="10"/>
      <c r="P74" s="10"/>
      <c r="Q74" s="10" t="str">
        <f>"  - '&amp;4• &amp;f"&amp;MAIN!$C$10&amp;": &amp;a"&amp;MAIN!$G$45*$C$2&amp;"'"</f>
        <v xml:space="preserve">  - '&amp;4• &amp;fAgilidad: &amp;a1134'</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"&amp;MAIN!$F$29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"maximumSockets: "&amp;MAIN!$F$30</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3"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"optimalDistance: "&amp;MAIN!$F$39</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"maximumDistance: "&amp;MAIN!$F$40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Z189"/>
  <sheetViews>
    <sheetView topLeftCell="A67"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1" t="s">
        <v>19</v>
      </c>
      <c r="B1" s="351"/>
      <c r="C1" s="351" t="s">
        <v>70</v>
      </c>
      <c r="D1" s="351"/>
      <c r="E1" s="351" t="s">
        <v>80</v>
      </c>
      <c r="F1" s="351"/>
      <c r="G1" s="351" t="s">
        <v>89</v>
      </c>
      <c r="H1" s="351"/>
      <c r="I1" s="351" t="s">
        <v>1197</v>
      </c>
      <c r="J1" s="351"/>
      <c r="K1" s="351" t="s">
        <v>1199</v>
      </c>
      <c r="L1" s="351"/>
    </row>
    <row r="2" spans="1:26" x14ac:dyDescent="0.25">
      <c r="A2" s="301" t="s">
        <v>104</v>
      </c>
      <c r="B2" s="301"/>
      <c r="C2" s="301">
        <f>'ECONOMIA &amp; PROFESIONES'!$Q$3</f>
        <v>7</v>
      </c>
      <c r="D2" s="301"/>
      <c r="E2" s="301" t="s">
        <v>81</v>
      </c>
      <c r="F2" s="301"/>
      <c r="G2" s="301" t="s">
        <v>3</v>
      </c>
      <c r="H2" s="301"/>
      <c r="I2" s="301" t="str">
        <f>MAIN!$J$53</f>
        <v>Armor</v>
      </c>
      <c r="J2" s="301"/>
      <c r="K2" s="301">
        <f>MAIN!$L$53</f>
        <v>1</v>
      </c>
      <c r="L2" s="301"/>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91"/>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91">
        <v>1</v>
      </c>
      <c r="V4" s="291" t="str">
        <f>"+"&amp;ROUND(MAIN!$C$55*$C$2*$K$2/5*$U$4,0)&amp;" "&amp;$I$2</f>
        <v>+7 Armor</v>
      </c>
      <c r="W4" s="291" t="str">
        <f>"+"&amp;ROUND(MAIN!$D$55*$C$2*$K$2/5*$U$4,0)&amp;" "&amp;$I$2</f>
        <v>+11 Armor</v>
      </c>
      <c r="X4" s="291" t="str">
        <f>"+"&amp;ROUND(MAIN!$E$55*$C$2*$K$2/5*$U$4,0)&amp;" "&amp;$I$2</f>
        <v>+18 Armor</v>
      </c>
      <c r="Y4" s="291" t="str">
        <f>"+"&amp;ROUND(MAIN!$F$55*$C$2*$K$2/5*$U$4,0)&amp;" "&amp;$I$2</f>
        <v>+31 Armor</v>
      </c>
      <c r="Z4" s="291" t="str">
        <f>"+"&amp;ROUND(MAIN!$G$55*$C$2*$K$2/5*$U$4,0)&amp;" "&amp;$I$2</f>
        <v>+52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91">
        <v>2</v>
      </c>
      <c r="V5" s="291" t="str">
        <f>"+"&amp;ROUND(MAIN!$C$55*$C$2*$K$2/5*$U$5,0)&amp;" "&amp;$I$2</f>
        <v>+14 Armor</v>
      </c>
      <c r="W5" s="291" t="str">
        <f>"+"&amp;ROUND(MAIN!$D$55*$C$2*$K$2/5*$U$5,0)&amp;" "&amp;$I$2</f>
        <v>+22 Armor</v>
      </c>
      <c r="X5" s="291" t="str">
        <f>"+"&amp;ROUND(MAIN!$E$55*$C$2*$K$2/5*$U$5,0)&amp;" "&amp;$I$2</f>
        <v>+36 Armor</v>
      </c>
      <c r="Y5" s="291" t="str">
        <f>"+"&amp;ROUND(MAIN!$F$55*$C$2*$K$2/5*$U$5,0)&amp;" "&amp;$I$2</f>
        <v>+62 Armor</v>
      </c>
      <c r="Z5" s="291" t="str">
        <f>"+"&amp;ROUND(MAIN!$G$55*$C$2*$K$2/5*$U$5,0)&amp;" "&amp;$I$2</f>
        <v>+104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+21 Armor</v>
      </c>
      <c r="W6" s="291" t="str">
        <f>"+"&amp;ROUND(MAIN!$D$55*$C$2*$K$2/5*$U$6,0)&amp;" "&amp;$I$2</f>
        <v>+34 Armor</v>
      </c>
      <c r="X6" s="291" t="str">
        <f>"+"&amp;ROUND(MAIN!$E$55*$C$2*$K$2/5*$U$6,0)&amp;" "&amp;$I$2</f>
        <v>+55 Armor</v>
      </c>
      <c r="Y6" s="291" t="str">
        <f>"+"&amp;ROUND(MAIN!$F$55*$C$2*$K$2/5*$U$6,0)&amp;" "&amp;$I$2</f>
        <v>+92 Armor</v>
      </c>
      <c r="Z6" s="291" t="str">
        <f>"+"&amp;ROUND(MAIN!$G$55*$C$2*$K$2/5*$U$6,0)&amp;" "&amp;$I$2</f>
        <v>+155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+28 Armor</v>
      </c>
      <c r="W7" s="291" t="str">
        <f>"+"&amp;ROUND(MAIN!$D$55*$C$2*$K$2/5*$U$7,0)&amp;" "&amp;$I$2</f>
        <v>+45 Armor</v>
      </c>
      <c r="X7" s="291" t="str">
        <f>"+"&amp;ROUND(MAIN!$E$55*$C$2*$K$2/5*$U$7,0)&amp;" "&amp;$I$2</f>
        <v>+73 Armor</v>
      </c>
      <c r="Y7" s="291" t="str">
        <f>"+"&amp;ROUND(MAIN!$F$55*$C$2*$K$2/5*$U$7,0)&amp;" "&amp;$I$2</f>
        <v>+123 Armor</v>
      </c>
      <c r="Z7" s="291" t="str">
        <f>"+"&amp;ROUND(MAIN!$G$55*$C$2*$K$2/5*$U$7,0)&amp;" "&amp;$I$2</f>
        <v>+207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+35 Armor</v>
      </c>
      <c r="W8" s="291" t="str">
        <f>"+"&amp;ROUND(MAIN!$D$55*$C$2*$K$2/5*$U$8,0)&amp;" "&amp;$I$2</f>
        <v>+56 Armor</v>
      </c>
      <c r="X8" s="291" t="str">
        <f>"+"&amp;ROUND(MAIN!$E$55*$C$2*$K$2/5*$U$8,0)&amp;" "&amp;$I$2</f>
        <v>+91 Armor</v>
      </c>
      <c r="Y8" s="291" t="str">
        <f>"+"&amp;ROUND(MAIN!$F$55*$C$2*$K$2/5*$U$8,0)&amp;" "&amp;$I$2</f>
        <v>+154 Armor</v>
      </c>
      <c r="Z8" s="291" t="str">
        <f>"+"&amp;ROUND(MAIN!$G$55*$C$2*$K$2/5*$U$8,0)&amp;" "&amp;$I$2</f>
        <v>+259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 t="shared" ref="E12" si="6">$A$12</f>
        <v xml:space="preserve">  minimumBonusEnchantments: 3</v>
      </c>
      <c r="F12" s="11"/>
      <c r="G12" s="11"/>
      <c r="H12" s="11"/>
      <c r="I12" s="11" t="str">
        <f t="shared" ref="I12" si="7">$A$12</f>
        <v xml:space="preserve">  minimumBonusEnchantments: 3</v>
      </c>
      <c r="J12" s="11"/>
      <c r="K12" s="11"/>
      <c r="L12" s="11"/>
      <c r="M12" s="11" t="str">
        <f t="shared" ref="M12" si="8">$A$12</f>
        <v xml:space="preserve">  minimumBonusEnchantments: 3</v>
      </c>
      <c r="N12" s="11"/>
      <c r="O12" s="11"/>
      <c r="P12" s="11"/>
      <c r="Q12" s="11" t="str">
        <f t="shared" ref="Q12" si="9">$A$12</f>
        <v xml:space="preserve">  minimumBonusEnchantments: 3</v>
      </c>
      <c r="R12" s="11"/>
      <c r="S12" s="11"/>
      <c r="T12" s="11"/>
    </row>
    <row r="13" spans="1:26" x14ac:dyDescent="0.25">
      <c r="A13" s="11" t="str">
        <f>'armas legendario'!$A$13</f>
        <v xml:space="preserve">  maximumBonusEnchantments: 4</v>
      </c>
      <c r="B13" s="11"/>
      <c r="C13" s="11"/>
      <c r="D13" s="11"/>
      <c r="E13" s="11" t="str">
        <f t="shared" ref="E13" si="10">$A$13</f>
        <v xml:space="preserve">  maximumBonusEnchantments: 4</v>
      </c>
      <c r="F13" s="11"/>
      <c r="G13" s="11"/>
      <c r="H13" s="11"/>
      <c r="I13" s="11" t="str">
        <f t="shared" ref="I13" si="11">$A$13</f>
        <v xml:space="preserve">  maximumBonusEnchantments: 4</v>
      </c>
      <c r="J13" s="11"/>
      <c r="K13" s="11"/>
      <c r="L13" s="11"/>
      <c r="M13" s="11" t="str">
        <f t="shared" ref="M13" si="12">$A$13</f>
        <v xml:space="preserve">  maximumBonusEnchantments: 4</v>
      </c>
      <c r="N13" s="11"/>
      <c r="O13" s="11"/>
      <c r="P13" s="11"/>
      <c r="Q13" s="11" t="str">
        <f t="shared" ref="Q13" si="13">$A$13</f>
        <v xml:space="preserve">  maximumBonusEnchantments: 4</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s="21" customFormat="1"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 t="shared" ref="E59" si="14">$A$59</f>
        <v xml:space="preserve">  minimumBonusLore: 2</v>
      </c>
      <c r="F59" s="11"/>
      <c r="G59" s="11"/>
      <c r="H59" s="11"/>
      <c r="I59" s="11" t="str">
        <f t="shared" ref="I59" si="15">$A$59</f>
        <v xml:space="preserve">  minimumBonusLore: 2</v>
      </c>
      <c r="J59" s="11"/>
      <c r="K59" s="11"/>
      <c r="L59" s="11"/>
      <c r="M59" s="11" t="str">
        <f t="shared" ref="M59" si="16">$A$59</f>
        <v xml:space="preserve">  minimumBonusLore: 2</v>
      </c>
      <c r="N59" s="11"/>
      <c r="O59" s="11"/>
      <c r="P59" s="11"/>
      <c r="Q59" s="11" t="str">
        <f t="shared" ref="Q59" si="17">$A$59</f>
        <v xml:space="preserve">  minimumBonusLore: 2</v>
      </c>
      <c r="R59" s="11"/>
      <c r="S59" s="11"/>
      <c r="T59" s="11"/>
    </row>
    <row r="60" spans="1:20" x14ac:dyDescent="0.25">
      <c r="A60" s="11" t="str">
        <f>'armas legendario'!$A$60</f>
        <v xml:space="preserve">  maximumBonusLore: 3</v>
      </c>
      <c r="B60" s="11"/>
      <c r="C60" s="11"/>
      <c r="D60" s="11"/>
      <c r="E60" s="11" t="str">
        <f t="shared" ref="E60" si="18">$A$60</f>
        <v xml:space="preserve">  maximumBonusLore: 3</v>
      </c>
      <c r="F60" s="11"/>
      <c r="G60" s="11"/>
      <c r="H60" s="11"/>
      <c r="I60" s="11" t="str">
        <f t="shared" ref="I60" si="19">$A$60</f>
        <v xml:space="preserve">  maximumBonusLore: 3</v>
      </c>
      <c r="J60" s="11"/>
      <c r="K60" s="11"/>
      <c r="L60" s="11"/>
      <c r="M60" s="11" t="str">
        <f t="shared" ref="M60" si="20">$A$60</f>
        <v xml:space="preserve">  maximumBonusLore: 3</v>
      </c>
      <c r="N60" s="11"/>
      <c r="O60" s="11"/>
      <c r="P60" s="11"/>
      <c r="Q60" s="11" t="str">
        <f t="shared" ref="Q60" si="21">$A$60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49" t="str">
        <f>"  - '&amp;aVenta: &amp;6"&amp;(MAIN!$F$2+(MAIN!$F$18+MAIN!$F$19)/2*MAIN!$B$9+(MAIN!$F$20+MAIN!$F$21)/2*MAIN!$B$8+(MAIN!$F$58*MAIN!$B$11)+($C$2*MAIN!$B$10))/10&amp;" &amp;aAlmakos'"</f>
        <v xml:space="preserve">  - '&amp;aVenta: &amp;6662.5 &amp;aAlmakos'</v>
      </c>
      <c r="B62" s="20"/>
      <c r="C62" s="20"/>
      <c r="D62" s="20"/>
      <c r="E62" s="20" t="str">
        <f>"  - '&amp;aVenta: &amp;6"&amp;(MAIN!$G$2+(MAIN!$F$18+MAIN!$F$19)/2*MAIN!$B$9+(MAIN!$F$20+MAIN!$F$21)/2*MAIN!$B$8+(MAIN!$F$58*MAIN!$B$11)+($C$2*MAIN!$B$10))/10&amp;" &amp;aAlmakos'"</f>
        <v xml:space="preserve">  - '&amp;aVenta: &amp;6762.5 &amp;aAlmakos'</v>
      </c>
      <c r="F62" s="20"/>
      <c r="G62" s="20"/>
      <c r="H62" s="20"/>
      <c r="I62" s="20" t="str">
        <f>"  - '&amp;aVenta: &amp;6"&amp;(MAIN!$H$2+(MAIN!$F$18+MAIN!$F$19)/2*MAIN!$B$9+(MAIN!$F$20+MAIN!$F$21)/2*MAIN!$B$8+(MAIN!$F$58*MAIN!$B$11)+($C$2*MAIN!$B$10))/10&amp;" &amp;aAlmakos'"</f>
        <v xml:space="preserve">  - '&amp;aVenta: &amp;6962.5 &amp;aAlmakos'</v>
      </c>
      <c r="J62" s="20"/>
      <c r="K62" s="20"/>
      <c r="L62" s="20"/>
      <c r="M62" s="20" t="str">
        <f>"  - '&amp;aVenta: &amp;6"&amp;(MAIN!$I$2+(MAIN!$F$18+MAIN!$F$19)/2*MAIN!$B$9+(MAIN!$F$20+MAIN!$F$21)/2*MAIN!$B$8+(MAIN!$F$58*MAIN!$B$11)+($C$2*MAIN!$B$10))/10&amp;" &amp;aAlmakos'"</f>
        <v xml:space="preserve">  - '&amp;aVenta: &amp;61362.5 &amp;aAlmakos'</v>
      </c>
      <c r="N62" s="20"/>
      <c r="O62" s="20"/>
      <c r="P62" s="20"/>
      <c r="Q62" s="20" t="str">
        <f>"  - '&amp;aVenta: &amp;6"&amp;(MAIN!$J$2+(MAIN!$F$18+MAIN!$F$19)/2*MAIN!$B$9+(MAIN!$F$20+MAIN!$F$21)/2*MAIN!$B$8+(MAIN!$F$58*MAIN!$B$11)+($C$2*MAIN!$B$10))/10&amp;" &amp;aAlmakos'"</f>
        <v xml:space="preserve">  - '&amp;aVenta: &amp;62162.5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&amp;a43'</v>
      </c>
      <c r="B66" s="10"/>
      <c r="C66" s="10"/>
      <c r="D66" s="10"/>
      <c r="E66" s="10" t="str">
        <f>"  - '&amp;7• &amp;8Nivel: &amp;a"&amp;MAIN!$D$60+($C$2*MAIN!$I$27)&amp;"'"</f>
        <v xml:space="preserve">  - '&amp;7• &amp;8Nivel: &amp;a61'</v>
      </c>
      <c r="F66" s="10"/>
      <c r="G66" s="10"/>
      <c r="H66" s="10"/>
      <c r="I66" s="10" t="str">
        <f>"  - '&amp;7• &amp;8Nivel: &amp;a"&amp;MAIN!$E$60+($C$2*MAIN!$I$27)&amp;"'"</f>
        <v xml:space="preserve">  - '&amp;7• &amp;8Nivel: &amp;a115'</v>
      </c>
      <c r="J66" s="10"/>
      <c r="K66" s="10"/>
      <c r="L66" s="10"/>
      <c r="M66" s="10" t="str">
        <f>"  - '&amp;7• &amp;8Nivel: &amp;a"&amp;MAIN!$F$60+($C$2*MAIN!$I$27)&amp;"'"</f>
        <v xml:space="preserve">  - '&amp;7• &amp;8Nivel: &amp;a275'</v>
      </c>
      <c r="N66" s="10"/>
      <c r="O66" s="10"/>
      <c r="P66" s="10"/>
      <c r="Q66" s="10" t="str">
        <f>"  - '&amp;7• &amp;8Nivel: &amp;a"&amp;MAIN!$G$60+($C$2*MAIN!$I$27)&amp;"'"</f>
        <v xml:space="preserve">  - '&amp;7• &amp;8Nivel: &amp;a515'</v>
      </c>
      <c r="R66" s="10"/>
      <c r="S66" s="10"/>
      <c r="T66" s="10"/>
    </row>
    <row r="67" spans="1:20" x14ac:dyDescent="0.25">
      <c r="A67" s="12" t="str">
        <f>"  - '&amp;7• &amp;8"&amp;MAIN!$C$12&amp;" lvl: &amp;a"&amp;ROUNDUP((MAIN!$C$60+($C$2*MAIN!$I$27))/3,0)&amp;"'"</f>
        <v xml:space="preserve">  - '&amp;7• &amp;8Esencia lvl: &amp;a15'</v>
      </c>
      <c r="B67" s="12"/>
      <c r="C67" s="12"/>
      <c r="D67" s="12"/>
      <c r="E67" s="12" t="str">
        <f>"  - '&amp;7• &amp;8"&amp;MAIN!$C$12&amp;" lvl: &amp;a"&amp;ROUNDUP((MAIN!$D$60+($C$2*MAIN!$I$27))/3,0)&amp;"'"</f>
        <v xml:space="preserve">  - '&amp;7• &amp;8Esencia lvl: &amp;a21'</v>
      </c>
      <c r="F67" s="12"/>
      <c r="G67" s="12"/>
      <c r="H67" s="12"/>
      <c r="I67" s="12" t="str">
        <f>"  - '&amp;7• &amp;8"&amp;MAIN!$C$12&amp;" lvl: &amp;a"&amp;ROUNDUP((MAIN!$E$60+($C$2*MAIN!$I$27))/3,0)&amp;"'"</f>
        <v xml:space="preserve">  - '&amp;7• &amp;8Esencia lvl: &amp;a39'</v>
      </c>
      <c r="J67" s="12"/>
      <c r="K67" s="12"/>
      <c r="L67" s="12"/>
      <c r="M67" s="12" t="str">
        <f>"  - '&amp;7• &amp;8"&amp;MAIN!$C$12&amp;" lvl: &amp;a"&amp;ROUNDUP((MAIN!$F$60+($C$2*MAIN!$I$27))/3,0)&amp;"'"</f>
        <v xml:space="preserve">  - '&amp;7• &amp;8Esencia lvl: &amp;a92'</v>
      </c>
      <c r="N67" s="12"/>
      <c r="O67" s="12"/>
      <c r="P67" s="12"/>
      <c r="Q67" s="12" t="str">
        <f>"  - '&amp;7• &amp;8"&amp;MAIN!$C$12&amp;" lvl: &amp;a"&amp;ROUNDUP((MAIN!$G$60+($C$2*MAIN!$I$27))/3,0)&amp;"'"</f>
        <v xml:space="preserve">  - '&amp;7• &amp;8Esencia lvl: &amp;a172'</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&amp;a35'</v>
      </c>
      <c r="B71" s="10"/>
      <c r="C71" s="10"/>
      <c r="D71" s="10"/>
      <c r="E71" s="10" t="str">
        <f>"  - '&amp;4• &amp;f"&amp;MAIN!$C$9&amp;": &amp;a"&amp;MAIN!$D$55*$C$2&amp;"'"</f>
        <v xml:space="preserve">  - '&amp;4• &amp;fFuerza: &amp;a56'</v>
      </c>
      <c r="F71" s="10"/>
      <c r="G71" s="10"/>
      <c r="H71" s="10"/>
      <c r="I71" s="10" t="str">
        <f>"  - '&amp;4• &amp;f"&amp;MAIN!$C$9&amp;": &amp;a"&amp;MAIN!$E$55*$C$2&amp;"'"</f>
        <v xml:space="preserve">  - '&amp;4• &amp;fFuerza: &amp;a91'</v>
      </c>
      <c r="J71" s="10"/>
      <c r="K71" s="10"/>
      <c r="L71" s="10"/>
      <c r="M71" s="10" t="str">
        <f>"  - '&amp;4• &amp;f"&amp;MAIN!$C$9&amp;": &amp;a"&amp;MAIN!$F$55*$C$2&amp;"'"</f>
        <v xml:space="preserve">  - '&amp;4• &amp;fFuerza: &amp;a154'</v>
      </c>
      <c r="N71" s="10"/>
      <c r="O71" s="10"/>
      <c r="P71" s="10"/>
      <c r="Q71" s="10" t="str">
        <f>"  - '&amp;4• &amp;f"&amp;MAIN!$C$9&amp;": &amp;a"&amp;MAIN!$G$55*$C$2&amp;"'"</f>
        <v xml:space="preserve">  - '&amp;4• &amp;fFuerza: &amp;a259'</v>
      </c>
      <c r="R71" s="10"/>
      <c r="S71" s="10"/>
      <c r="T71" s="10"/>
    </row>
    <row r="72" spans="1:20" x14ac:dyDescent="0.25">
      <c r="A72" s="10" t="str">
        <f>"  - '&amp;4• &amp;f"&amp;MAIN!$C$8&amp;": &amp;a"&amp;MAIN!$C$55*$C$2&amp;"'"</f>
        <v xml:space="preserve">  - '&amp;4• &amp;fVitalidad: &amp;a35'</v>
      </c>
      <c r="B72" s="10"/>
      <c r="C72" s="10"/>
      <c r="D72" s="10"/>
      <c r="E72" s="10" t="str">
        <f>"  - '&amp;4• &amp;f"&amp;MAIN!$C$8&amp;": &amp;a"&amp;MAIN!$D$55*$C$2&amp;"'"</f>
        <v xml:space="preserve">  - '&amp;4• &amp;fVitalidad: &amp;a56'</v>
      </c>
      <c r="F72" s="10"/>
      <c r="G72" s="10"/>
      <c r="H72" s="10"/>
      <c r="I72" s="10" t="str">
        <f>"  - '&amp;4• &amp;f"&amp;MAIN!$C$8&amp;": &amp;a"&amp;MAIN!$E$55*$C$2&amp;"'"</f>
        <v xml:space="preserve">  - '&amp;4• &amp;fVitalidad: &amp;a91'</v>
      </c>
      <c r="J72" s="10"/>
      <c r="K72" s="10"/>
      <c r="L72" s="10"/>
      <c r="M72" s="10" t="str">
        <f>"  - '&amp;4• &amp;f"&amp;MAIN!$C$8&amp;": &amp;a"&amp;MAIN!$F$55*$C$2&amp;"'"</f>
        <v xml:space="preserve">  - '&amp;4• &amp;fVitalidad: &amp;a154'</v>
      </c>
      <c r="N72" s="10"/>
      <c r="O72" s="10"/>
      <c r="P72" s="10"/>
      <c r="Q72" s="10" t="str">
        <f>"  - '&amp;4• &amp;f"&amp;MAIN!$C$8&amp;": &amp;a"&amp;MAIN!$G$55*$C$2&amp;"'"</f>
        <v xml:space="preserve">  - '&amp;4• &amp;fVitalidad: &amp;a259'</v>
      </c>
      <c r="R72" s="10"/>
      <c r="S72" s="10"/>
      <c r="T72" s="10"/>
    </row>
    <row r="73" spans="1:20" x14ac:dyDescent="0.25">
      <c r="A73" s="10" t="str">
        <f>"  - '&amp;4• &amp;f"&amp;MAIN!$C$11&amp;": &amp;a"&amp;MAIN!$C$54*$C$2&amp;"'"</f>
        <v xml:space="preserve">  - '&amp;4• &amp;fInteligencia: &amp;a35'</v>
      </c>
      <c r="B73" s="10"/>
      <c r="C73" s="10"/>
      <c r="D73" s="10"/>
      <c r="E73" s="10" t="str">
        <f>"  - '&amp;4• &amp;f"&amp;MAIN!$C$11&amp;": &amp;a"&amp;MAIN!$D$54*$C$2&amp;"'"</f>
        <v xml:space="preserve">  - '&amp;4• &amp;fInteligencia: &amp;a56'</v>
      </c>
      <c r="F73" s="10"/>
      <c r="G73" s="10"/>
      <c r="H73" s="10"/>
      <c r="I73" s="10" t="str">
        <f>"  - '&amp;4• &amp;f"&amp;MAIN!$C$11&amp;": &amp;a"&amp;MAIN!$E$54*$C$2&amp;"'"</f>
        <v xml:space="preserve">  - '&amp;4• &amp;fInteligencia: &amp;a91'</v>
      </c>
      <c r="J73" s="10"/>
      <c r="K73" s="10"/>
      <c r="L73" s="10"/>
      <c r="M73" s="10" t="str">
        <f>"  - '&amp;4• &amp;f"&amp;MAIN!$C$11&amp;": &amp;a"&amp;MAIN!$F$54*$C$2&amp;"'"</f>
        <v xml:space="preserve">  - '&amp;4• &amp;fInteligencia: &amp;a154'</v>
      </c>
      <c r="N73" s="10"/>
      <c r="O73" s="10"/>
      <c r="P73" s="10"/>
      <c r="Q73" s="10" t="str">
        <f>"  - '&amp;4• &amp;f"&amp;MAIN!$C$11&amp;": &amp;a"&amp;MAIN!$G$54*$C$2&amp;"'"</f>
        <v xml:space="preserve">  - '&amp;4• &amp;fInteligencia: &amp;a259'</v>
      </c>
      <c r="R73" s="10"/>
      <c r="S73" s="10"/>
      <c r="T73" s="10"/>
    </row>
    <row r="74" spans="1:20" x14ac:dyDescent="0.25">
      <c r="A74" s="10" t="str">
        <f>"  - '&amp;4• &amp;f"&amp;MAIN!$C$10&amp;": &amp;a"&amp;MAIN!$C$56*$C$2&amp;"'"</f>
        <v xml:space="preserve">  - '&amp;4• &amp;fAgilidad: &amp;a35'</v>
      </c>
      <c r="B74" s="10"/>
      <c r="C74" s="10"/>
      <c r="D74" s="10"/>
      <c r="E74" s="10" t="str">
        <f>"  - '&amp;4• &amp;f"&amp;MAIN!$C$10&amp;": &amp;a"&amp;MAIN!$D$56*$C$2&amp;"'"</f>
        <v xml:space="preserve">  - '&amp;4• &amp;fAgilidad: &amp;a56'</v>
      </c>
      <c r="F74" s="10"/>
      <c r="G74" s="10"/>
      <c r="H74" s="10"/>
      <c r="I74" s="10" t="str">
        <f>"  - '&amp;4• &amp;f"&amp;MAIN!$C$10&amp;": &amp;a"&amp;MAIN!$E$56*$C$2&amp;"'"</f>
        <v xml:space="preserve">  - '&amp;4• &amp;fAgilidad: &amp;a91'</v>
      </c>
      <c r="J74" s="10"/>
      <c r="K74" s="10"/>
      <c r="L74" s="10"/>
      <c r="M74" s="10" t="str">
        <f>"  - '&amp;4• &amp;f"&amp;MAIN!$C$10&amp;": &amp;a"&amp;MAIN!$F$56*$C$2&amp;"'"</f>
        <v xml:space="preserve">  - '&amp;4• &amp;fAgilidad: &amp;a154'</v>
      </c>
      <c r="N74" s="10"/>
      <c r="O74" s="10"/>
      <c r="P74" s="10"/>
      <c r="Q74" s="10" t="str">
        <f>"  - '&amp;4• &amp;f"&amp;MAIN!$C$10&amp;": &amp;a"&amp;MAIN!$G$56*$C$2&amp;"'"</f>
        <v xml:space="preserve">  - '&amp;4• &amp;fAgilidad: &amp;a259'</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x14ac:dyDescent="0.25">
      <c r="A78" s="11" t="str">
        <f>'armas legendario'!$A$78</f>
        <v>maximumSockets: 3</v>
      </c>
      <c r="B78" s="11"/>
      <c r="C78" s="11"/>
      <c r="D78" s="11"/>
      <c r="E78" s="11" t="str">
        <f t="shared" ref="E78" si="26">$A$78</f>
        <v>maximumSockets: 3</v>
      </c>
      <c r="F78" s="11"/>
      <c r="G78" s="11"/>
      <c r="H78" s="11"/>
      <c r="I78" s="11" t="str">
        <f t="shared" ref="I78" si="27">$A$78</f>
        <v>maximumSockets: 3</v>
      </c>
      <c r="J78" s="11"/>
      <c r="K78" s="11"/>
      <c r="L78" s="11"/>
      <c r="M78" s="11" t="str">
        <f t="shared" ref="M78" si="28">$A$78</f>
        <v>maximumSockets: 3</v>
      </c>
      <c r="N78" s="11"/>
      <c r="O78" s="11"/>
      <c r="P78" s="11"/>
      <c r="Q78" s="11" t="str">
        <f t="shared" ref="Q78" si="29">$A$78</f>
        <v>maximumSockets: 3</v>
      </c>
      <c r="R78" s="11"/>
      <c r="S78" s="11"/>
      <c r="T78" s="11"/>
    </row>
    <row r="79" spans="1:20" s="293"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 t="shared" ref="E85" si="30">$A$85</f>
        <v>maximumDistance: 1800</v>
      </c>
      <c r="F85" s="11"/>
      <c r="G85" s="11"/>
      <c r="H85" s="11"/>
      <c r="I85" s="11" t="str">
        <f t="shared" ref="I85" si="31">$A$85</f>
        <v>maximumDistance: 1800</v>
      </c>
      <c r="J85" s="11"/>
      <c r="K85" s="11"/>
      <c r="L85" s="11"/>
      <c r="M85" s="11" t="str">
        <f t="shared" ref="M85" si="32">$A$85</f>
        <v>maximumDistance: 1800</v>
      </c>
      <c r="N85" s="11"/>
      <c r="O85" s="11"/>
      <c r="P85" s="11"/>
      <c r="Q85" s="11" t="str">
        <f t="shared" ref="Q85" si="33">$A$85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Z189"/>
  <sheetViews>
    <sheetView topLeftCell="A70"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1" t="s">
        <v>19</v>
      </c>
      <c r="B1" s="351"/>
      <c r="C1" s="351" t="s">
        <v>70</v>
      </c>
      <c r="D1" s="351"/>
      <c r="E1" s="351" t="s">
        <v>80</v>
      </c>
      <c r="F1" s="351"/>
      <c r="G1" s="351" t="s">
        <v>89</v>
      </c>
      <c r="H1" s="351"/>
      <c r="I1" s="351" t="s">
        <v>1197</v>
      </c>
      <c r="J1" s="351"/>
      <c r="K1" s="351" t="s">
        <v>1199</v>
      </c>
      <c r="L1" s="351"/>
    </row>
    <row r="2" spans="1:26" x14ac:dyDescent="0.25">
      <c r="A2" s="301" t="s">
        <v>104</v>
      </c>
      <c r="B2" s="301"/>
      <c r="C2" s="301">
        <f>'ECONOMIA &amp; PROFESIONES'!$Q$3</f>
        <v>7</v>
      </c>
      <c r="D2" s="301"/>
      <c r="E2" s="301" t="s">
        <v>81</v>
      </c>
      <c r="F2" s="301"/>
      <c r="G2" s="301" t="s">
        <v>3</v>
      </c>
      <c r="H2" s="301"/>
      <c r="I2" s="301" t="str">
        <f>MAIN!$J$53</f>
        <v>Armor</v>
      </c>
      <c r="J2" s="301"/>
      <c r="K2" s="301">
        <f>MAIN!$L$53</f>
        <v>1</v>
      </c>
      <c r="L2" s="301"/>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"+"&amp;ROUND(MAIN!$C$66*$C$2*$K$2/5*$U$4,0)&amp;" "&amp;$I$2</f>
        <v>+11 Armor</v>
      </c>
      <c r="W4" s="2" t="str">
        <f>"+"&amp;ROUND(MAIN!$D$66*$C$2*$K$2/5*$U$4,0)&amp;" "&amp;$I$2</f>
        <v>+18 Armor</v>
      </c>
      <c r="X4" s="2" t="str">
        <f>"+"&amp;ROUND(MAIN!$E$66*$C$2*$K$2/5*$U$4,0)&amp;" "&amp;$I$2</f>
        <v>+31 Armor</v>
      </c>
      <c r="Y4" s="2" t="str">
        <f>"+"&amp;ROUND(MAIN!$F$66*$C$2*$K$2/5*$U$4,0)&amp;" "&amp;$I$2</f>
        <v>+52 Armor</v>
      </c>
      <c r="Z4" s="2" t="str">
        <f>"+"&amp;ROUND(MAIN!$G$66*$C$2*$K$2/5*$U$4,0)&amp;" "&amp;$I$2</f>
        <v>+87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"+"&amp;ROUND(MAIN!$C$66*$C$2*$K$2/5*$U$5,0)&amp;" "&amp;$I$2</f>
        <v>+22 Armor</v>
      </c>
      <c r="W5" s="2" t="str">
        <f>"+"&amp;ROUND(MAIN!$D$66*$C$2*$K$2/5*$U$5,0)&amp;" "&amp;$I$2</f>
        <v>+36 Armor</v>
      </c>
      <c r="X5" s="2" t="str">
        <f>"+"&amp;ROUND(MAIN!$E$66*$C$2*$K$2/5*$U$5,0)&amp;" "&amp;$I$2</f>
        <v>+62 Armor</v>
      </c>
      <c r="Y5" s="2" t="str">
        <f>"+"&amp;ROUND(MAIN!$F$66*$C$2*$K$2/5*$U$5,0)&amp;" "&amp;$I$2</f>
        <v>+104 Armor</v>
      </c>
      <c r="Z5" s="2" t="str">
        <f>"+"&amp;ROUND(MAIN!$G$66*$C$2*$K$2/5*$U$5,0)&amp;" "&amp;$I$2</f>
        <v>+174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+34 Armor</v>
      </c>
      <c r="W6" s="2" t="str">
        <f>"+"&amp;ROUND(MAIN!$D$66*$C$2*$K$2/5*$U$6,0)&amp;" "&amp;$I$2</f>
        <v>+55 Armor</v>
      </c>
      <c r="X6" s="2" t="str">
        <f>"+"&amp;ROUND(MAIN!$E$66*$C$2*$K$2/5*$U$6,0)&amp;" "&amp;$I$2</f>
        <v>+92 Armor</v>
      </c>
      <c r="Y6" s="2" t="str">
        <f>"+"&amp;ROUND(MAIN!$F$66*$C$2*$K$2/5*$U$6,0)&amp;" "&amp;$I$2</f>
        <v>+155 Armor</v>
      </c>
      <c r="Z6" s="2" t="str">
        <f>"+"&amp;ROUND(MAIN!$G$66*$C$2*$K$2/5*$U$6,0)&amp;" "&amp;$I$2</f>
        <v>+260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+45 Armor</v>
      </c>
      <c r="W7" s="2" t="str">
        <f>"+"&amp;ROUND(MAIN!$D$66*$C$2*$K$2/5*$U$7,0)&amp;" "&amp;$I$2</f>
        <v>+73 Armor</v>
      </c>
      <c r="X7" s="2" t="str">
        <f>"+"&amp;ROUND(MAIN!$E$66*$C$2*$K$2/5*$U$7,0)&amp;" "&amp;$I$2</f>
        <v>+123 Armor</v>
      </c>
      <c r="Y7" s="2" t="str">
        <f>"+"&amp;ROUND(MAIN!$F$66*$C$2*$K$2/5*$U$7,0)&amp;" "&amp;$I$2</f>
        <v>+207 Armor</v>
      </c>
      <c r="Z7" s="2" t="str">
        <f>"+"&amp;ROUND(MAIN!$G$66*$C$2*$K$2/5*$U$7,0)&amp;" "&amp;$I$2</f>
        <v>+347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+56 Armor</v>
      </c>
      <c r="W8" s="2" t="str">
        <f>"+"&amp;ROUND(MAIN!$D$66*$C$2*$K$2/5*$U$8,0)&amp;" "&amp;$I$2</f>
        <v>+91 Armor</v>
      </c>
      <c r="X8" s="2" t="str">
        <f>"+"&amp;ROUND(MAIN!$E$66*$C$2*$K$2/5*$U$8,0)&amp;" "&amp;$I$2</f>
        <v>+154 Armor</v>
      </c>
      <c r="Y8" s="2" t="str">
        <f>"+"&amp;ROUND(MAIN!$F$66*$C$2*$K$2/5*$U$8,0)&amp;" "&amp;$I$2</f>
        <v>+259 Armor</v>
      </c>
      <c r="Z8" s="2" t="str">
        <f>"+"&amp;ROUND(MAIN!$G$66*$C$2*$K$2/5*$U$8,0)&amp;" "&amp;$I$2</f>
        <v>+434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s="21" customFormat="1"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&amp;6"&amp;(MAIN!$F$3+(MAIN!$F$18+MAIN!$F$19)/2*MAIN!$B$9+(MAIN!$F$20+MAIN!$F$21)/2*MAIN!$B$8+(MAIN!$F$69*MAIN!$B$11)+($C$2*MAIN!$B$10))/10&amp;" &amp;aAlmakos'"</f>
        <v xml:space="preserve">  - '&amp;aVenta: &amp;6760 &amp;aAlmakos'</v>
      </c>
      <c r="B62" s="20"/>
      <c r="C62" s="20"/>
      <c r="D62" s="20"/>
      <c r="E62" s="20" t="str">
        <f>"  - '&amp;aVenta: &amp;6"&amp;(MAIN!$G$3+(MAIN!$F$18+MAIN!$F$19)/2*MAIN!$B$9+(MAIN!$F$20+MAIN!$F$21)/2*MAIN!$B$8+(MAIN!$F$69*MAIN!$B$11)+($C$2*MAIN!$B$10))/10&amp;" &amp;aAlmakos'"</f>
        <v xml:space="preserve">  - '&amp;aVenta: &amp;6920 &amp;aAlmakos'</v>
      </c>
      <c r="F62" s="20"/>
      <c r="G62" s="20"/>
      <c r="H62" s="20"/>
      <c r="I62" s="20" t="str">
        <f>"  - '&amp;aVenta: &amp;6"&amp;(MAIN!$H$3+(MAIN!$F$18+MAIN!$F$19)/2*MAIN!$B$9+(MAIN!$F$20+MAIN!$F$21)/2*MAIN!$B$8+(MAIN!$F$69*MAIN!$B$11)+($C$2*MAIN!$B$10))/10&amp;" &amp;aAlmakos'"</f>
        <v xml:space="preserve">  - '&amp;aVenta: &amp;61240 &amp;aAlmakos'</v>
      </c>
      <c r="J62" s="20"/>
      <c r="K62" s="20"/>
      <c r="L62" s="20"/>
      <c r="M62" s="20" t="str">
        <f>"  - '&amp;aVenta: &amp;6"&amp;(MAIN!$I$3+(MAIN!$F$18+MAIN!$F$19)/2*MAIN!$B$9+(MAIN!$F$20+MAIN!$F$21)/2*MAIN!$B$8+(MAIN!$F$69*MAIN!$B$11)+($C$2*MAIN!$B$10))/10&amp;" &amp;aAlmakos'"</f>
        <v xml:space="preserve">  - '&amp;aVenta: &amp;61880 &amp;aAlmakos'</v>
      </c>
      <c r="N62" s="20"/>
      <c r="O62" s="20"/>
      <c r="P62" s="20"/>
      <c r="Q62" s="20" t="str">
        <f>"  - '&amp;aVenta: &amp;6"&amp;(MAIN!$J$3+(MAIN!$F$18+MAIN!$F$19)/2*MAIN!$B$9+(MAIN!$F$20+MAIN!$F$21)/2*MAIN!$B$8+(MAIN!$F$69*MAIN!$B$11)+($C$2*MAIN!$B$10))/10&amp;" &amp;aAlmakos'"</f>
        <v xml:space="preserve">  - '&amp;aVenta: &amp;63160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&amp;a49'</v>
      </c>
      <c r="B66" s="10"/>
      <c r="C66" s="10"/>
      <c r="D66" s="10"/>
      <c r="E66" s="10" t="str">
        <f>"  - '&amp;7• &amp;8Nivel: &amp;a"&amp;MAIN!$D$71+($C$2*MAIN!$I$27)&amp;"'"</f>
        <v xml:space="preserve">  - '&amp;7• &amp;8Nivel: &amp;a77'</v>
      </c>
      <c r="F66" s="10"/>
      <c r="G66" s="10"/>
      <c r="H66" s="10"/>
      <c r="I66" s="10" t="str">
        <f>"  - '&amp;7• &amp;8Nivel: &amp;a"&amp;MAIN!$E$71+($C$2*MAIN!$I$27)&amp;"'"</f>
        <v xml:space="preserve">  - '&amp;7• &amp;8Nivel: &amp;a163'</v>
      </c>
      <c r="J66" s="10"/>
      <c r="K66" s="10"/>
      <c r="L66" s="10"/>
      <c r="M66" s="10" t="str">
        <f>"  - '&amp;7• &amp;8Nivel: &amp;a"&amp;MAIN!$F$71+($C$2*MAIN!$I$27)&amp;"'"</f>
        <v xml:space="preserve">  - '&amp;7• &amp;8Nivel: &amp;a419'</v>
      </c>
      <c r="N66" s="10"/>
      <c r="O66" s="10"/>
      <c r="P66" s="10"/>
      <c r="Q66" s="10" t="str">
        <f>"  - '&amp;7• &amp;8Nivel: &amp;a"&amp;MAIN!$G$71+($C$2*MAIN!$I$27)&amp;"'"</f>
        <v xml:space="preserve">  - '&amp;7• &amp;8Nivel: &amp;a803'</v>
      </c>
      <c r="R66" s="10"/>
      <c r="S66" s="10"/>
      <c r="T66" s="10"/>
    </row>
    <row r="67" spans="1:20" x14ac:dyDescent="0.25">
      <c r="A67" s="12" t="str">
        <f>"  - '&amp;7• &amp;8"&amp;MAIN!$C$12&amp;" lvl: &amp;a"&amp;ROUNDUP((MAIN!$C$71+($C$2*MAIN!$I$27))/3,0)&amp;"'"</f>
        <v xml:space="preserve">  - '&amp;7• &amp;8Esencia lvl: &amp;a17'</v>
      </c>
      <c r="B67" s="12"/>
      <c r="C67" s="12"/>
      <c r="D67" s="12"/>
      <c r="E67" s="12" t="str">
        <f>"  - '&amp;7• &amp;8"&amp;MAIN!$C$12&amp;" lvl: &amp;a"&amp;ROUNDUP((MAIN!$D$71+($C$2*MAIN!$I$27))/3,0)&amp;"'"</f>
        <v xml:space="preserve">  - '&amp;7• &amp;8Esencia lvl: &amp;a26'</v>
      </c>
      <c r="F67" s="12"/>
      <c r="G67" s="12"/>
      <c r="H67" s="12"/>
      <c r="I67" s="12" t="str">
        <f>"  - '&amp;7• &amp;8"&amp;MAIN!$C$12&amp;" lvl: &amp;a"&amp;ROUNDUP((MAIN!$E$71+($C$2*MAIN!$I$27))/3,0)&amp;"'"</f>
        <v xml:space="preserve">  - '&amp;7• &amp;8Esencia lvl: &amp;a55'</v>
      </c>
      <c r="J67" s="12"/>
      <c r="K67" s="12"/>
      <c r="L67" s="12"/>
      <c r="M67" s="12" t="str">
        <f>"  - '&amp;7• &amp;8"&amp;MAIN!$C$12&amp;" lvl: &amp;a"&amp;ROUNDUP((MAIN!$F$71+($C$2*MAIN!$I$27))/3,0)&amp;"'"</f>
        <v xml:space="preserve">  - '&amp;7• &amp;8Esencia lvl: &amp;a140'</v>
      </c>
      <c r="N67" s="12"/>
      <c r="O67" s="12"/>
      <c r="P67" s="12"/>
      <c r="Q67" s="12" t="str">
        <f>"  - '&amp;7• &amp;8"&amp;MAIN!$C$12&amp;" lvl: &amp;a"&amp;ROUNDUP((MAIN!$G$71+($C$2*MAIN!$I$27))/3,0)&amp;"'"</f>
        <v xml:space="preserve">  - '&amp;7• &amp;8Esencia lvl: &amp;a268'</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&amp;a56'</v>
      </c>
      <c r="B71" s="10"/>
      <c r="C71" s="10"/>
      <c r="D71" s="10"/>
      <c r="E71" s="10" t="str">
        <f>"  - '&amp;4• &amp;f"&amp;MAIN!$C$9&amp;": &amp;a"&amp;MAIN!$D$66*$C$2&amp;"'"</f>
        <v xml:space="preserve">  - '&amp;4• &amp;fFuerza: &amp;a91'</v>
      </c>
      <c r="F71" s="10"/>
      <c r="G71" s="10"/>
      <c r="H71" s="10"/>
      <c r="I71" s="10" t="str">
        <f>"  - '&amp;4• &amp;f"&amp;MAIN!$C$9&amp;": &amp;a"&amp;MAIN!$E$66*$C$2&amp;"'"</f>
        <v xml:space="preserve">  - '&amp;4• &amp;fFuerza: &amp;a154'</v>
      </c>
      <c r="J71" s="10"/>
      <c r="K71" s="10"/>
      <c r="L71" s="10"/>
      <c r="M71" s="10" t="str">
        <f>"  - '&amp;4• &amp;f"&amp;MAIN!$C$9&amp;": &amp;a"&amp;MAIN!$F$66*$C$2&amp;"'"</f>
        <v xml:space="preserve">  - '&amp;4• &amp;fFuerza: &amp;a259'</v>
      </c>
      <c r="N71" s="10"/>
      <c r="O71" s="10"/>
      <c r="P71" s="10"/>
      <c r="Q71" s="10" t="str">
        <f>"  - '&amp;4• &amp;f"&amp;MAIN!$C$9&amp;": &amp;a"&amp;MAIN!$G$66*$C$2&amp;"'"</f>
        <v xml:space="preserve">  - '&amp;4• &amp;fFuerza: &amp;a434'</v>
      </c>
      <c r="R71" s="10"/>
      <c r="S71" s="10"/>
      <c r="T71" s="10"/>
    </row>
    <row r="72" spans="1:20" x14ac:dyDescent="0.25">
      <c r="A72" s="10" t="str">
        <f>"  - '&amp;4• &amp;f"&amp;MAIN!$C$8&amp;": &amp;a"&amp;MAIN!$C$66*$C$2&amp;"'"</f>
        <v xml:space="preserve">  - '&amp;4• &amp;fVitalidad: &amp;a56'</v>
      </c>
      <c r="B72" s="10"/>
      <c r="C72" s="10"/>
      <c r="D72" s="10"/>
      <c r="E72" s="10" t="str">
        <f>"  - '&amp;4• &amp;f"&amp;MAIN!$C$8&amp;": &amp;a"&amp;MAIN!$D$66*$C$2&amp;"'"</f>
        <v xml:space="preserve">  - '&amp;4• &amp;fVitalidad: &amp;a91'</v>
      </c>
      <c r="F72" s="10"/>
      <c r="G72" s="10"/>
      <c r="H72" s="10"/>
      <c r="I72" s="10" t="str">
        <f>"  - '&amp;4• &amp;f"&amp;MAIN!$C$8&amp;": &amp;a"&amp;MAIN!$E$66*$C$2&amp;"'"</f>
        <v xml:space="preserve">  - '&amp;4• &amp;fVitalidad: &amp;a154'</v>
      </c>
      <c r="J72" s="10"/>
      <c r="K72" s="10"/>
      <c r="L72" s="10"/>
      <c r="M72" s="10" t="str">
        <f>"  - '&amp;4• &amp;f"&amp;MAIN!$C$8&amp;": &amp;a"&amp;MAIN!$F$66*$C$2&amp;"'"</f>
        <v xml:space="preserve">  - '&amp;4• &amp;fVitalidad: &amp;a259'</v>
      </c>
      <c r="N72" s="10"/>
      <c r="O72" s="10"/>
      <c r="P72" s="10"/>
      <c r="Q72" s="10" t="str">
        <f>"  - '&amp;4• &amp;f"&amp;MAIN!$C$8&amp;": &amp;a"&amp;MAIN!$G$66*$C$2&amp;"'"</f>
        <v xml:space="preserve">  - '&amp;4• &amp;fVitalidad: &amp;a434'</v>
      </c>
      <c r="R72" s="10"/>
      <c r="S72" s="10"/>
      <c r="T72" s="10"/>
    </row>
    <row r="73" spans="1:20" x14ac:dyDescent="0.25">
      <c r="A73" s="10" t="str">
        <f>"  - '&amp;4• &amp;f"&amp;MAIN!$C$11&amp;": &amp;a"&amp;MAIN!$C$68*$C$2&amp;"'"</f>
        <v xml:space="preserve">  - '&amp;4• &amp;fInteligencia: &amp;a56'</v>
      </c>
      <c r="B73" s="10"/>
      <c r="C73" s="10"/>
      <c r="D73" s="10"/>
      <c r="E73" s="10" t="str">
        <f>"  - '&amp;4• &amp;f"&amp;MAIN!$C$11&amp;": &amp;a"&amp;MAIN!$D$68*$C$2&amp;"'"</f>
        <v xml:space="preserve">  - '&amp;4• &amp;fInteligencia: &amp;a91'</v>
      </c>
      <c r="F73" s="10"/>
      <c r="G73" s="10"/>
      <c r="H73" s="10"/>
      <c r="I73" s="10" t="str">
        <f>"  - '&amp;4• &amp;f"&amp;MAIN!$C$11&amp;": &amp;a"&amp;MAIN!$E$67*$C$2&amp;"'"</f>
        <v xml:space="preserve">  - '&amp;4• &amp;fInteligencia: &amp;a154'</v>
      </c>
      <c r="J73" s="10"/>
      <c r="K73" s="10"/>
      <c r="L73" s="10"/>
      <c r="M73" s="10" t="str">
        <f>"  - '&amp;4• &amp;f"&amp;MAIN!$C$11&amp;": &amp;a"&amp;MAIN!$F$68*$C$2&amp;"'"</f>
        <v xml:space="preserve">  - '&amp;4• &amp;fInteligencia: &amp;a259'</v>
      </c>
      <c r="N73" s="10"/>
      <c r="O73" s="10"/>
      <c r="P73" s="10"/>
      <c r="Q73" s="10" t="str">
        <f>"  - '&amp;4• &amp;f"&amp;MAIN!$C$11&amp;": &amp;a"&amp;MAIN!$G$68*$C$2&amp;"'"</f>
        <v xml:space="preserve">  - '&amp;4• &amp;fInteligencia: &amp;a434'</v>
      </c>
      <c r="R73" s="10"/>
      <c r="S73" s="10"/>
      <c r="T73" s="10"/>
    </row>
    <row r="74" spans="1:20" x14ac:dyDescent="0.25">
      <c r="A74" s="10" t="str">
        <f>"  - '&amp;4• &amp;f"&amp;MAIN!$C$10&amp;": &amp;a"&amp;MAIN!$C$67*$C$2&amp;"'"</f>
        <v xml:space="preserve">  - '&amp;4• &amp;fAgilidad: &amp;a56'</v>
      </c>
      <c r="B74" s="10"/>
      <c r="C74" s="10"/>
      <c r="D74" s="10"/>
      <c r="E74" s="10" t="str">
        <f>"  - '&amp;4• &amp;f"&amp;MAIN!$C$10&amp;": &amp;a"&amp;MAIN!$D$67*$C$2&amp;"'"</f>
        <v xml:space="preserve">  - '&amp;4• &amp;fAgilidad: &amp;a91'</v>
      </c>
      <c r="F74" s="10"/>
      <c r="G74" s="10"/>
      <c r="H74" s="10"/>
      <c r="I74" s="10" t="str">
        <f>"  - '&amp;4• &amp;f"&amp;MAIN!$C$10&amp;": &amp;a"&amp;MAIN!$E$67*$C$2&amp;"'"</f>
        <v xml:space="preserve">  - '&amp;4• &amp;fAgilidad: &amp;a154'</v>
      </c>
      <c r="J74" s="10"/>
      <c r="K74" s="10"/>
      <c r="L74" s="10"/>
      <c r="M74" s="10" t="str">
        <f>"  - '&amp;4• &amp;f"&amp;MAIN!$C$10&amp;": &amp;a"&amp;MAIN!$F$67*$C$2&amp;"'"</f>
        <v xml:space="preserve">  - '&amp;4• &amp;fAgilidad: &amp;a259'</v>
      </c>
      <c r="N74" s="10"/>
      <c r="O74" s="10"/>
      <c r="P74" s="10"/>
      <c r="Q74" s="10" t="str">
        <f>"  - '&amp;4• &amp;f"&amp;MAIN!$C$10&amp;": &amp;a"&amp;MAIN!$G$67*$C$2&amp;"'"</f>
        <v xml:space="preserve">  - '&amp;4• &amp;fAgilidad: &amp;a434'</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3"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51" t="s">
        <v>19</v>
      </c>
      <c r="B1" s="351"/>
      <c r="C1" s="351" t="s">
        <v>70</v>
      </c>
      <c r="D1" s="351"/>
      <c r="E1" s="351" t="s">
        <v>80</v>
      </c>
      <c r="F1" s="351"/>
      <c r="G1" s="351" t="s">
        <v>89</v>
      </c>
      <c r="H1" s="351"/>
      <c r="I1" s="351" t="s">
        <v>1197</v>
      </c>
      <c r="J1" s="351"/>
      <c r="K1" s="351" t="s">
        <v>1199</v>
      </c>
      <c r="L1" s="351"/>
    </row>
    <row r="2" spans="1:26" x14ac:dyDescent="0.25">
      <c r="A2" s="301" t="s">
        <v>104</v>
      </c>
      <c r="B2" s="301"/>
      <c r="C2" s="301">
        <f>'ECONOMIA &amp; PROFESIONES'!$Q$3</f>
        <v>7</v>
      </c>
      <c r="D2" s="301"/>
      <c r="E2" s="301" t="s">
        <v>81</v>
      </c>
      <c r="F2" s="301"/>
      <c r="G2" s="301" t="s">
        <v>3</v>
      </c>
      <c r="H2" s="301"/>
      <c r="I2" s="301" t="str">
        <f>MAIN!$J$53</f>
        <v>Armor</v>
      </c>
      <c r="J2" s="301"/>
      <c r="K2" s="301">
        <f>MAIN!$L$53</f>
        <v>1</v>
      </c>
      <c r="L2" s="301"/>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"+"&amp;ROUND(MAIN!$C$77*$C$2*$K$2/5*$U$4,0)&amp;" "&amp;$I$2</f>
        <v>+10 Armor</v>
      </c>
      <c r="W4" s="2" t="str">
        <f>"+"&amp;ROUND(MAIN!$D$77*$C$2*$K$2/5*$U$4,0)&amp;" "&amp;$I$2</f>
        <v>+15 Armor</v>
      </c>
      <c r="X4" s="2" t="str">
        <f>"+"&amp;ROUND(MAIN!$E$77*$C$2*$K$2/5*$U$4,0)&amp;" "&amp;$I$2</f>
        <v>+25 Armor</v>
      </c>
      <c r="Y4" s="2" t="str">
        <f>"+"&amp;ROUND(MAIN!$F$77*$C$2*$K$2/5*$U$4,0)&amp;" "&amp;$I$2</f>
        <v>+42 Armor</v>
      </c>
      <c r="Z4" s="2" t="str">
        <f>"+"&amp;ROUND(MAIN!$G$77*$C$2*$K$2/5*$U$4,0)&amp;" "&amp;$I$2</f>
        <v>+71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"+"&amp;ROUND(MAIN!$C$77*$C$2*$K$2/5*$U$5,0)&amp;" "&amp;$I$2</f>
        <v>+20 Armor</v>
      </c>
      <c r="W5" s="2" t="str">
        <f>"+"&amp;ROUND(MAIN!$D$77*$C$2*$K$2/5*$U$5,0)&amp;" "&amp;$I$2</f>
        <v>+31 Armor</v>
      </c>
      <c r="X5" s="2" t="str">
        <f>"+"&amp;ROUND(MAIN!$E$77*$C$2*$K$2/5*$U$5,0)&amp;" "&amp;$I$2</f>
        <v>+50 Armor</v>
      </c>
      <c r="Y5" s="2" t="str">
        <f>"+"&amp;ROUND(MAIN!$F$77*$C$2*$K$2/5*$U$5,0)&amp;" "&amp;$I$2</f>
        <v>+84 Armor</v>
      </c>
      <c r="Z5" s="2" t="str">
        <f>"+"&amp;ROUND(MAIN!$G$77*$C$2*$K$2/5*$U$5,0)&amp;" "&amp;$I$2</f>
        <v>+143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+29 Armor</v>
      </c>
      <c r="W6" s="2" t="str">
        <f>"+"&amp;ROUND(MAIN!$D$77*$C$2*$K$2/5*$U$6,0)&amp;" "&amp;$I$2</f>
        <v>+46 Armor</v>
      </c>
      <c r="X6" s="2" t="str">
        <f>"+"&amp;ROUND(MAIN!$E$77*$C$2*$K$2/5*$U$6,0)&amp;" "&amp;$I$2</f>
        <v>+76 Armor</v>
      </c>
      <c r="Y6" s="2" t="str">
        <f>"+"&amp;ROUND(MAIN!$F$77*$C$2*$K$2/5*$U$6,0)&amp;" "&amp;$I$2</f>
        <v>+126 Armor</v>
      </c>
      <c r="Z6" s="2" t="str">
        <f>"+"&amp;ROUND(MAIN!$G$77*$C$2*$K$2/5*$U$6,0)&amp;" "&amp;$I$2</f>
        <v>+214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+39 Armor</v>
      </c>
      <c r="W7" s="2" t="str">
        <f>"+"&amp;ROUND(MAIN!$D$77*$C$2*$K$2/5*$U$7,0)&amp;" "&amp;$I$2</f>
        <v>+62 Armor</v>
      </c>
      <c r="X7" s="2" t="str">
        <f>"+"&amp;ROUND(MAIN!$E$77*$C$2*$K$2/5*$U$7,0)&amp;" "&amp;$I$2</f>
        <v>+101 Armor</v>
      </c>
      <c r="Y7" s="2" t="str">
        <f>"+"&amp;ROUND(MAIN!$F$77*$C$2*$K$2/5*$U$7,0)&amp;" "&amp;$I$2</f>
        <v>+168 Armor</v>
      </c>
      <c r="Z7" s="2" t="str">
        <f>"+"&amp;ROUND(MAIN!$G$77*$C$2*$K$2/5*$U$7,0)&amp;" "&amp;$I$2</f>
        <v>+286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+49 Armor</v>
      </c>
      <c r="W8" s="2" t="str">
        <f>"+"&amp;ROUND(MAIN!$D$77*$C$2*$K$2/5*$U$8,0)&amp;" "&amp;$I$2</f>
        <v>+77 Armor</v>
      </c>
      <c r="X8" s="2" t="str">
        <f>"+"&amp;ROUND(MAIN!$E$77*$C$2*$K$2/5*$U$8,0)&amp;" "&amp;$I$2</f>
        <v>+126 Armor</v>
      </c>
      <c r="Y8" s="2" t="str">
        <f>"+"&amp;ROUND(MAIN!$F$77*$C$2*$K$2/5*$U$8,0)&amp;" "&amp;$I$2</f>
        <v>+210 Armor</v>
      </c>
      <c r="Z8" s="2" t="str">
        <f>"+"&amp;ROUND(MAIN!$G$77*$C$2*$K$2/5*$U$8,0)&amp;" "&amp;$I$2</f>
        <v>+357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&amp;6"&amp;(MAIN!$F$4+(MAIN!$F$18+MAIN!$F$19)/2*MAIN!$B$9+(MAIN!$F$20+MAIN!$F$21)/2*MAIN!$B$8+(MAIN!$F$80*MAIN!$B$11)+($C$2*MAIN!$B$10))/10&amp;" &amp;aAlmakos'"</f>
        <v xml:space="preserve">  - '&amp;aVenta: &amp;6727.5 &amp;aAlmakos'</v>
      </c>
      <c r="B62" s="20"/>
      <c r="C62" s="20"/>
      <c r="D62" s="20"/>
      <c r="E62" s="20" t="str">
        <f>"  - '&amp;aVenta: &amp;6"&amp;(MAIN!$G$4+(MAIN!$F$18+MAIN!$F$19)/2*MAIN!$B$9+(MAIN!$F$20+MAIN!$F$21)/2*MAIN!$B$8+(MAIN!$F$80*MAIN!$B$11)+($C$2*MAIN!$B$10))/10&amp;" &amp;aAlmakos'"</f>
        <v xml:space="preserve">  - '&amp;aVenta: &amp;6867.5 &amp;aAlmakos'</v>
      </c>
      <c r="F62" s="20"/>
      <c r="G62" s="20"/>
      <c r="H62" s="20"/>
      <c r="I62" s="20" t="str">
        <f>"  - '&amp;aVenta: &amp;6"&amp;(MAIN!$H$4+(MAIN!$F$18+MAIN!$F$19)/2*MAIN!$B$9+(MAIN!$F$20+MAIN!$F$21)/2*MAIN!$B$8+(MAIN!$F$80*MAIN!$B$11)+($C$2*MAIN!$B$10))/10&amp;" &amp;aAlmakos'"</f>
        <v xml:space="preserve">  - '&amp;aVenta: &amp;61147.5 &amp;aAlmakos'</v>
      </c>
      <c r="J62" s="20"/>
      <c r="K62" s="20"/>
      <c r="L62" s="20"/>
      <c r="M62" s="20" t="str">
        <f>"  - '&amp;aVenta: &amp;6"&amp;(MAIN!$I$4+(MAIN!$F$18+MAIN!$F$19)/2*MAIN!$B$9+(MAIN!$F$20+MAIN!$F$21)/2*MAIN!$B$8+(MAIN!$F$80*MAIN!$B$11)+($C$2*MAIN!$B$10))/10&amp;" &amp;aAlmakos'"</f>
        <v xml:space="preserve">  - '&amp;aVenta: &amp;61707.5 &amp;aAlmakos'</v>
      </c>
      <c r="N62" s="20"/>
      <c r="O62" s="20"/>
      <c r="P62" s="20"/>
      <c r="Q62" s="20" t="str">
        <f>"  - '&amp;aVenta: &amp;6"&amp;(MAIN!$J$4+(MAIN!$F$18+MAIN!$F$19)/2*MAIN!$B$9+(MAIN!$F$20+MAIN!$F$21)/2*MAIN!$B$8+(MAIN!$F$80*MAIN!$B$11)+($C$2*MAIN!$B$10))/10&amp;" &amp;aAlmakos'"</f>
        <v xml:space="preserve">  - '&amp;aVenta: &amp;62827.5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&amp;a47'</v>
      </c>
      <c r="B66" s="10"/>
      <c r="C66" s="10"/>
      <c r="D66" s="10"/>
      <c r="E66" s="10" t="str">
        <f>"  - '&amp;7• &amp;8Nivel: &amp;a"&amp;MAIN!$D$82+($C$2*MAIN!$I$27)&amp;"'"</f>
        <v xml:space="preserve">  - '&amp;7• &amp;8Nivel: &amp;a72'</v>
      </c>
      <c r="F66" s="10"/>
      <c r="G66" s="10"/>
      <c r="H66" s="10"/>
      <c r="I66" s="10" t="str">
        <f>"  - '&amp;7• &amp;8Nivel: &amp;a"&amp;MAIN!$E$82+($C$2*MAIN!$I$27)&amp;"'"</f>
        <v xml:space="preserve">  - '&amp;7• &amp;8Nivel: &amp;a147'</v>
      </c>
      <c r="J66" s="10"/>
      <c r="K66" s="10"/>
      <c r="L66" s="10"/>
      <c r="M66" s="10" t="str">
        <f>"  - '&amp;7• &amp;8Nivel: &amp;a"&amp;MAIN!$F$82+($C$2*MAIN!$I$27)&amp;"'"</f>
        <v xml:space="preserve">  - '&amp;7• &amp;8Nivel: &amp;a371'</v>
      </c>
      <c r="N66" s="10"/>
      <c r="O66" s="10"/>
      <c r="P66" s="10"/>
      <c r="Q66" s="10" t="str">
        <f>"  - '&amp;7• &amp;8Nivel: &amp;a"&amp;MAIN!$G$82+($C$2*MAIN!$I$27)&amp;"'"</f>
        <v xml:space="preserve">  - '&amp;7• &amp;8Nivel: &amp;a707'</v>
      </c>
      <c r="R66" s="10"/>
      <c r="S66" s="10"/>
      <c r="T66" s="10"/>
    </row>
    <row r="67" spans="1:20" x14ac:dyDescent="0.25">
      <c r="A67" s="12" t="str">
        <f>"  - '&amp;7• &amp;8"&amp;MAIN!$C$12&amp;" lvl: &amp;a"&amp;ROUNDUP((MAIN!$C$82+($C$2*MAIN!$I$27))/3,0)&amp;"'"</f>
        <v xml:space="preserve">  - '&amp;7• &amp;8Esencia lvl: &amp;a16'</v>
      </c>
      <c r="B67" s="12"/>
      <c r="C67" s="12"/>
      <c r="D67" s="12"/>
      <c r="E67" s="12" t="str">
        <f>"  - '&amp;7• &amp;8"&amp;MAIN!$C$12&amp;" lvl: &amp;a"&amp;ROUNDUP((MAIN!$D$82+($C$2*MAIN!$I$27))/3,0)&amp;"'"</f>
        <v xml:space="preserve">  - '&amp;7• &amp;8Esencia lvl: &amp;a24'</v>
      </c>
      <c r="F67" s="12"/>
      <c r="G67" s="12"/>
      <c r="H67" s="12"/>
      <c r="I67" s="12" t="str">
        <f>"  - '&amp;7• &amp;8"&amp;MAIN!$C$12&amp;" lvl: &amp;a"&amp;ROUNDUP((MAIN!$E$82+($C$2*MAIN!$I$27))/3,0)&amp;"'"</f>
        <v xml:space="preserve">  - '&amp;7• &amp;8Esencia lvl: &amp;a49'</v>
      </c>
      <c r="J67" s="12"/>
      <c r="K67" s="12"/>
      <c r="L67" s="12"/>
      <c r="M67" s="12" t="str">
        <f>"  - '&amp;7• &amp;8"&amp;MAIN!$C$12&amp;" lvl: &amp;a"&amp;ROUNDUP((MAIN!$F$82+($C$2*MAIN!$I$27))/3,0)&amp;"'"</f>
        <v xml:space="preserve">  - '&amp;7• &amp;8Esencia lvl: &amp;a124'</v>
      </c>
      <c r="N67" s="12"/>
      <c r="O67" s="12"/>
      <c r="P67" s="12"/>
      <c r="Q67" s="12" t="str">
        <f>"  - '&amp;7• &amp;8"&amp;MAIN!$C$12&amp;" lvl: &amp;a"&amp;ROUNDUP((MAIN!$G$82+($C$2*MAIN!$I$27))/3,0)&amp;"'"</f>
        <v xml:space="preserve">  - '&amp;7• &amp;8Esencia lvl: &amp;a236'</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&amp;a49'</v>
      </c>
      <c r="B71" s="10"/>
      <c r="C71" s="10"/>
      <c r="D71" s="10"/>
      <c r="E71" s="10" t="str">
        <f>"  - '&amp;4• &amp;f"&amp;MAIN!$C$9&amp;": &amp;a"&amp;MAIN!$D$77*$C$2&amp;"'"</f>
        <v xml:space="preserve">  - '&amp;4• &amp;fFuerza: &amp;a77'</v>
      </c>
      <c r="F71" s="10"/>
      <c r="G71" s="10"/>
      <c r="H71" s="10"/>
      <c r="I71" s="10" t="str">
        <f>"  - '&amp;4• &amp;f"&amp;MAIN!$C$9&amp;": &amp;a"&amp;MAIN!$E$77*$C$2&amp;"'"</f>
        <v xml:space="preserve">  - '&amp;4• &amp;fFuerza: &amp;a126'</v>
      </c>
      <c r="J71" s="10"/>
      <c r="K71" s="10"/>
      <c r="L71" s="10"/>
      <c r="M71" s="10" t="str">
        <f>"  - '&amp;4• &amp;f"&amp;MAIN!$C$9&amp;": &amp;a"&amp;MAIN!$F$77*$C$2&amp;"'"</f>
        <v xml:space="preserve">  - '&amp;4• &amp;fFuerza: &amp;a210'</v>
      </c>
      <c r="N71" s="10"/>
      <c r="O71" s="10"/>
      <c r="P71" s="10"/>
      <c r="Q71" s="10" t="str">
        <f>"  - '&amp;4• &amp;f"&amp;MAIN!$C$9&amp;": &amp;a"&amp;MAIN!$G$77*$C$2&amp;"'"</f>
        <v xml:space="preserve">  - '&amp;4• &amp;fFuerza: &amp;a357'</v>
      </c>
      <c r="R71" s="10"/>
      <c r="S71" s="10"/>
      <c r="T71" s="10"/>
    </row>
    <row r="72" spans="1:20" x14ac:dyDescent="0.25">
      <c r="A72" s="10" t="str">
        <f>"  - '&amp;4• &amp;f"&amp;MAIN!$C$8&amp;": &amp;a"&amp;MAIN!$C$77*$C$2&amp;"'"</f>
        <v xml:space="preserve">  - '&amp;4• &amp;fVitalidad: &amp;a49'</v>
      </c>
      <c r="B72" s="10"/>
      <c r="C72" s="10"/>
      <c r="D72" s="10"/>
      <c r="E72" s="10" t="str">
        <f>"  - '&amp;4• &amp;f"&amp;MAIN!$C$8&amp;": &amp;a"&amp;MAIN!$D$77*$C$2&amp;"'"</f>
        <v xml:space="preserve">  - '&amp;4• &amp;fVitalidad: &amp;a77'</v>
      </c>
      <c r="F72" s="10"/>
      <c r="G72" s="10"/>
      <c r="H72" s="10"/>
      <c r="I72" s="10" t="str">
        <f>"  - '&amp;4• &amp;f"&amp;MAIN!$C$8&amp;": &amp;a"&amp;MAIN!$E$77*$C$2&amp;"'"</f>
        <v xml:space="preserve">  - '&amp;4• &amp;fVitalidad: &amp;a126'</v>
      </c>
      <c r="J72" s="10"/>
      <c r="K72" s="10"/>
      <c r="L72" s="10"/>
      <c r="M72" s="10" t="str">
        <f>"  - '&amp;4• &amp;f"&amp;MAIN!$C$8&amp;": &amp;a"&amp;MAIN!$F$77*$C$2&amp;"'"</f>
        <v xml:space="preserve">  - '&amp;4• &amp;fVitalidad: &amp;a210'</v>
      </c>
      <c r="N72" s="10"/>
      <c r="O72" s="10"/>
      <c r="P72" s="10"/>
      <c r="Q72" s="10" t="str">
        <f>"  - '&amp;4• &amp;f"&amp;MAIN!$C$8&amp;": &amp;a"&amp;MAIN!$G$77*$C$2&amp;"'"</f>
        <v xml:space="preserve">  - '&amp;4• &amp;fVitalidad: &amp;a357'</v>
      </c>
      <c r="R72" s="10"/>
      <c r="S72" s="10"/>
      <c r="T72" s="10"/>
    </row>
    <row r="73" spans="1:20" x14ac:dyDescent="0.25">
      <c r="A73" s="10" t="str">
        <f>"  - '&amp;4• &amp;f"&amp;MAIN!$C$11&amp;": &amp;a"&amp;MAIN!$C$79*$C$2&amp;"'"</f>
        <v xml:space="preserve">  - '&amp;4• &amp;fInteligencia: &amp;a49'</v>
      </c>
      <c r="B73" s="10"/>
      <c r="C73" s="10"/>
      <c r="D73" s="10"/>
      <c r="E73" s="10" t="str">
        <f>"  - '&amp;4• &amp;f"&amp;MAIN!$C$11&amp;": &amp;a"&amp;MAIN!$D$79*$C$2&amp;"'"</f>
        <v xml:space="preserve">  - '&amp;4• &amp;fInteligencia: &amp;a77'</v>
      </c>
      <c r="F73" s="10"/>
      <c r="G73" s="10"/>
      <c r="H73" s="10"/>
      <c r="I73" s="10" t="str">
        <f>"  - '&amp;4• &amp;f"&amp;MAIN!$C$11&amp;": &amp;a"&amp;MAIN!$E$79*$C$2&amp;"'"</f>
        <v xml:space="preserve">  - '&amp;4• &amp;fInteligencia: &amp;a126'</v>
      </c>
      <c r="J73" s="10"/>
      <c r="K73" s="10"/>
      <c r="L73" s="10"/>
      <c r="M73" s="10" t="str">
        <f>"  - '&amp;4• &amp;f"&amp;MAIN!$C$11&amp;": &amp;a"&amp;MAIN!$F$79*$C$2&amp;"'"</f>
        <v xml:space="preserve">  - '&amp;4• &amp;fInteligencia: &amp;a210'</v>
      </c>
      <c r="N73" s="10"/>
      <c r="O73" s="10"/>
      <c r="P73" s="10"/>
      <c r="Q73" s="10" t="str">
        <f>"  - '&amp;4• &amp;f"&amp;MAIN!$C$11&amp;": &amp;a"&amp;MAIN!$G$79*$C$2&amp;"'"</f>
        <v xml:space="preserve">  - '&amp;4• &amp;fInteligencia: &amp;a357'</v>
      </c>
      <c r="R73" s="10"/>
      <c r="S73" s="10"/>
      <c r="T73" s="10"/>
    </row>
    <row r="74" spans="1:20" x14ac:dyDescent="0.25">
      <c r="A74" s="10" t="str">
        <f>"  - '&amp;4• &amp;f"&amp;MAIN!$C$10&amp;": &amp;a"&amp;MAIN!$C$78*$C$2&amp;"'"</f>
        <v xml:space="preserve">  - '&amp;4• &amp;fAgilidad: &amp;a49'</v>
      </c>
      <c r="B74" s="10"/>
      <c r="C74" s="10"/>
      <c r="D74" s="10"/>
      <c r="E74" s="10" t="str">
        <f>"  - '&amp;4• &amp;f"&amp;MAIN!$C$10&amp;": &amp;a"&amp;MAIN!$D$78*$C$2&amp;"'"</f>
        <v xml:space="preserve">  - '&amp;4• &amp;fAgilidad: &amp;a77'</v>
      </c>
      <c r="F74" s="10"/>
      <c r="G74" s="10"/>
      <c r="H74" s="10"/>
      <c r="I74" s="10" t="str">
        <f>"  - '&amp;4• &amp;f"&amp;MAIN!$C$10&amp;": &amp;a"&amp;MAIN!$E$78*$C$2&amp;"'"</f>
        <v xml:space="preserve">  - '&amp;4• &amp;fAgilidad: &amp;a126'</v>
      </c>
      <c r="J74" s="10"/>
      <c r="K74" s="10"/>
      <c r="L74" s="10"/>
      <c r="M74" s="10" t="str">
        <f>"  - '&amp;4• &amp;f"&amp;MAIN!$C$10&amp;": &amp;a"&amp;MAIN!$F$78*$C$2&amp;"'"</f>
        <v xml:space="preserve">  - '&amp;4• &amp;fAgilidad: &amp;a210'</v>
      </c>
      <c r="N74" s="10"/>
      <c r="O74" s="10"/>
      <c r="P74" s="10"/>
      <c r="Q74" s="10" t="str">
        <f>"  - '&amp;4• &amp;f"&amp;MAIN!$C$10&amp;": &amp;a"&amp;MAIN!$G$78*$C$2&amp;"'"</f>
        <v xml:space="preserve">  - '&amp;4• &amp;fAgilidad: &amp;a357'</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3"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51" t="s">
        <v>19</v>
      </c>
      <c r="B1" s="351"/>
      <c r="C1" s="351" t="s">
        <v>70</v>
      </c>
      <c r="D1" s="351"/>
      <c r="E1" s="351" t="s">
        <v>80</v>
      </c>
      <c r="F1" s="351"/>
      <c r="G1" s="351" t="s">
        <v>89</v>
      </c>
      <c r="H1" s="351"/>
      <c r="I1" s="351" t="s">
        <v>1197</v>
      </c>
      <c r="J1" s="351"/>
      <c r="K1" s="351" t="s">
        <v>1199</v>
      </c>
      <c r="L1" s="351"/>
    </row>
    <row r="2" spans="1:26" x14ac:dyDescent="0.25">
      <c r="A2" s="301" t="s">
        <v>104</v>
      </c>
      <c r="B2" s="301"/>
      <c r="C2" s="301">
        <f>'ECONOMIA &amp; PROFESIONES'!$Q$3</f>
        <v>7</v>
      </c>
      <c r="D2" s="301"/>
      <c r="E2" s="301" t="s">
        <v>81</v>
      </c>
      <c r="F2" s="301"/>
      <c r="G2" s="301" t="s">
        <v>3</v>
      </c>
      <c r="H2" s="301"/>
      <c r="I2" s="301" t="str">
        <f>MAIN!$J$53</f>
        <v>Armor</v>
      </c>
      <c r="J2" s="301"/>
      <c r="K2" s="301">
        <f>MAIN!$L$53</f>
        <v>1</v>
      </c>
      <c r="L2" s="301"/>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"+"&amp;ROUND(MAIN!$C$88*$C$2*$K$2/5*$U$4,0)&amp;" "&amp;$I$2</f>
        <v>+6 Armor</v>
      </c>
      <c r="W4" s="2" t="str">
        <f>"+"&amp;ROUND(MAIN!$D$88*$C$2*$K$2/5*$U$4,0)&amp;" "&amp;$I$2</f>
        <v>+8 Armor</v>
      </c>
      <c r="X4" s="2" t="str">
        <f>"+"&amp;ROUND(MAIN!$E$88*$C$2*$K$2/5*$U$4,0)&amp;" "&amp;$I$2</f>
        <v>+14 Armor</v>
      </c>
      <c r="Y4" s="2" t="str">
        <f>"+"&amp;ROUND(MAIN!$F$88*$C$2*$K$2/5*$U$4,0)&amp;" "&amp;$I$2</f>
        <v>+24 Armor</v>
      </c>
      <c r="Z4" s="2" t="str">
        <f>"+"&amp;ROUND(MAIN!$G$88*$C$2*$K$2/5*$U$4,0)&amp;" "&amp;$I$2</f>
        <v>+39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"+"&amp;ROUND(MAIN!$C$88*$C$2*$K$2/5*$U$5,0)&amp;" "&amp;$I$2</f>
        <v>+11 Armor</v>
      </c>
      <c r="W5" s="2" t="str">
        <f>"+"&amp;ROUND(MAIN!$D$88*$C$2*$K$2/5*$U$5,0)&amp;" "&amp;$I$2</f>
        <v>+17 Armor</v>
      </c>
      <c r="X5" s="2" t="str">
        <f>"+"&amp;ROUND(MAIN!$E$88*$C$2*$K$2/5*$U$5,0)&amp;" "&amp;$I$2</f>
        <v>+28 Armor</v>
      </c>
      <c r="Y5" s="2" t="str">
        <f>"+"&amp;ROUND(MAIN!$F$88*$C$2*$K$2/5*$U$5,0)&amp;" "&amp;$I$2</f>
        <v>+48 Armor</v>
      </c>
      <c r="Z5" s="2" t="str">
        <f>"+"&amp;ROUND(MAIN!$G$88*$C$2*$K$2/5*$U$5,0)&amp;" "&amp;$I$2</f>
        <v>+78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+17 Armor</v>
      </c>
      <c r="W6" s="2" t="str">
        <f>"+"&amp;ROUND(MAIN!$D$88*$C$2*$K$2/5*$U$6,0)&amp;" "&amp;$I$2</f>
        <v>+25 Armor</v>
      </c>
      <c r="X6" s="2" t="str">
        <f>"+"&amp;ROUND(MAIN!$E$88*$C$2*$K$2/5*$U$6,0)&amp;" "&amp;$I$2</f>
        <v>+42 Armor</v>
      </c>
      <c r="Y6" s="2" t="str">
        <f>"+"&amp;ROUND(MAIN!$F$88*$C$2*$K$2/5*$U$6,0)&amp;" "&amp;$I$2</f>
        <v>+71 Armor</v>
      </c>
      <c r="Z6" s="2" t="str">
        <f>"+"&amp;ROUND(MAIN!$G$88*$C$2*$K$2/5*$U$6,0)&amp;" "&amp;$I$2</f>
        <v>+118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+22 Armor</v>
      </c>
      <c r="W7" s="2" t="str">
        <f>"+"&amp;ROUND(MAIN!$D$88*$C$2*$K$2/5*$U$7,0)&amp;" "&amp;$I$2</f>
        <v>+34 Armor</v>
      </c>
      <c r="X7" s="2" t="str">
        <f>"+"&amp;ROUND(MAIN!$E$88*$C$2*$K$2/5*$U$7,0)&amp;" "&amp;$I$2</f>
        <v>+56 Armor</v>
      </c>
      <c r="Y7" s="2" t="str">
        <f>"+"&amp;ROUND(MAIN!$F$88*$C$2*$K$2/5*$U$7,0)&amp;" "&amp;$I$2</f>
        <v>+95 Armor</v>
      </c>
      <c r="Z7" s="2" t="str">
        <f>"+"&amp;ROUND(MAIN!$G$88*$C$2*$K$2/5*$U$7,0)&amp;" "&amp;$I$2</f>
        <v>+157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+28 Armor</v>
      </c>
      <c r="W8" s="2" t="str">
        <f>"+"&amp;ROUND(MAIN!$D$88*$C$2*$K$2/5*$U$8,0)&amp;" "&amp;$I$2</f>
        <v>+42 Armor</v>
      </c>
      <c r="X8" s="2" t="str">
        <f>"+"&amp;ROUND(MAIN!$E$88*$C$2*$K$2/5*$U$8,0)&amp;" "&amp;$I$2</f>
        <v>+70 Armor</v>
      </c>
      <c r="Y8" s="2" t="str">
        <f>"+"&amp;ROUND(MAIN!$F$88*$C$2*$K$2/5*$U$8,0)&amp;" "&amp;$I$2</f>
        <v>+119 Armor</v>
      </c>
      <c r="Z8" s="2" t="str">
        <f>"+"&amp;ROUND(MAIN!$G$88*$C$2*$K$2/5*$U$8,0)&amp;" "&amp;$I$2</f>
        <v>+196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ht="15" customHeight="1"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&amp;6"&amp;(MAIN!$F$5+(MAIN!$F$18+MAIN!$F$19)/2*MAIN!$B$9+(MAIN!$F$20+MAIN!$F$21)/2*MAIN!$B$8+(MAIN!$F$91*MAIN!$B$11)+($C$2*MAIN!$B$10))/10&amp;" &amp;aAlmakos'"</f>
        <v xml:space="preserve">  - '&amp;aVenta: &amp;6630 &amp;aAlmakos'</v>
      </c>
      <c r="B62" s="20"/>
      <c r="C62" s="20"/>
      <c r="D62" s="20"/>
      <c r="E62" s="20" t="str">
        <f>"  - '&amp;aVenta: &amp;6"&amp;(MAIN!$G$5+(MAIN!$F$18+MAIN!$F$19)/2*MAIN!$B$9+(MAIN!$F$20+MAIN!$F$21)/2*MAIN!$B$8+(MAIN!$F$91*MAIN!$B$11)+($C$2*MAIN!$B$10))/10&amp;" &amp;aAlmakos'"</f>
        <v xml:space="preserve">  - '&amp;aVenta: &amp;6710 &amp;aAlmakos'</v>
      </c>
      <c r="F62" s="20"/>
      <c r="G62" s="20"/>
      <c r="H62" s="20"/>
      <c r="I62" s="20" t="str">
        <f>"  - '&amp;aVenta: &amp;6"&amp;(MAIN!$H$5+(MAIN!$F$18+MAIN!$F$19)/2*MAIN!$B$9+(MAIN!$F$20+MAIN!$F$21)/2*MAIN!$B$8+(MAIN!$F$91*MAIN!$B$11)+($C$2*MAIN!$B$10))/10&amp;" &amp;aAlmakos'"</f>
        <v xml:space="preserve">  - '&amp;aVenta: &amp;6870 &amp;aAlmakos'</v>
      </c>
      <c r="J62" s="20"/>
      <c r="K62" s="20"/>
      <c r="L62" s="20"/>
      <c r="M62" s="20" t="str">
        <f>"  - '&amp;aVenta: &amp;6"&amp;(MAIN!$I$5+(MAIN!$F$18+MAIN!$F$19)/2*MAIN!$B$9+(MAIN!$F$20+MAIN!$F$21)/2*MAIN!$B$8+(MAIN!$F$91*MAIN!$B$11)+($C$2*MAIN!$B$10))/10&amp;" &amp;aAlmakos'"</f>
        <v xml:space="preserve">  - '&amp;aVenta: &amp;61190 &amp;aAlmakos'</v>
      </c>
      <c r="N62" s="20"/>
      <c r="O62" s="20"/>
      <c r="P62" s="20"/>
      <c r="Q62" s="20" t="str">
        <f>"  - '&amp;aVenta: &amp;6"&amp;(MAIN!$J$5+(MAIN!$F$18+MAIN!$F$19)/2*MAIN!$B$9+(MAIN!$F$20+MAIN!$F$21)/2*MAIN!$B$8+(MAIN!$F$91*MAIN!$B$11)+($C$2*MAIN!$B$10))/10&amp;" &amp;aAlmakos'"</f>
        <v xml:space="preserve">  - '&amp;aVenta: &amp;61830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&amp;a42'</v>
      </c>
      <c r="B66" s="10"/>
      <c r="C66" s="10"/>
      <c r="D66" s="10"/>
      <c r="E66" s="10" t="str">
        <f>"  - '&amp;7• &amp;8Nivel: &amp;a"&amp;MAIN!$D$93+($C$2*MAIN!$I$27)&amp;"'"</f>
        <v xml:space="preserve">  - '&amp;7• &amp;8Nivel: &amp;a56'</v>
      </c>
      <c r="F66" s="10"/>
      <c r="G66" s="10"/>
      <c r="H66" s="10"/>
      <c r="I66" s="10" t="str">
        <f>"  - '&amp;7• &amp;8Nivel: &amp;a"&amp;MAIN!$E$93+($C$2*MAIN!$I$27)&amp;"'"</f>
        <v xml:space="preserve">  - '&amp;7• &amp;8Nivel: &amp;a99'</v>
      </c>
      <c r="J66" s="10"/>
      <c r="K66" s="10"/>
      <c r="L66" s="10"/>
      <c r="M66" s="10" t="str">
        <f>"  - '&amp;7• &amp;8Nivel: &amp;a"&amp;MAIN!$F$93+($C$2*MAIN!$I$27)&amp;"'"</f>
        <v xml:space="preserve">  - '&amp;7• &amp;8Nivel: &amp;a227'</v>
      </c>
      <c r="N66" s="10"/>
      <c r="O66" s="10"/>
      <c r="P66" s="10"/>
      <c r="Q66" s="10" t="str">
        <f>"  - '&amp;7• &amp;8Nivel: &amp;a"&amp;MAIN!$G$93+($C$2*MAIN!$I$27)&amp;"'"</f>
        <v xml:space="preserve">  - '&amp;7• &amp;8Nivel: &amp;a419'</v>
      </c>
      <c r="R66" s="10"/>
      <c r="S66" s="10"/>
      <c r="T66" s="10"/>
    </row>
    <row r="67" spans="1:20" x14ac:dyDescent="0.25">
      <c r="A67" s="12" t="str">
        <f>"  - '&amp;7• &amp;8"&amp;MAIN!$C$12&amp;" lvl: &amp;a"&amp;ROUNDUP((MAIN!$C$93+($C$2*MAIN!$I$27))/3,0)&amp;"'"</f>
        <v xml:space="preserve">  - '&amp;7• &amp;8Esencia lvl: &amp;a14'</v>
      </c>
      <c r="B67" s="12"/>
      <c r="C67" s="12"/>
      <c r="D67" s="12"/>
      <c r="E67" s="12" t="str">
        <f>"  - '&amp;7• &amp;8"&amp;MAIN!$C$12&amp;" lvl: &amp;a"&amp;ROUNDUP((MAIN!$D$93+($C$2*MAIN!$I$27))/3,0)&amp;"'"</f>
        <v xml:space="preserve">  - '&amp;7• &amp;8Esencia lvl: &amp;a19'</v>
      </c>
      <c r="F67" s="12"/>
      <c r="G67" s="12"/>
      <c r="H67" s="12"/>
      <c r="I67" s="12" t="str">
        <f>"  - '&amp;7• &amp;8"&amp;MAIN!$C$12&amp;" lvl: &amp;a"&amp;ROUNDUP((MAIN!$E$93+($C$2*MAIN!$I$27))/3,0)&amp;"'"</f>
        <v xml:space="preserve">  - '&amp;7• &amp;8Esencia lvl: &amp;a33'</v>
      </c>
      <c r="J67" s="12"/>
      <c r="K67" s="12"/>
      <c r="L67" s="12"/>
      <c r="M67" s="12" t="str">
        <f>"  - '&amp;7• &amp;8"&amp;MAIN!$C$12&amp;" lvl: &amp;a"&amp;ROUNDUP((MAIN!$F$93+($C$2*MAIN!$I$27))/3,0)&amp;"'"</f>
        <v xml:space="preserve">  - '&amp;7• &amp;8Esencia lvl: &amp;a76'</v>
      </c>
      <c r="N67" s="12"/>
      <c r="O67" s="12"/>
      <c r="P67" s="12"/>
      <c r="Q67" s="12" t="str">
        <f>"  - '&amp;7• &amp;8"&amp;MAIN!$C$12&amp;" lvl: &amp;a"&amp;ROUNDUP((MAIN!$G$93+($C$2*MAIN!$I$27))/3,0)&amp;"'"</f>
        <v xml:space="preserve">  - '&amp;7• &amp;8Esencia lvl: &amp;a140'</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&amp;a28'</v>
      </c>
      <c r="B71" s="10"/>
      <c r="C71" s="10"/>
      <c r="D71" s="10"/>
      <c r="E71" s="10" t="str">
        <f>"  - '&amp;4• &amp;f"&amp;MAIN!$C$9&amp;": &amp;a"&amp;MAIN!$D$88*$C$2&amp;"'"</f>
        <v xml:space="preserve">  - '&amp;4• &amp;fFuerza: &amp;a42'</v>
      </c>
      <c r="F71" s="10"/>
      <c r="G71" s="10"/>
      <c r="H71" s="10"/>
      <c r="I71" s="10" t="str">
        <f>"  - '&amp;4• &amp;f"&amp;MAIN!$C$9&amp;": &amp;a"&amp;MAIN!$E$88*$C$2&amp;"'"</f>
        <v xml:space="preserve">  - '&amp;4• &amp;fFuerza: &amp;a70'</v>
      </c>
      <c r="J71" s="10"/>
      <c r="K71" s="10"/>
      <c r="L71" s="10"/>
      <c r="M71" s="10" t="str">
        <f>"  - '&amp;4• &amp;f"&amp;MAIN!$C$9&amp;": &amp;a"&amp;MAIN!$F$88*$C$2&amp;"'"</f>
        <v xml:space="preserve">  - '&amp;4• &amp;fFuerza: &amp;a119'</v>
      </c>
      <c r="N71" s="10"/>
      <c r="O71" s="10"/>
      <c r="P71" s="10"/>
      <c r="Q71" s="10" t="str">
        <f>"  - '&amp;4• &amp;f"&amp;MAIN!$C$9&amp;": &amp;a"&amp;MAIN!$G$88*$C$2&amp;"'"</f>
        <v xml:space="preserve">  - '&amp;4• &amp;fFuerza: &amp;a196'</v>
      </c>
      <c r="R71" s="10"/>
      <c r="S71" s="10"/>
      <c r="T71" s="10"/>
    </row>
    <row r="72" spans="1:20" x14ac:dyDescent="0.25">
      <c r="A72" s="10" t="str">
        <f>"  - '&amp;4• &amp;f"&amp;MAIN!$C$8&amp;": &amp;a"&amp;MAIN!$C$88*$C$2&amp;"'"</f>
        <v xml:space="preserve">  - '&amp;4• &amp;fVitalidad: &amp;a28'</v>
      </c>
      <c r="B72" s="10"/>
      <c r="C72" s="10"/>
      <c r="D72" s="10"/>
      <c r="E72" s="10" t="str">
        <f>"  - '&amp;4• &amp;f"&amp;MAIN!$C$8&amp;": &amp;a"&amp;MAIN!$D$88*$C$2&amp;"'"</f>
        <v xml:space="preserve">  - '&amp;4• &amp;fVitalidad: &amp;a42'</v>
      </c>
      <c r="F72" s="10"/>
      <c r="G72" s="10"/>
      <c r="H72" s="10"/>
      <c r="I72" s="10" t="str">
        <f>"  - '&amp;4• &amp;f"&amp;MAIN!$C$8&amp;": &amp;a"&amp;MAIN!$E$88*$C$2&amp;"'"</f>
        <v xml:space="preserve">  - '&amp;4• &amp;fVitalidad: &amp;a70'</v>
      </c>
      <c r="J72" s="10"/>
      <c r="K72" s="10"/>
      <c r="L72" s="10"/>
      <c r="M72" s="10" t="str">
        <f>"  - '&amp;4• &amp;f"&amp;MAIN!$C$8&amp;": &amp;a"&amp;MAIN!$F$88*$C$2&amp;"'"</f>
        <v xml:space="preserve">  - '&amp;4• &amp;fVitalidad: &amp;a119'</v>
      </c>
      <c r="N72" s="10"/>
      <c r="O72" s="10"/>
      <c r="P72" s="10"/>
      <c r="Q72" s="10" t="str">
        <f>"  - '&amp;4• &amp;f"&amp;MAIN!$C$8&amp;": &amp;a"&amp;MAIN!$G$88*$C$2&amp;"'"</f>
        <v xml:space="preserve">  - '&amp;4• &amp;fVitalidad: &amp;a196'</v>
      </c>
      <c r="R72" s="10"/>
      <c r="S72" s="10"/>
      <c r="T72" s="10"/>
    </row>
    <row r="73" spans="1:20" x14ac:dyDescent="0.25">
      <c r="A73" s="10" t="str">
        <f>"  - '&amp;4• &amp;f"&amp;MAIN!$C$11&amp;": &amp;a"&amp;MAIN!$C$90*$C$2&amp;"'"</f>
        <v xml:space="preserve">  - '&amp;4• &amp;fInteligencia: &amp;a28'</v>
      </c>
      <c r="B73" s="10"/>
      <c r="C73" s="10"/>
      <c r="D73" s="10"/>
      <c r="E73" s="10" t="str">
        <f>"  - '&amp;4• &amp;f"&amp;MAIN!$C$11&amp;": &amp;a"&amp;MAIN!$D$90*$C$2&amp;"'"</f>
        <v xml:space="preserve">  - '&amp;4• &amp;fInteligencia: &amp;a42'</v>
      </c>
      <c r="F73" s="10"/>
      <c r="G73" s="10"/>
      <c r="H73" s="10"/>
      <c r="I73" s="10" t="str">
        <f>"  - '&amp;4• &amp;f"&amp;MAIN!$C$11&amp;": &amp;a"&amp;MAIN!$E$90*$C$2&amp;"'"</f>
        <v xml:space="preserve">  - '&amp;4• &amp;fInteligencia: &amp;a70'</v>
      </c>
      <c r="J73" s="10"/>
      <c r="K73" s="10"/>
      <c r="L73" s="10"/>
      <c r="M73" s="10" t="str">
        <f>"  - '&amp;4• &amp;f"&amp;MAIN!$C$11&amp;": &amp;a"&amp;MAIN!$F$90*$C$2&amp;"'"</f>
        <v xml:space="preserve">  - '&amp;4• &amp;fInteligencia: &amp;a119'</v>
      </c>
      <c r="N73" s="10"/>
      <c r="O73" s="10"/>
      <c r="P73" s="10"/>
      <c r="Q73" s="10" t="str">
        <f>"  - '&amp;4• &amp;f"&amp;MAIN!$C$11&amp;": &amp;a"&amp;MAIN!$G$90*$C$2&amp;"'"</f>
        <v xml:space="preserve">  - '&amp;4• &amp;fInteligencia: &amp;a196'</v>
      </c>
      <c r="R73" s="10"/>
      <c r="S73" s="10"/>
      <c r="T73" s="10"/>
    </row>
    <row r="74" spans="1:20" x14ac:dyDescent="0.25">
      <c r="A74" s="10" t="str">
        <f>"  - '&amp;4• &amp;f"&amp;MAIN!$C$10&amp;": &amp;a"&amp;MAIN!$C$89*$C$2&amp;"'"</f>
        <v xml:space="preserve">  - '&amp;4• &amp;fAgilidad: &amp;a28'</v>
      </c>
      <c r="B74" s="10"/>
      <c r="C74" s="10"/>
      <c r="D74" s="10"/>
      <c r="E74" s="10" t="str">
        <f>"  - '&amp;4• &amp;f"&amp;MAIN!$C$10&amp;": &amp;a"&amp;MAIN!$D$89*$C$2&amp;"'"</f>
        <v xml:space="preserve">  - '&amp;4• &amp;fAgilidad: &amp;a42'</v>
      </c>
      <c r="F74" s="10"/>
      <c r="G74" s="10"/>
      <c r="H74" s="10"/>
      <c r="I74" s="10" t="str">
        <f>"  - '&amp;4• &amp;f"&amp;MAIN!$C$10&amp;": &amp;a"&amp;MAIN!$E$89*$C$2&amp;"'"</f>
        <v xml:space="preserve">  - '&amp;4• &amp;fAgilidad: &amp;a70'</v>
      </c>
      <c r="J74" s="10"/>
      <c r="K74" s="10"/>
      <c r="L74" s="10"/>
      <c r="M74" s="10" t="str">
        <f>"  - '&amp;4• &amp;f"&amp;MAIN!$C$10&amp;": &amp;a"&amp;MAIN!$F$89*$C$2&amp;"'"</f>
        <v xml:space="preserve">  - '&amp;4• &amp;fAgilidad: &amp;a119'</v>
      </c>
      <c r="N74" s="10"/>
      <c r="O74" s="10"/>
      <c r="P74" s="10"/>
      <c r="Q74" s="10" t="str">
        <f>"  - '&amp;4• &amp;f"&amp;MAIN!$C$10&amp;": &amp;a"&amp;MAIN!$G$89*$C$2&amp;"'"</f>
        <v xml:space="preserve">  - '&amp;4• &amp;fAgilidad: &amp;a196'</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3"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Z189"/>
  <sheetViews>
    <sheetView tabSelected="1" topLeftCell="S1" workbookViewId="0">
      <selection activeCell="Z4" sqref="Z4:Z8"/>
    </sheetView>
  </sheetViews>
  <sheetFormatPr baseColWidth="10" defaultColWidth="11.42578125" defaultRowHeight="15" x14ac:dyDescent="0.25"/>
  <cols>
    <col min="1" max="16384" width="11.42578125" style="19"/>
  </cols>
  <sheetData>
    <row r="1" spans="1:26" ht="30.75" customHeight="1" x14ac:dyDescent="0.25">
      <c r="A1" s="351" t="s">
        <v>19</v>
      </c>
      <c r="B1" s="351"/>
      <c r="C1" s="351" t="s">
        <v>70</v>
      </c>
      <c r="D1" s="351"/>
      <c r="E1" s="351" t="s">
        <v>80</v>
      </c>
      <c r="F1" s="351"/>
      <c r="G1" s="351" t="s">
        <v>89</v>
      </c>
      <c r="H1" s="351"/>
      <c r="I1" s="351" t="s">
        <v>1197</v>
      </c>
      <c r="J1" s="351"/>
      <c r="K1" s="351" t="s">
        <v>1199</v>
      </c>
      <c r="L1" s="351"/>
    </row>
    <row r="2" spans="1:26" x14ac:dyDescent="0.25">
      <c r="A2" s="301" t="s">
        <v>105</v>
      </c>
      <c r="B2" s="301"/>
      <c r="C2" s="301">
        <f>'ECONOMIA &amp; PROFESIONES'!$R$3</f>
        <v>9</v>
      </c>
      <c r="D2" s="301"/>
      <c r="E2" s="301" t="s">
        <v>107</v>
      </c>
      <c r="F2" s="301"/>
      <c r="G2" s="301" t="s">
        <v>106</v>
      </c>
      <c r="H2" s="301"/>
      <c r="I2" s="301" t="str">
        <f>MAIN!$J$42</f>
        <v>&amp;7Ataque:</v>
      </c>
      <c r="J2" s="301"/>
      <c r="K2" s="301">
        <f>MAIN!$L$42</f>
        <v>2</v>
      </c>
      <c r="L2" s="301"/>
    </row>
    <row r="3" spans="1:26" ht="29.25" customHeight="1" x14ac:dyDescent="0.25">
      <c r="A3" s="357" t="s">
        <v>7</v>
      </c>
      <c r="B3" s="357"/>
      <c r="C3" s="357"/>
      <c r="D3" s="357"/>
      <c r="E3" s="357" t="s">
        <v>8</v>
      </c>
      <c r="F3" s="357"/>
      <c r="G3" s="357"/>
      <c r="H3" s="357"/>
      <c r="I3" s="357" t="s">
        <v>83</v>
      </c>
      <c r="J3" s="357"/>
      <c r="K3" s="357"/>
      <c r="L3" s="357"/>
      <c r="M3" s="357" t="s">
        <v>84</v>
      </c>
      <c r="N3" s="357"/>
      <c r="O3" s="357"/>
      <c r="P3" s="357"/>
      <c r="Q3" s="357" t="s">
        <v>85</v>
      </c>
      <c r="R3" s="357"/>
      <c r="S3" s="357"/>
      <c r="T3" s="357"/>
      <c r="U3" s="291"/>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91">
        <v>1</v>
      </c>
      <c r="V4" s="291" t="str">
        <f>$I$2&amp;" "&amp;ROUND(MAIN!$C$44*$C$2*$K$2/5*$U$4,0)</f>
        <v>&amp;7Ataque: 7</v>
      </c>
      <c r="W4" s="291" t="str">
        <f>$I$2&amp;" "&amp;ROUND(MAIN!$D$44*$C$2*$K$2/5*$U$4,0)</f>
        <v>&amp;7Ataque: 22</v>
      </c>
      <c r="X4" s="291" t="str">
        <f>$I$2&amp;" "&amp;ROUND(MAIN!$E$44*$C$2*$K$2/5*$U$4,0)</f>
        <v>&amp;7Ataque: 65</v>
      </c>
      <c r="Y4" s="291" t="str">
        <f>$I$2&amp;" "&amp;ROUND(MAIN!$F$44*$C$2*$K$2/5*$U$4,0)</f>
        <v>&amp;7Ataque: 194</v>
      </c>
      <c r="Z4" s="291" t="str">
        <f>$I$2&amp;" "&amp;ROUND(MAIN!$G$44*$C$2*$K$2/5*$U$4,0)</f>
        <v>&amp;7Ataque: 583</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91">
        <v>2</v>
      </c>
      <c r="V5" s="291" t="str">
        <f>$I$2&amp;" "&amp;ROUND(MAIN!$C$44*$C$2*$K$2/5*$U$5,0)</f>
        <v>&amp;7Ataque: 14</v>
      </c>
      <c r="W5" s="291" t="str">
        <f>$I$2&amp;" "&amp;ROUND(MAIN!$D$44*$C$2*$K$2/5*$U$5,0)</f>
        <v>&amp;7Ataque: 43</v>
      </c>
      <c r="X5" s="291" t="str">
        <f>$I$2&amp;" "&amp;ROUND(MAIN!$E$44*$C$2*$K$2/5*$U$5,0)</f>
        <v>&amp;7Ataque: 130</v>
      </c>
      <c r="Y5" s="291" t="str">
        <f>$I$2&amp;" "&amp;ROUND(MAIN!$F$44*$C$2*$K$2/5*$U$5,0)</f>
        <v>&amp;7Ataque: 389</v>
      </c>
      <c r="Z5" s="291" t="str">
        <f>$I$2&amp;" "&amp;ROUND(MAIN!$G$44*$C$2*$K$2/5*$U$5,0)</f>
        <v>&amp;7Ataque: 1166</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$I$2&amp;" "&amp;ROUND(MAIN!$C$44*$C$2*$K$2/5*$U$6,0)</f>
        <v>&amp;7Ataque: 22</v>
      </c>
      <c r="W6" s="291" t="str">
        <f>$I$2&amp;" "&amp;ROUND(MAIN!$D$44*$C$2*$K$2/5*$U$6,0)</f>
        <v>&amp;7Ataque: 65</v>
      </c>
      <c r="X6" s="291" t="str">
        <f>$I$2&amp;" "&amp;ROUND(MAIN!$E$44*$C$2*$K$2/5*$U$6,0)</f>
        <v>&amp;7Ataque: 194</v>
      </c>
      <c r="Y6" s="291" t="str">
        <f>$I$2&amp;" "&amp;ROUND(MAIN!$F$44*$C$2*$K$2/5*$U$6,0)</f>
        <v>&amp;7Ataque: 583</v>
      </c>
      <c r="Z6" s="291" t="str">
        <f>$I$2&amp;" "&amp;ROUND(MAIN!$G$44*$C$2*$K$2/5*$U$6,0)</f>
        <v>&amp;7Ataque: 1750</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$I$2&amp;" "&amp;ROUND(MAIN!$C$44*$C$2*$K$2/5*$U$7,0)</f>
        <v>&amp;7Ataque: 29</v>
      </c>
      <c r="W7" s="291" t="str">
        <f>$I$2&amp;" "&amp;ROUND(MAIN!$D$44*$C$2*$K$2/5*$U$7,0)</f>
        <v>&amp;7Ataque: 86</v>
      </c>
      <c r="X7" s="291" t="str">
        <f>$I$2&amp;" "&amp;ROUND(MAIN!$E$44*$C$2*$K$2/5*$U$7,0)</f>
        <v>&amp;7Ataque: 259</v>
      </c>
      <c r="Y7" s="291" t="str">
        <f>$I$2&amp;" "&amp;ROUND(MAIN!$F$44*$C$2*$K$2/5*$U$7,0)</f>
        <v>&amp;7Ataque: 778</v>
      </c>
      <c r="Z7" s="291" t="str">
        <f>$I$2&amp;" "&amp;ROUND(MAIN!$G$44*$C$2*$K$2/5*$U$7,0)</f>
        <v>&amp;7Ataque: 2333</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$I$2&amp;" "&amp;ROUND(MAIN!$C$44*$C$2*$K$2/5*$U$8,0)</f>
        <v>&amp;7Ataque: 36</v>
      </c>
      <c r="W8" s="291" t="str">
        <f>$I$2&amp;" "&amp;ROUND(MAIN!$D$44*$C$2*$K$2/5*$U$8,0)</f>
        <v>&amp;7Ataque: 108</v>
      </c>
      <c r="X8" s="291" t="str">
        <f>$I$2&amp;" "&amp;ROUND(MAIN!$E$44*$C$2*$K$2/5*$U$8,0)</f>
        <v>&amp;7Ataque: 324</v>
      </c>
      <c r="Y8" s="291" t="str">
        <f>$I$2&amp;" "&amp;ROUND(MAIN!$F$44*$C$2*$K$2/5*$U$8,0)</f>
        <v>&amp;7Ataque: 972</v>
      </c>
      <c r="Z8" s="291" t="str">
        <f>$I$2&amp;" "&amp;ROUND(MAIN!$G$44*$C$2*$K$2/5*$U$8,0)</f>
        <v>&amp;7Ataque: 2916</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"&amp;MAIN!$G$20</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  maximumBonusEnchantments: "&amp;MAIN!$G$21</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ARROW_INFINITE:"&amp;MAIN!$G$18&amp;":"&amp;MAIN!$G$19</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  - ARROW_DAMAGE:"&amp;MAIN!$G$18&amp;":"&amp;MAIN!$G$19</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  - ARROW_FIRE:"&amp;MAIN!$G$18&amp;":"&amp;MAIN!$G$19</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  - ARROW_KNOCKBACK:"&amp;MAIN!$G$18&amp;":"&amp;MAIN!$G$19</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  - DAMAGE_ALL:"&amp;MAIN!$G$18&amp;":"&amp;MAIN!$G$19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  - DAMAGE_ARTHROPODS:"&amp;MAIN!$G$18&amp;":"&amp;MAIN!$G$19</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  - DAMAGE_UNDEAD:"&amp;MAIN!$G$18&amp;":"&amp;MAIN!$G$19</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x14ac:dyDescent="0.25">
      <c r="A22" s="22" t="str">
        <f>"  - DIG_SPEED:"&amp;MAIN!$G$18&amp;":"&amp;MAIN!$G$19</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  - DURABILITY:"&amp;MAIN!$G$18&amp;":"&amp;MAIN!$G$19</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  - FIRE_ASPECT:"&amp;MAIN!$G$18&amp;":"&amp;MAIN!$G$19</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  - KNOCKBACK:"&amp;MAIN!$G$18&amp;":"&amp;MAIN!$G$19</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  - LOOT_BONUS_BLOCKS:"&amp;MAIN!$G$18&amp;":"&amp;MAIN!$G$19</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  - LOOT_BONUS_MOBS:"&amp;MAIN!$G$18&amp;":"&amp;MAIN!$G$19</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  - OXYGEN:"&amp;MAIN!$G$18&amp;":"&amp;MAIN!$G$19</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  - PROTECTION_ENVIRONMENT:"&amp;MAIN!$G$18&amp;":"&amp;MAIN!$G$19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  - PROTECTION_EXPLOSIONS:"&amp;MAIN!$G$18&amp;":"&amp;MAIN!$G$19</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  - PROTECTION_FALL:"&amp;MAIN!$G$18&amp;":"&amp;MAIN!$G$19</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  - PROTECTION_FIRE:"&amp;MAIN!$G$18&amp;":"&amp;MAIN!$G$19</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  - PROTECTION_PROJECTILE:"&amp;MAIN!$G$18&amp;":"&amp;MAIN!$G$19</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  - SILK_TOUCH:"&amp;MAIN!$G$18&amp;":"&amp;MAIN!$G$19</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  - WATER_WORKER:"&amp;MAIN!$G$18&amp;":"&amp;MAIN!$G$19</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"&amp;MAIN!$G$23</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  maximumBonusLore: "&amp;MAIN!$G$24</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&amp;6"&amp;(MAIN!$D$2+(MAIN!$G$18+MAIN!$G$19)/2*MAIN!$B$9+(MAIN!$G$20+MAIN!$G$21)/2*MAIN!$B$8+(MAIN!$G$47*MAIN!$B$11)+($C$2*MAIN!$B$10))/10&amp;" &amp;aAlmakos'"</f>
        <v xml:space="preserve">  - '&amp;aVenta: &amp;6725 &amp;aAlmakos'</v>
      </c>
      <c r="B62" s="20"/>
      <c r="C62" s="20"/>
      <c r="D62" s="20"/>
      <c r="E62" s="20" t="str">
        <f>"  - '&amp;aVenta: &amp;6"&amp;(MAIN!$D$3+(MAIN!$G$18+MAIN!$G$19)/2*MAIN!$B$9+(MAIN!$G$20+MAIN!$G$21)/2*MAIN!$B$8+(MAIN!$G$47*MAIN!$B$11)+($C$2*MAIN!$B$10))/10&amp;" &amp;aAlmakos'"</f>
        <v xml:space="preserve">  - '&amp;aVenta: &amp;6765 &amp;aAlmakos'</v>
      </c>
      <c r="F62" s="20"/>
      <c r="G62" s="20"/>
      <c r="H62" s="20"/>
      <c r="I62" s="20" t="str">
        <f>"  - '&amp;aVenta: &amp;6"&amp;(MAIN!$D$4+(MAIN!$G$18+MAIN!$G$19)/2*MAIN!$B$9+(MAIN!$G$20+MAIN!$G$21)/2*MAIN!$B$8+(MAIN!$G$47*MAIN!$B$11)+($C$2*MAIN!$B$10))/10&amp;" &amp;aAlmakos'"</f>
        <v xml:space="preserve">  - '&amp;aVenta: &amp;6845 &amp;aAlmakos'</v>
      </c>
      <c r="J62" s="20"/>
      <c r="K62" s="20"/>
      <c r="L62" s="20"/>
      <c r="M62" s="20" t="str">
        <f>"  - '&amp;aVenta: &amp;6"&amp;(MAIN!$D$5+(MAIN!$G$18+MAIN!$G$19)/2*MAIN!$B$9+(MAIN!$G$20+MAIN!$G$21)/2*MAIN!$B$8+(MAIN!$G$47*MAIN!$B$11)+($C$2*MAIN!$B$10))/10&amp;" &amp;aAlmakos'"</f>
        <v xml:space="preserve">  - '&amp;aVenta: &amp;61005 &amp;aAlmakos'</v>
      </c>
      <c r="N62" s="20"/>
      <c r="O62" s="20"/>
      <c r="P62" s="20"/>
      <c r="Q62" s="20" t="str">
        <f>"  - '&amp;aVenta: &amp;6"&amp;(MAIN!$D$6+(MAIN!$G$18+MAIN!$G$19)/2*MAIN!$B$9+(MAIN!$G$20+MAIN!$G$21)/2*MAIN!$B$8+(MAIN!$G$47*MAIN!$B$11)+($C$2*MAIN!$B$10))/10&amp;" &amp;aAlmakos'"</f>
        <v xml:space="preserve">  - '&amp;aVenta: &amp;61325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&amp;a48'</v>
      </c>
      <c r="B66" s="10"/>
      <c r="C66" s="10"/>
      <c r="D66" s="10"/>
      <c r="E66" s="10" t="str">
        <f>"  - '&amp;7• &amp;8Nivel: &amp;a"&amp;MAIN!$D$49+($C$2*MAIN!$I$27)&amp;"'"</f>
        <v xml:space="preserve">  - '&amp;7• &amp;8Nivel: &amp;a55'</v>
      </c>
      <c r="F66" s="10"/>
      <c r="G66" s="10"/>
      <c r="H66" s="10"/>
      <c r="I66" s="10" t="str">
        <f>"  - '&amp;7• &amp;8Nivel: &amp;a"&amp;MAIN!$E$49+($C$2*MAIN!$I$27)&amp;"'"</f>
        <v xml:space="preserve">  - '&amp;7• &amp;8Nivel: &amp;a77'</v>
      </c>
      <c r="J66" s="10"/>
      <c r="K66" s="10"/>
      <c r="L66" s="10"/>
      <c r="M66" s="10" t="str">
        <f>"  - '&amp;7• &amp;8Nivel: &amp;a"&amp;MAIN!$F$49+($C$2*MAIN!$I$27)&amp;"'"</f>
        <v xml:space="preserve">  - '&amp;7• &amp;8Nivel: &amp;a141'</v>
      </c>
      <c r="N66" s="10"/>
      <c r="O66" s="10"/>
      <c r="P66" s="10"/>
      <c r="Q66" s="10" t="str">
        <f>"  - '&amp;7• &amp;8Nivel: &amp;a"&amp;MAIN!$G$49+($C$2*MAIN!$I$27)&amp;"'"</f>
        <v xml:space="preserve">  - '&amp;7• &amp;8Nivel: &amp;a237'</v>
      </c>
      <c r="R66" s="10"/>
      <c r="S66" s="10"/>
      <c r="T66" s="10"/>
    </row>
    <row r="67" spans="1:20" x14ac:dyDescent="0.25">
      <c r="A67" s="12" t="str">
        <f>"  - '&amp;7• &amp;8"&amp;MAIN!$C$12&amp;" lvl: &amp;a"&amp;ROUNDUP((MAIN!$C$49+($C$2*MAIN!$I$27))/3,0)&amp;"'"</f>
        <v xml:space="preserve">  - '&amp;7• &amp;8Esencia lvl: &amp;a16'</v>
      </c>
      <c r="B67" s="12"/>
      <c r="C67" s="12"/>
      <c r="D67" s="12"/>
      <c r="E67" s="12" t="str">
        <f>"  - '&amp;7• &amp;8"&amp;MAIN!$C$12&amp;" lvl: &amp;a"&amp;ROUNDUP((MAIN!$D$49+($C$2*MAIN!$I$27))/3,0)&amp;"'"</f>
        <v xml:space="preserve">  - '&amp;7• &amp;8Esencia lvl: &amp;a19'</v>
      </c>
      <c r="F67" s="12"/>
      <c r="G67" s="12"/>
      <c r="H67" s="12"/>
      <c r="I67" s="12" t="str">
        <f>"  - '&amp;7• &amp;8"&amp;MAIN!$C$12&amp;" lvl: &amp;a"&amp;ROUNDUP((MAIN!$E$49+($C$2*MAIN!$I$27))/3,0)&amp;"'"</f>
        <v xml:space="preserve">  - '&amp;7• &amp;8Esencia lvl: &amp;a26'</v>
      </c>
      <c r="J67" s="12"/>
      <c r="K67" s="12"/>
      <c r="L67" s="12"/>
      <c r="M67" s="12" t="str">
        <f>"  - '&amp;7• &amp;8"&amp;MAIN!$C$12&amp;" lvl: &amp;a"&amp;ROUNDUP((MAIN!$F$49+($C$2*MAIN!$I$27))/3,0)&amp;"'"</f>
        <v xml:space="preserve">  - '&amp;7• &amp;8Esencia lvl: &amp;a47'</v>
      </c>
      <c r="N67" s="12"/>
      <c r="O67" s="12"/>
      <c r="P67" s="12"/>
      <c r="Q67" s="12" t="str">
        <f>"  - '&amp;7• &amp;8"&amp;MAIN!$C$12&amp;" lvl: &amp;a"&amp;ROUNDUP((MAIN!$G$49+($C$2*MAIN!$I$27))/3,0)&amp;"'"</f>
        <v xml:space="preserve">  - '&amp;7• &amp;8Esencia lvl: &amp;a79'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&amp;a18'</v>
      </c>
      <c r="B71" s="10"/>
      <c r="C71" s="10"/>
      <c r="D71" s="10"/>
      <c r="E71" s="10" t="str">
        <f>"  - '&amp;4• &amp;f"&amp;MAIN!$C$9&amp;": &amp;a"&amp;MAIN!$D$44*$C$2&amp;"'"</f>
        <v xml:space="preserve">  - '&amp;4• &amp;fFuerza: &amp;a54'</v>
      </c>
      <c r="F71" s="10"/>
      <c r="G71" s="10"/>
      <c r="H71" s="10"/>
      <c r="I71" s="10" t="str">
        <f>"  - '&amp;4• &amp;f"&amp;MAIN!$C$9&amp;": &amp;a"&amp;MAIN!$E$44*$C$2&amp;"'"</f>
        <v xml:space="preserve">  - '&amp;4• &amp;fFuerza: &amp;a162'</v>
      </c>
      <c r="J71" s="10"/>
      <c r="K71" s="10"/>
      <c r="L71" s="10"/>
      <c r="M71" s="10" t="str">
        <f>"  - '&amp;4• &amp;f"&amp;MAIN!$C$9&amp;": &amp;a"&amp;MAIN!$F$44*$C$2&amp;"'"</f>
        <v xml:space="preserve">  - '&amp;4• &amp;fFuerza: &amp;a486'</v>
      </c>
      <c r="N71" s="10"/>
      <c r="O71" s="10"/>
      <c r="P71" s="10"/>
      <c r="Q71" s="10" t="str">
        <f>"  - '&amp;4• &amp;f"&amp;MAIN!$C$9&amp;": &amp;a"&amp;MAIN!$G$44*$C$2&amp;"'"</f>
        <v xml:space="preserve">  - '&amp;4• &amp;fFuerza: &amp;a1458'</v>
      </c>
      <c r="R71" s="10"/>
      <c r="S71" s="10"/>
      <c r="T71" s="10"/>
    </row>
    <row r="72" spans="1:20" x14ac:dyDescent="0.25">
      <c r="A72" s="10" t="str">
        <f>"  - '&amp;4• &amp;f"&amp;MAIN!$C$8&amp;": &amp;a"&amp;MAIN!$C$43*$C$2&amp;"'"</f>
        <v xml:space="preserve">  - '&amp;4• &amp;fVitalidad: &amp;a18'</v>
      </c>
      <c r="B72" s="10"/>
      <c r="C72" s="10"/>
      <c r="D72" s="10"/>
      <c r="E72" s="10" t="str">
        <f>"  - '&amp;4• &amp;f"&amp;MAIN!$C$8&amp;": &amp;a"&amp;MAIN!$D$43*$C$2&amp;"'"</f>
        <v xml:space="preserve">  - '&amp;4• &amp;fVitalidad: &amp;a54'</v>
      </c>
      <c r="F72" s="10"/>
      <c r="G72" s="10"/>
      <c r="H72" s="10"/>
      <c r="I72" s="10" t="str">
        <f>"  - '&amp;4• &amp;f"&amp;MAIN!$C$8&amp;": &amp;a"&amp;MAIN!$E$43*$C$2&amp;"'"</f>
        <v xml:space="preserve">  - '&amp;4• &amp;fVitalidad: &amp;a162'</v>
      </c>
      <c r="J72" s="10"/>
      <c r="K72" s="10"/>
      <c r="L72" s="10"/>
      <c r="M72" s="10" t="str">
        <f>"  - '&amp;4• &amp;f"&amp;MAIN!$C$8&amp;": &amp;a"&amp;MAIN!$F$43*$C$2&amp;"'"</f>
        <v xml:space="preserve">  - '&amp;4• &amp;fVitalidad: &amp;a486'</v>
      </c>
      <c r="N72" s="10"/>
      <c r="O72" s="10"/>
      <c r="P72" s="10"/>
      <c r="Q72" s="10" t="str">
        <f>"  - '&amp;4• &amp;f"&amp;MAIN!$C$8&amp;": &amp;a"&amp;MAIN!$G$43*$C$2&amp;"'"</f>
        <v xml:space="preserve">  - '&amp;4• &amp;fVitalidad: &amp;a1458'</v>
      </c>
      <c r="R72" s="10"/>
      <c r="S72" s="10"/>
      <c r="T72" s="10"/>
    </row>
    <row r="73" spans="1:20" x14ac:dyDescent="0.25">
      <c r="A73" s="10" t="str">
        <f>"  - '&amp;4• &amp;f"&amp;MAIN!$C$11&amp;": &amp;a"&amp;MAIN!$C$43*$C$2&amp;"'"</f>
        <v xml:space="preserve">  - '&amp;4• &amp;fInteligencia: &amp;a18'</v>
      </c>
      <c r="B73" s="10"/>
      <c r="C73" s="10"/>
      <c r="D73" s="10"/>
      <c r="E73" s="10" t="str">
        <f>"  - '&amp;4• &amp;f"&amp;MAIN!$C$11&amp;": &amp;a"&amp;MAIN!$D$43*$C$2&amp;"'"</f>
        <v xml:space="preserve">  - '&amp;4• &amp;fInteligencia: &amp;a54'</v>
      </c>
      <c r="F73" s="10"/>
      <c r="G73" s="10"/>
      <c r="H73" s="10"/>
      <c r="I73" s="10" t="str">
        <f>"  - '&amp;4• &amp;f"&amp;MAIN!$C$11&amp;": &amp;a"&amp;MAIN!$E$43*$C$2&amp;"'"</f>
        <v xml:space="preserve">  - '&amp;4• &amp;fInteligencia: &amp;a162'</v>
      </c>
      <c r="J73" s="10"/>
      <c r="K73" s="10"/>
      <c r="L73" s="10"/>
      <c r="M73" s="10" t="str">
        <f>"  - '&amp;4• &amp;f"&amp;MAIN!$C$11&amp;": &amp;a"&amp;MAIN!$F$43*$C$2&amp;"'"</f>
        <v xml:space="preserve">  - '&amp;4• &amp;fInteligencia: &amp;a486'</v>
      </c>
      <c r="N73" s="10"/>
      <c r="O73" s="10"/>
      <c r="P73" s="10"/>
      <c r="Q73" s="10" t="str">
        <f>"  - '&amp;4• &amp;f"&amp;MAIN!$C$11&amp;": &amp;a"&amp;MAIN!$G$43*$C$2&amp;"'"</f>
        <v xml:space="preserve">  - '&amp;4• &amp;fInteligencia: &amp;a1458'</v>
      </c>
      <c r="R73" s="10"/>
      <c r="S73" s="10"/>
      <c r="T73" s="10"/>
    </row>
    <row r="74" spans="1:20" x14ac:dyDescent="0.25">
      <c r="A74" s="10" t="str">
        <f>"  - '&amp;4• &amp;f"&amp;MAIN!$C$10&amp;": &amp;a"&amp;MAIN!$C$45*$C$2&amp;"'"</f>
        <v xml:space="preserve">  - '&amp;4• &amp;fAgilidad: &amp;a18'</v>
      </c>
      <c r="B74" s="10"/>
      <c r="C74" s="10"/>
      <c r="D74" s="10"/>
      <c r="E74" s="10" t="str">
        <f>"  - '&amp;4• &amp;f"&amp;MAIN!$C$10&amp;": &amp;a"&amp;MAIN!$D$45*$C$2&amp;"'"</f>
        <v xml:space="preserve">  - '&amp;4• &amp;fAgilidad: &amp;a54'</v>
      </c>
      <c r="F74" s="10"/>
      <c r="G74" s="10"/>
      <c r="H74" s="10"/>
      <c r="I74" s="10" t="str">
        <f>"  - '&amp;4• &amp;f"&amp;MAIN!$C$10&amp;": &amp;a"&amp;MAIN!$E$45*$C$2&amp;"'"</f>
        <v xml:space="preserve">  - '&amp;4• &amp;fAgilidad: &amp;a162'</v>
      </c>
      <c r="J74" s="10"/>
      <c r="K74" s="10"/>
      <c r="L74" s="10"/>
      <c r="M74" s="10" t="str">
        <f>"  - '&amp;4• &amp;f"&amp;MAIN!$C$10&amp;": &amp;a"&amp;MAIN!$F$45*$C$2&amp;"'"</f>
        <v xml:space="preserve">  - '&amp;4• &amp;fAgilidad: &amp;a486'</v>
      </c>
      <c r="N74" s="10"/>
      <c r="O74" s="10"/>
      <c r="P74" s="10"/>
      <c r="Q74" s="10" t="str">
        <f>"  - '&amp;4• &amp;f"&amp;MAIN!$C$10&amp;": &amp;a"&amp;MAIN!$G$45*$C$2&amp;"'"</f>
        <v xml:space="preserve">  - '&amp;4• &amp;fAgilidad: &amp;a1458'</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"&amp;MAIN!$G$29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"maximumSockets: "&amp;MAIN!$G$30</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3"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"optimalDistance: "&amp;MAIN!$G$39</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"maximumDistance: "&amp;MAIN!$G$40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dimension ref="A1:Z189"/>
  <sheetViews>
    <sheetView topLeftCell="A64"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1" t="s">
        <v>19</v>
      </c>
      <c r="B1" s="351"/>
      <c r="C1" s="351" t="s">
        <v>70</v>
      </c>
      <c r="D1" s="351"/>
      <c r="E1" s="351" t="s">
        <v>80</v>
      </c>
      <c r="F1" s="351"/>
      <c r="G1" s="351" t="s">
        <v>89</v>
      </c>
      <c r="H1" s="351"/>
      <c r="I1" s="351" t="s">
        <v>1197</v>
      </c>
      <c r="J1" s="351"/>
      <c r="K1" s="351" t="s">
        <v>1199</v>
      </c>
      <c r="L1" s="351"/>
    </row>
    <row r="2" spans="1:26" x14ac:dyDescent="0.25">
      <c r="A2" s="301" t="s">
        <v>105</v>
      </c>
      <c r="B2" s="301"/>
      <c r="C2" s="301">
        <f>'ECONOMIA &amp; PROFESIONES'!$R$3</f>
        <v>9</v>
      </c>
      <c r="D2" s="301"/>
      <c r="E2" s="301" t="s">
        <v>107</v>
      </c>
      <c r="F2" s="301"/>
      <c r="G2" s="301" t="s">
        <v>106</v>
      </c>
      <c r="H2" s="301"/>
      <c r="I2" s="301" t="str">
        <f>MAIN!$J$53</f>
        <v>Armor</v>
      </c>
      <c r="J2" s="301"/>
      <c r="K2" s="301">
        <f>MAIN!$L$53</f>
        <v>1</v>
      </c>
      <c r="L2" s="301"/>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91"/>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91">
        <v>1</v>
      </c>
      <c r="V4" s="291" t="str">
        <f>"+"&amp;ROUND(MAIN!$C$55*$C$2*$K$2/5*$U$4,0)&amp;" "&amp;$I$2</f>
        <v>+9 Armor</v>
      </c>
      <c r="W4" s="291" t="str">
        <f>"+"&amp;ROUND(MAIN!$D$55*$C$2*$K$2/5*$U$4,0)&amp;" "&amp;$I$2</f>
        <v>+14 Armor</v>
      </c>
      <c r="X4" s="291" t="str">
        <f>"+"&amp;ROUND(MAIN!$E$55*$C$2*$K$2/5*$U$4,0)&amp;" "&amp;$I$2</f>
        <v>+23 Armor</v>
      </c>
      <c r="Y4" s="291" t="str">
        <f>"+"&amp;ROUND(MAIN!$F$55*$C$2*$K$2/5*$U$4,0)&amp;" "&amp;$I$2</f>
        <v>+40 Armor</v>
      </c>
      <c r="Z4" s="291" t="str">
        <f>"+"&amp;ROUND(MAIN!$G$55*$C$2*$K$2/5*$U$4,0)&amp;" "&amp;$I$2</f>
        <v>+67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91">
        <v>2</v>
      </c>
      <c r="V5" s="291" t="str">
        <f>"+"&amp;ROUND(MAIN!$C$55*$C$2*$K$2/5*$U$5,0)&amp;" "&amp;$I$2</f>
        <v>+18 Armor</v>
      </c>
      <c r="W5" s="291" t="str">
        <f>"+"&amp;ROUND(MAIN!$D$55*$C$2*$K$2/5*$U$5,0)&amp;" "&amp;$I$2</f>
        <v>+29 Armor</v>
      </c>
      <c r="X5" s="291" t="str">
        <f>"+"&amp;ROUND(MAIN!$E$55*$C$2*$K$2/5*$U$5,0)&amp;" "&amp;$I$2</f>
        <v>+47 Armor</v>
      </c>
      <c r="Y5" s="291" t="str">
        <f>"+"&amp;ROUND(MAIN!$F$55*$C$2*$K$2/5*$U$5,0)&amp;" "&amp;$I$2</f>
        <v>+79 Armor</v>
      </c>
      <c r="Z5" s="291" t="str">
        <f>"+"&amp;ROUND(MAIN!$G$55*$C$2*$K$2/5*$U$5,0)&amp;" "&amp;$I$2</f>
        <v>+133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+27 Armor</v>
      </c>
      <c r="W6" s="291" t="str">
        <f>"+"&amp;ROUND(MAIN!$D$55*$C$2*$K$2/5*$U$6,0)&amp;" "&amp;$I$2</f>
        <v>+43 Armor</v>
      </c>
      <c r="X6" s="291" t="str">
        <f>"+"&amp;ROUND(MAIN!$E$55*$C$2*$K$2/5*$U$6,0)&amp;" "&amp;$I$2</f>
        <v>+70 Armor</v>
      </c>
      <c r="Y6" s="291" t="str">
        <f>"+"&amp;ROUND(MAIN!$F$55*$C$2*$K$2/5*$U$6,0)&amp;" "&amp;$I$2</f>
        <v>+119 Armor</v>
      </c>
      <c r="Z6" s="291" t="str">
        <f>"+"&amp;ROUND(MAIN!$G$55*$C$2*$K$2/5*$U$6,0)&amp;" "&amp;$I$2</f>
        <v>+200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+36 Armor</v>
      </c>
      <c r="W7" s="291" t="str">
        <f>"+"&amp;ROUND(MAIN!$D$55*$C$2*$K$2/5*$U$7,0)&amp;" "&amp;$I$2</f>
        <v>+58 Armor</v>
      </c>
      <c r="X7" s="291" t="str">
        <f>"+"&amp;ROUND(MAIN!$E$55*$C$2*$K$2/5*$U$7,0)&amp;" "&amp;$I$2</f>
        <v>+94 Armor</v>
      </c>
      <c r="Y7" s="291" t="str">
        <f>"+"&amp;ROUND(MAIN!$F$55*$C$2*$K$2/5*$U$7,0)&amp;" "&amp;$I$2</f>
        <v>+158 Armor</v>
      </c>
      <c r="Z7" s="291" t="str">
        <f>"+"&amp;ROUND(MAIN!$G$55*$C$2*$K$2/5*$U$7,0)&amp;" "&amp;$I$2</f>
        <v>+266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+45 Armor</v>
      </c>
      <c r="W8" s="291" t="str">
        <f>"+"&amp;ROUND(MAIN!$D$55*$C$2*$K$2/5*$U$8,0)&amp;" "&amp;$I$2</f>
        <v>+72 Armor</v>
      </c>
      <c r="X8" s="291" t="str">
        <f>"+"&amp;ROUND(MAIN!$E$55*$C$2*$K$2/5*$U$8,0)&amp;" "&amp;$I$2</f>
        <v>+117 Armor</v>
      </c>
      <c r="Y8" s="291" t="str">
        <f>"+"&amp;ROUND(MAIN!$F$55*$C$2*$K$2/5*$U$8,0)&amp;" "&amp;$I$2</f>
        <v>+198 Armor</v>
      </c>
      <c r="Z8" s="291" t="str">
        <f>"+"&amp;ROUND(MAIN!$G$55*$C$2*$K$2/5*$U$8,0)&amp;" "&amp;$I$2</f>
        <v>+333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 t="shared" ref="E12" si="6">$A$12</f>
        <v xml:space="preserve">  minimumBonusEnchantments: 4</v>
      </c>
      <c r="F12" s="11"/>
      <c r="G12" s="11"/>
      <c r="H12" s="11"/>
      <c r="I12" s="11" t="str">
        <f t="shared" ref="I12" si="7">$A$12</f>
        <v xml:space="preserve">  minimumBonusEnchantments: 4</v>
      </c>
      <c r="J12" s="11"/>
      <c r="K12" s="11"/>
      <c r="L12" s="11"/>
      <c r="M12" s="11" t="str">
        <f t="shared" ref="M12" si="8">$A$12</f>
        <v xml:space="preserve">  minimumBonusEnchantments: 4</v>
      </c>
      <c r="N12" s="11"/>
      <c r="O12" s="11"/>
      <c r="P12" s="11"/>
      <c r="Q12" s="11" t="str">
        <f t="shared" ref="Q12" si="9">$A$12</f>
        <v xml:space="preserve">  minimumBonusEnchantments: 4</v>
      </c>
      <c r="R12" s="11"/>
      <c r="S12" s="11"/>
      <c r="T12" s="11"/>
    </row>
    <row r="13" spans="1:26" x14ac:dyDescent="0.25">
      <c r="A13" s="11" t="str">
        <f>'armas ancestral'!$A$13</f>
        <v xml:space="preserve">  maximumBonusEnchantments: 5</v>
      </c>
      <c r="B13" s="11"/>
      <c r="C13" s="11"/>
      <c r="D13" s="11"/>
      <c r="E13" s="11" t="str">
        <f t="shared" ref="E13" si="10">$A$13</f>
        <v xml:space="preserve">  maximumBonusEnchantments: 5</v>
      </c>
      <c r="F13" s="11"/>
      <c r="G13" s="11"/>
      <c r="H13" s="11"/>
      <c r="I13" s="11" t="str">
        <f t="shared" ref="I13" si="11">$A$13</f>
        <v xml:space="preserve">  maximumBonusEnchantments: 5</v>
      </c>
      <c r="J13" s="11"/>
      <c r="K13" s="11"/>
      <c r="L13" s="11"/>
      <c r="M13" s="11" t="str">
        <f t="shared" ref="M13" si="12">$A$13</f>
        <v xml:space="preserve">  maximumBonusEnchantments: 5</v>
      </c>
      <c r="N13" s="11"/>
      <c r="O13" s="11"/>
      <c r="P13" s="11"/>
      <c r="Q13" s="11" t="str">
        <f t="shared" ref="Q13" si="13">$A$13</f>
        <v xml:space="preserve">  maximumBonusEnchantments: 5</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s="21" customFormat="1"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 t="shared" ref="E59" si="14">$A$59</f>
        <v xml:space="preserve">  minimumBonusLore: 3</v>
      </c>
      <c r="F59" s="11"/>
      <c r="G59" s="11"/>
      <c r="H59" s="11"/>
      <c r="I59" s="11" t="str">
        <f t="shared" ref="I59" si="15">$A$59</f>
        <v xml:space="preserve">  minimumBonusLore: 3</v>
      </c>
      <c r="J59" s="11"/>
      <c r="K59" s="11"/>
      <c r="L59" s="11"/>
      <c r="M59" s="11" t="str">
        <f t="shared" ref="M59" si="16">$A$59</f>
        <v xml:space="preserve">  minimumBonusLore: 3</v>
      </c>
      <c r="N59" s="11"/>
      <c r="O59" s="11"/>
      <c r="P59" s="11"/>
      <c r="Q59" s="11" t="str">
        <f t="shared" ref="Q59" si="17">$A$59</f>
        <v xml:space="preserve">  minimumBonusLore: 3</v>
      </c>
      <c r="R59" s="11"/>
      <c r="S59" s="11"/>
      <c r="T59" s="11"/>
    </row>
    <row r="60" spans="1:20" x14ac:dyDescent="0.25">
      <c r="A60" s="11" t="str">
        <f>'armas ancestral'!$A$60</f>
        <v xml:space="preserve">  maximumBonusLore: 4</v>
      </c>
      <c r="B60" s="11"/>
      <c r="C60" s="11"/>
      <c r="D60" s="11"/>
      <c r="E60" s="11" t="str">
        <f t="shared" ref="E60" si="18">$A$60</f>
        <v xml:space="preserve">  maximumBonusLore: 4</v>
      </c>
      <c r="F60" s="11"/>
      <c r="G60" s="11"/>
      <c r="H60" s="11"/>
      <c r="I60" s="11" t="str">
        <f t="shared" ref="I60" si="19">$A$60</f>
        <v xml:space="preserve">  maximumBonusLore: 4</v>
      </c>
      <c r="J60" s="11"/>
      <c r="K60" s="11"/>
      <c r="L60" s="11"/>
      <c r="M60" s="11" t="str">
        <f t="shared" ref="M60" si="20">$A$60</f>
        <v xml:space="preserve">  maximumBonusLore: 4</v>
      </c>
      <c r="N60" s="11"/>
      <c r="O60" s="11"/>
      <c r="P60" s="11"/>
      <c r="Q60" s="11" t="str">
        <f t="shared" ref="Q60" si="21">$A$60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&amp;6"&amp;(MAIN!$F$2+(MAIN!$G$18+MAIN!$G$19)/2*MAIN!$B$9+(MAIN!$G$20+MAIN!$G$21)/2*MAIN!$B$8+(MAIN!$G$58*MAIN!$B$11)+($C$2*MAIN!$B$10))/10&amp;" &amp;aAlmakos'"</f>
        <v xml:space="preserve">  - '&amp;aVenta: &amp;6837.5 &amp;aAlmakos'</v>
      </c>
      <c r="B62" s="20"/>
      <c r="C62" s="20"/>
      <c r="D62" s="20"/>
      <c r="E62" s="20" t="str">
        <f>"  - '&amp;aVenta: &amp;6"&amp;(MAIN!$G$2+(MAIN!$G$18+MAIN!$G$19)/2*MAIN!$B$9+(MAIN!$G$20+MAIN!$G$21)/2*MAIN!$B$8+(MAIN!$G$58*MAIN!$B$11)+($C$2*MAIN!$B$10))/10&amp;" &amp;aAlmakos'"</f>
        <v xml:space="preserve">  - '&amp;aVenta: &amp;6937.5 &amp;aAlmakos'</v>
      </c>
      <c r="F62" s="20"/>
      <c r="G62" s="20"/>
      <c r="H62" s="20"/>
      <c r="I62" s="20" t="str">
        <f>"  - '&amp;aVenta: &amp;6"&amp;(MAIN!$H$2+(MAIN!$G$18+MAIN!$G$19)/2*MAIN!$B$9+(MAIN!$G$20+MAIN!$G$21)/2*MAIN!$B$8+(MAIN!$G$58*MAIN!$B$11)+($C$2*MAIN!$B$10))/10&amp;" &amp;aAlmakos'"</f>
        <v xml:space="preserve">  - '&amp;aVenta: &amp;61137.5 &amp;aAlmakos'</v>
      </c>
      <c r="J62" s="20"/>
      <c r="K62" s="20"/>
      <c r="L62" s="20"/>
      <c r="M62" s="20" t="str">
        <f>"  - '&amp;aVenta: &amp;6"&amp;(MAIN!$I$2+(MAIN!$G$18+MAIN!$G$19)/2*MAIN!$B$9+(MAIN!$G$20+MAIN!$G$21)/2*MAIN!$B$8+(MAIN!$G$58*MAIN!$B$11)+($C$2*MAIN!$B$10))/10&amp;" &amp;aAlmakos'"</f>
        <v xml:space="preserve">  - '&amp;aVenta: &amp;61537.5 &amp;aAlmakos'</v>
      </c>
      <c r="N62" s="20"/>
      <c r="O62" s="20"/>
      <c r="P62" s="20"/>
      <c r="Q62" s="20" t="str">
        <f>"  - '&amp;aVenta: &amp;6"&amp;(MAIN!$J$2+(MAIN!$G$18+MAIN!$G$19)/2*MAIN!$B$9+(MAIN!$G$20+MAIN!$G$21)/2*MAIN!$B$8+(MAIN!$G$58*MAIN!$B$11)+($C$2*MAIN!$B$10))/10&amp;" &amp;aAlmakos'"</f>
        <v xml:space="preserve">  - '&amp;aVenta: &amp;62337.5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&amp;a53'</v>
      </c>
      <c r="B66" s="10"/>
      <c r="C66" s="10"/>
      <c r="D66" s="10"/>
      <c r="E66" s="10" t="str">
        <f>"  - '&amp;7• &amp;8Nivel: &amp;a"&amp;MAIN!$D$60+($C$2*MAIN!$I$27)&amp;"'"</f>
        <v xml:space="preserve">  - '&amp;7• &amp;8Nivel: &amp;a71'</v>
      </c>
      <c r="F66" s="10"/>
      <c r="G66" s="10"/>
      <c r="H66" s="10"/>
      <c r="I66" s="10" t="str">
        <f>"  - '&amp;7• &amp;8Nivel: &amp;a"&amp;MAIN!$E$60+($C$2*MAIN!$I$27)&amp;"'"</f>
        <v xml:space="preserve">  - '&amp;7• &amp;8Nivel: &amp;a125'</v>
      </c>
      <c r="J66" s="10"/>
      <c r="K66" s="10"/>
      <c r="L66" s="10"/>
      <c r="M66" s="10" t="str">
        <f>"  - '&amp;7• &amp;8Nivel: &amp;a"&amp;MAIN!$F$60+($C$2*MAIN!$I$27)&amp;"'"</f>
        <v xml:space="preserve">  - '&amp;7• &amp;8Nivel: &amp;a285'</v>
      </c>
      <c r="N66" s="10"/>
      <c r="O66" s="10"/>
      <c r="P66" s="10"/>
      <c r="Q66" s="10" t="str">
        <f>"  - '&amp;7• &amp;8Nivel: &amp;a"&amp;MAIN!$G$60+($C$2*MAIN!$I$27)&amp;"'"</f>
        <v xml:space="preserve">  - '&amp;7• &amp;8Nivel: &amp;a525'</v>
      </c>
      <c r="R66" s="10"/>
      <c r="S66" s="10"/>
      <c r="T66" s="10"/>
    </row>
    <row r="67" spans="1:20" x14ac:dyDescent="0.25">
      <c r="A67" s="12" t="str">
        <f>"  - '&amp;7• &amp;8"&amp;MAIN!$C$12&amp;" lvl: &amp;a"&amp;ROUNDUP((MAIN!$C$60+($C$2*MAIN!$I$27))/3,0)&amp;"'"</f>
        <v xml:space="preserve">  - '&amp;7• &amp;8Esencia lvl: &amp;a18'</v>
      </c>
      <c r="B67" s="12"/>
      <c r="C67" s="12"/>
      <c r="D67" s="12"/>
      <c r="E67" s="12" t="str">
        <f>"  - '&amp;7• &amp;8"&amp;MAIN!$C$12&amp;" lvl: &amp;a"&amp;ROUNDUP((MAIN!$D$60+($C$2*MAIN!$I$27))/3,0)&amp;"'"</f>
        <v xml:space="preserve">  - '&amp;7• &amp;8Esencia lvl: &amp;a24'</v>
      </c>
      <c r="F67" s="12"/>
      <c r="G67" s="12"/>
      <c r="H67" s="12"/>
      <c r="I67" s="12" t="str">
        <f>"  - '&amp;7• &amp;8"&amp;MAIN!$C$12&amp;" lvl: &amp;a"&amp;ROUNDUP((MAIN!$E$60+($C$2*MAIN!$I$27))/3,0)&amp;"'"</f>
        <v xml:space="preserve">  - '&amp;7• &amp;8Esencia lvl: &amp;a42'</v>
      </c>
      <c r="J67" s="12"/>
      <c r="K67" s="12"/>
      <c r="L67" s="12"/>
      <c r="M67" s="12" t="str">
        <f>"  - '&amp;7• &amp;8"&amp;MAIN!$C$12&amp;" lvl: &amp;a"&amp;ROUNDUP((MAIN!$F$60+($C$2*MAIN!$I$27))/3,0)&amp;"'"</f>
        <v xml:space="preserve">  - '&amp;7• &amp;8Esencia lvl: &amp;a95'</v>
      </c>
      <c r="N67" s="12"/>
      <c r="O67" s="12"/>
      <c r="P67" s="12"/>
      <c r="Q67" s="12" t="str">
        <f>"  - '&amp;7• &amp;8"&amp;MAIN!$C$12&amp;" lvl: &amp;a"&amp;ROUNDUP((MAIN!$G$60+($C$2*MAIN!$I$27))/3,0)&amp;"'"</f>
        <v xml:space="preserve">  - '&amp;7• &amp;8Esencia lvl: &amp;a175'</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&amp;a45'</v>
      </c>
      <c r="B71" s="10"/>
      <c r="C71" s="10"/>
      <c r="D71" s="10"/>
      <c r="E71" s="10" t="str">
        <f>"  - '&amp;4• &amp;f"&amp;MAIN!$C$9&amp;": &amp;a"&amp;MAIN!$D$55*$C$2&amp;"'"</f>
        <v xml:space="preserve">  - '&amp;4• &amp;fFuerza: &amp;a72'</v>
      </c>
      <c r="F71" s="10"/>
      <c r="G71" s="10"/>
      <c r="H71" s="10"/>
      <c r="I71" s="10" t="str">
        <f>"  - '&amp;4• &amp;f"&amp;MAIN!$C$9&amp;": &amp;a"&amp;MAIN!$E$55*$C$2&amp;"'"</f>
        <v xml:space="preserve">  - '&amp;4• &amp;fFuerza: &amp;a117'</v>
      </c>
      <c r="J71" s="10"/>
      <c r="K71" s="10"/>
      <c r="L71" s="10"/>
      <c r="M71" s="10" t="str">
        <f>"  - '&amp;4• &amp;f"&amp;MAIN!$C$9&amp;": &amp;a"&amp;MAIN!$F$55*$C$2&amp;"'"</f>
        <v xml:space="preserve">  - '&amp;4• &amp;fFuerza: &amp;a198'</v>
      </c>
      <c r="N71" s="10"/>
      <c r="O71" s="10"/>
      <c r="P71" s="10"/>
      <c r="Q71" s="10" t="str">
        <f>"  - '&amp;4• &amp;f"&amp;MAIN!$C$9&amp;": &amp;a"&amp;MAIN!$G$55*$C$2&amp;"'"</f>
        <v xml:space="preserve">  - '&amp;4• &amp;fFuerza: &amp;a333'</v>
      </c>
      <c r="R71" s="10"/>
      <c r="S71" s="10"/>
      <c r="T71" s="10"/>
    </row>
    <row r="72" spans="1:20" x14ac:dyDescent="0.25">
      <c r="A72" s="10" t="str">
        <f>"  - '&amp;4• &amp;f"&amp;MAIN!$C$8&amp;": &amp;a"&amp;MAIN!$C$55*$C$2&amp;"'"</f>
        <v xml:space="preserve">  - '&amp;4• &amp;fVitalidad: &amp;a45'</v>
      </c>
      <c r="B72" s="10"/>
      <c r="C72" s="10"/>
      <c r="D72" s="10"/>
      <c r="E72" s="10" t="str">
        <f>"  - '&amp;4• &amp;f"&amp;MAIN!$C$8&amp;": &amp;a"&amp;MAIN!$D$55*$C$2&amp;"'"</f>
        <v xml:space="preserve">  - '&amp;4• &amp;fVitalidad: &amp;a72'</v>
      </c>
      <c r="F72" s="10"/>
      <c r="G72" s="10"/>
      <c r="H72" s="10"/>
      <c r="I72" s="10" t="str">
        <f>"  - '&amp;4• &amp;f"&amp;MAIN!$C$8&amp;": &amp;a"&amp;MAIN!$E$55*$C$2&amp;"'"</f>
        <v xml:space="preserve">  - '&amp;4• &amp;fVitalidad: &amp;a117'</v>
      </c>
      <c r="J72" s="10"/>
      <c r="K72" s="10"/>
      <c r="L72" s="10"/>
      <c r="M72" s="10" t="str">
        <f>"  - '&amp;4• &amp;f"&amp;MAIN!$C$8&amp;": &amp;a"&amp;MAIN!$F$55*$C$2&amp;"'"</f>
        <v xml:space="preserve">  - '&amp;4• &amp;fVitalidad: &amp;a198'</v>
      </c>
      <c r="N72" s="10"/>
      <c r="O72" s="10"/>
      <c r="P72" s="10"/>
      <c r="Q72" s="10" t="str">
        <f>"  - '&amp;4• &amp;f"&amp;MAIN!$C$8&amp;": &amp;a"&amp;MAIN!$G$55*$C$2&amp;"'"</f>
        <v xml:space="preserve">  - '&amp;4• &amp;fVitalidad: &amp;a333'</v>
      </c>
      <c r="R72" s="10"/>
      <c r="S72" s="10"/>
      <c r="T72" s="10"/>
    </row>
    <row r="73" spans="1:20" x14ac:dyDescent="0.25">
      <c r="A73" s="10" t="str">
        <f>"  - '&amp;4• &amp;f"&amp;MAIN!$C$11&amp;": &amp;a"&amp;MAIN!$C$54*$C$2&amp;"'"</f>
        <v xml:space="preserve">  - '&amp;4• &amp;fInteligencia: &amp;a45'</v>
      </c>
      <c r="B73" s="10"/>
      <c r="C73" s="10"/>
      <c r="D73" s="10"/>
      <c r="E73" s="10" t="str">
        <f>"  - '&amp;4• &amp;f"&amp;MAIN!$C$11&amp;": &amp;a"&amp;MAIN!$D$54*$C$2&amp;"'"</f>
        <v xml:space="preserve">  - '&amp;4• &amp;fInteligencia: &amp;a72'</v>
      </c>
      <c r="F73" s="10"/>
      <c r="G73" s="10"/>
      <c r="H73" s="10"/>
      <c r="I73" s="10" t="str">
        <f>"  - '&amp;4• &amp;f"&amp;MAIN!$C$11&amp;": &amp;a"&amp;MAIN!$E$54*$C$2&amp;"'"</f>
        <v xml:space="preserve">  - '&amp;4• &amp;fInteligencia: &amp;a117'</v>
      </c>
      <c r="J73" s="10"/>
      <c r="K73" s="10"/>
      <c r="L73" s="10"/>
      <c r="M73" s="10" t="str">
        <f>"  - '&amp;4• &amp;f"&amp;MAIN!$C$11&amp;": &amp;a"&amp;MAIN!$F$54*$C$2&amp;"'"</f>
        <v xml:space="preserve">  - '&amp;4• &amp;fInteligencia: &amp;a198'</v>
      </c>
      <c r="N73" s="10"/>
      <c r="O73" s="10"/>
      <c r="P73" s="10"/>
      <c r="Q73" s="10" t="str">
        <f>"  - '&amp;4• &amp;f"&amp;MAIN!$C$11&amp;": &amp;a"&amp;MAIN!$G$54*$C$2&amp;"'"</f>
        <v xml:space="preserve">  - '&amp;4• &amp;fInteligencia: &amp;a333'</v>
      </c>
      <c r="R73" s="10"/>
      <c r="S73" s="10"/>
      <c r="T73" s="10"/>
    </row>
    <row r="74" spans="1:20" x14ac:dyDescent="0.25">
      <c r="A74" s="10" t="str">
        <f>"  - '&amp;4• &amp;f"&amp;MAIN!$C$10&amp;": &amp;a"&amp;MAIN!$C$56*$C$2&amp;"'"</f>
        <v xml:space="preserve">  - '&amp;4• &amp;fAgilidad: &amp;a45'</v>
      </c>
      <c r="B74" s="10"/>
      <c r="C74" s="10"/>
      <c r="D74" s="10"/>
      <c r="E74" s="10" t="str">
        <f>"  - '&amp;4• &amp;f"&amp;MAIN!$C$10&amp;": &amp;a"&amp;MAIN!$D$56*$C$2&amp;"'"</f>
        <v xml:space="preserve">  - '&amp;4• &amp;fAgilidad: &amp;a72'</v>
      </c>
      <c r="F74" s="10"/>
      <c r="G74" s="10"/>
      <c r="H74" s="10"/>
      <c r="I74" s="10" t="str">
        <f>"  - '&amp;4• &amp;f"&amp;MAIN!$C$10&amp;": &amp;a"&amp;MAIN!$E$56*$C$2&amp;"'"</f>
        <v xml:space="preserve">  - '&amp;4• &amp;fAgilidad: &amp;a117'</v>
      </c>
      <c r="J74" s="10"/>
      <c r="K74" s="10"/>
      <c r="L74" s="10"/>
      <c r="M74" s="10" t="str">
        <f>"  - '&amp;4• &amp;f"&amp;MAIN!$C$10&amp;": &amp;a"&amp;MAIN!$F$56*$C$2&amp;"'"</f>
        <v xml:space="preserve">  - '&amp;4• &amp;fAgilidad: &amp;a198'</v>
      </c>
      <c r="N74" s="10"/>
      <c r="O74" s="10"/>
      <c r="P74" s="10"/>
      <c r="Q74" s="10" t="str">
        <f>"  - '&amp;4• &amp;f"&amp;MAIN!$C$10&amp;": &amp;a"&amp;MAIN!$G$56*$C$2&amp;"'"</f>
        <v xml:space="preserve">  - '&amp;4• &amp;fAgilidad: &amp;a333'</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x14ac:dyDescent="0.25">
      <c r="A78" s="11" t="str">
        <f>'armas ancestral'!$A$78</f>
        <v>maximumSockets: 4</v>
      </c>
      <c r="B78" s="11"/>
      <c r="C78" s="11"/>
      <c r="D78" s="11"/>
      <c r="E78" s="11" t="str">
        <f t="shared" ref="E78" si="26">$A$78</f>
        <v>maximumSockets: 4</v>
      </c>
      <c r="F78" s="11"/>
      <c r="G78" s="11"/>
      <c r="H78" s="11"/>
      <c r="I78" s="11" t="str">
        <f t="shared" ref="I78" si="27">$A$78</f>
        <v>maximumSockets: 4</v>
      </c>
      <c r="J78" s="11"/>
      <c r="K78" s="11"/>
      <c r="L78" s="11"/>
      <c r="M78" s="11" t="str">
        <f t="shared" ref="M78" si="28">$A$78</f>
        <v>maximumSockets: 4</v>
      </c>
      <c r="N78" s="11"/>
      <c r="O78" s="11"/>
      <c r="P78" s="11"/>
      <c r="Q78" s="11" t="str">
        <f t="shared" ref="Q78" si="29">$A$78</f>
        <v>maximumSockets: 4</v>
      </c>
      <c r="R78" s="11"/>
      <c r="S78" s="11"/>
      <c r="T78" s="11"/>
    </row>
    <row r="79" spans="1:20" s="293"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 t="shared" ref="E84" si="30">$A$84</f>
        <v>optimalDistance: 3000</v>
      </c>
      <c r="F84" s="11"/>
      <c r="G84" s="11"/>
      <c r="H84" s="11"/>
      <c r="I84" s="11" t="str">
        <f t="shared" ref="I84" si="31">$A$84</f>
        <v>optimalDistance: 3000</v>
      </c>
      <c r="J84" s="11"/>
      <c r="K84" s="11"/>
      <c r="L84" s="11"/>
      <c r="M84" s="11" t="str">
        <f t="shared" ref="M84" si="32">$A$84</f>
        <v>optimalDistance: 3000</v>
      </c>
      <c r="N84" s="11"/>
      <c r="O84" s="11"/>
      <c r="P84" s="11"/>
      <c r="Q84" s="11" t="str">
        <f t="shared" ref="Q84" si="33">$A$84</f>
        <v>optimalDistance: 3000</v>
      </c>
      <c r="R84" s="11"/>
      <c r="S84" s="11"/>
      <c r="T84" s="11"/>
    </row>
    <row r="85" spans="1:20" x14ac:dyDescent="0.25">
      <c r="A85" s="11" t="str">
        <f>'armas ancestral'!$A$85</f>
        <v>maximumDistance: 1800</v>
      </c>
      <c r="B85" s="11"/>
      <c r="C85" s="11"/>
      <c r="D85" s="11"/>
      <c r="E85" s="11" t="str">
        <f t="shared" ref="E85" si="34">$A$85</f>
        <v>maximumDistance: 1800</v>
      </c>
      <c r="F85" s="11"/>
      <c r="G85" s="11"/>
      <c r="H85" s="11"/>
      <c r="I85" s="11" t="str">
        <f t="shared" ref="I85" si="35">$A$85</f>
        <v>maximumDistance: 1800</v>
      </c>
      <c r="J85" s="11"/>
      <c r="K85" s="11"/>
      <c r="L85" s="11"/>
      <c r="M85" s="11" t="str">
        <f t="shared" ref="M85" si="36">$A$85</f>
        <v>maximumDistance: 1800</v>
      </c>
      <c r="N85" s="11"/>
      <c r="O85" s="11"/>
      <c r="P85" s="11"/>
      <c r="Q85" s="11" t="str">
        <f t="shared" ref="Q85" si="37">$A$85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Z189"/>
  <sheetViews>
    <sheetView topLeftCell="A65"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1" t="s">
        <v>19</v>
      </c>
      <c r="B1" s="351"/>
      <c r="C1" s="351" t="s">
        <v>70</v>
      </c>
      <c r="D1" s="351"/>
      <c r="E1" s="351" t="s">
        <v>80</v>
      </c>
      <c r="F1" s="351"/>
      <c r="G1" s="351" t="s">
        <v>89</v>
      </c>
      <c r="H1" s="351"/>
      <c r="I1" s="351" t="s">
        <v>1197</v>
      </c>
      <c r="J1" s="351"/>
      <c r="K1" s="351" t="s">
        <v>1199</v>
      </c>
      <c r="L1" s="351"/>
    </row>
    <row r="2" spans="1:26" x14ac:dyDescent="0.25">
      <c r="A2" s="301" t="s">
        <v>105</v>
      </c>
      <c r="B2" s="301"/>
      <c r="C2" s="301">
        <f>'ECONOMIA &amp; PROFESIONES'!$R$3</f>
        <v>9</v>
      </c>
      <c r="D2" s="301"/>
      <c r="E2" s="301" t="s">
        <v>107</v>
      </c>
      <c r="F2" s="301"/>
      <c r="G2" s="301" t="s">
        <v>106</v>
      </c>
      <c r="H2" s="301"/>
      <c r="I2" s="301" t="str">
        <f>MAIN!$J$53</f>
        <v>Armor</v>
      </c>
      <c r="J2" s="301"/>
      <c r="K2" s="301">
        <f>MAIN!$L$53</f>
        <v>1</v>
      </c>
      <c r="L2" s="301"/>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"+"&amp;ROUND(MAIN!$C$66*$C$2*$K$2/5*$U$4,0)&amp;" "&amp;$I$2</f>
        <v>+14 Armor</v>
      </c>
      <c r="W4" s="2" t="str">
        <f>"+"&amp;ROUND(MAIN!$D$66*$C$2*$K$2/5*$U$4,0)&amp;" "&amp;$I$2</f>
        <v>+23 Armor</v>
      </c>
      <c r="X4" s="2" t="str">
        <f>"+"&amp;ROUND(MAIN!$E$66*$C$2*$K$2/5*$U$4,0)&amp;" "&amp;$I$2</f>
        <v>+40 Armor</v>
      </c>
      <c r="Y4" s="2" t="str">
        <f>"+"&amp;ROUND(MAIN!$F$66*$C$2*$K$2/5*$U$4,0)&amp;" "&amp;$I$2</f>
        <v>+67 Armor</v>
      </c>
      <c r="Z4" s="2" t="str">
        <f>"+"&amp;ROUND(MAIN!$G$66*$C$2*$K$2/5*$U$4,0)&amp;" "&amp;$I$2</f>
        <v>+112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"+"&amp;ROUND(MAIN!$C$66*$C$2*$K$2/5*$U$5,0)&amp;" "&amp;$I$2</f>
        <v>+29 Armor</v>
      </c>
      <c r="W5" s="2" t="str">
        <f>"+"&amp;ROUND(MAIN!$D$66*$C$2*$K$2/5*$U$5,0)&amp;" "&amp;$I$2</f>
        <v>+47 Armor</v>
      </c>
      <c r="X5" s="2" t="str">
        <f>"+"&amp;ROUND(MAIN!$E$66*$C$2*$K$2/5*$U$5,0)&amp;" "&amp;$I$2</f>
        <v>+79 Armor</v>
      </c>
      <c r="Y5" s="2" t="str">
        <f>"+"&amp;ROUND(MAIN!$F$66*$C$2*$K$2/5*$U$5,0)&amp;" "&amp;$I$2</f>
        <v>+133 Armor</v>
      </c>
      <c r="Z5" s="2" t="str">
        <f>"+"&amp;ROUND(MAIN!$G$66*$C$2*$K$2/5*$U$5,0)&amp;" "&amp;$I$2</f>
        <v>+223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+43 Armor</v>
      </c>
      <c r="W6" s="2" t="str">
        <f>"+"&amp;ROUND(MAIN!$D$66*$C$2*$K$2/5*$U$6,0)&amp;" "&amp;$I$2</f>
        <v>+70 Armor</v>
      </c>
      <c r="X6" s="2" t="str">
        <f>"+"&amp;ROUND(MAIN!$E$66*$C$2*$K$2/5*$U$6,0)&amp;" "&amp;$I$2</f>
        <v>+119 Armor</v>
      </c>
      <c r="Y6" s="2" t="str">
        <f>"+"&amp;ROUND(MAIN!$F$66*$C$2*$K$2/5*$U$6,0)&amp;" "&amp;$I$2</f>
        <v>+200 Armor</v>
      </c>
      <c r="Z6" s="2" t="str">
        <f>"+"&amp;ROUND(MAIN!$G$66*$C$2*$K$2/5*$U$6,0)&amp;" "&amp;$I$2</f>
        <v>+335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+58 Armor</v>
      </c>
      <c r="W7" s="2" t="str">
        <f>"+"&amp;ROUND(MAIN!$D$66*$C$2*$K$2/5*$U$7,0)&amp;" "&amp;$I$2</f>
        <v>+94 Armor</v>
      </c>
      <c r="X7" s="2" t="str">
        <f>"+"&amp;ROUND(MAIN!$E$66*$C$2*$K$2/5*$U$7,0)&amp;" "&amp;$I$2</f>
        <v>+158 Armor</v>
      </c>
      <c r="Y7" s="2" t="str">
        <f>"+"&amp;ROUND(MAIN!$F$66*$C$2*$K$2/5*$U$7,0)&amp;" "&amp;$I$2</f>
        <v>+266 Armor</v>
      </c>
      <c r="Z7" s="2" t="str">
        <f>"+"&amp;ROUND(MAIN!$G$66*$C$2*$K$2/5*$U$7,0)&amp;" "&amp;$I$2</f>
        <v>+446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+72 Armor</v>
      </c>
      <c r="W8" s="2" t="str">
        <f>"+"&amp;ROUND(MAIN!$D$66*$C$2*$K$2/5*$U$8,0)&amp;" "&amp;$I$2</f>
        <v>+117 Armor</v>
      </c>
      <c r="X8" s="2" t="str">
        <f>"+"&amp;ROUND(MAIN!$E$66*$C$2*$K$2/5*$U$8,0)&amp;" "&amp;$I$2</f>
        <v>+198 Armor</v>
      </c>
      <c r="Y8" s="2" t="str">
        <f>"+"&amp;ROUND(MAIN!$F$66*$C$2*$K$2/5*$U$8,0)&amp;" "&amp;$I$2</f>
        <v>+333 Armor</v>
      </c>
      <c r="Z8" s="2" t="str">
        <f>"+"&amp;ROUND(MAIN!$G$66*$C$2*$K$2/5*$U$8,0)&amp;" "&amp;$I$2</f>
        <v>+558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s="21" customFormat="1"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&amp;6"&amp;(MAIN!$F$3+(MAIN!$G$18+MAIN!$G$19)/2*MAIN!$B$9+(MAIN!$G$20+MAIN!$G$21)/2*MAIN!$B$8+(MAIN!$G$69*MAIN!$B$11)+($C$2*MAIN!$B$10))/10&amp;" &amp;aAlmakos'"</f>
        <v xml:space="preserve">  - '&amp;aVenta: &amp;6950 &amp;aAlmakos'</v>
      </c>
      <c r="B62" s="20"/>
      <c r="C62" s="20"/>
      <c r="D62" s="20"/>
      <c r="E62" s="20" t="str">
        <f>"  - '&amp;aVenta: &amp;6"&amp;(MAIN!$G$3+(MAIN!$G$18+MAIN!$G$19)/2*MAIN!$B$9+(MAIN!$G$20+MAIN!$G$21)/2*MAIN!$B$8+(MAIN!$G$69*MAIN!$B$11)+($C$2*MAIN!$B$10))/10&amp;" &amp;aAlmakos'"</f>
        <v xml:space="preserve">  - '&amp;aVenta: &amp;61110 &amp;aAlmakos'</v>
      </c>
      <c r="F62" s="20"/>
      <c r="G62" s="20"/>
      <c r="H62" s="20"/>
      <c r="I62" s="20" t="str">
        <f>"  - '&amp;aVenta: &amp;6"&amp;(MAIN!$H$3+(MAIN!$G$18+MAIN!$G$19)/2*MAIN!$B$9+(MAIN!$G$20+MAIN!$G$21)/2*MAIN!$B$8+(MAIN!$G$69*MAIN!$B$11)+($C$2*MAIN!$B$10))/10&amp;" &amp;aAlmakos'"</f>
        <v xml:space="preserve">  - '&amp;aVenta: &amp;61430 &amp;aAlmakos'</v>
      </c>
      <c r="J62" s="20"/>
      <c r="K62" s="20"/>
      <c r="L62" s="20"/>
      <c r="M62" s="20" t="str">
        <f>"  - '&amp;aVenta: &amp;6"&amp;(MAIN!$I$3+(MAIN!$G$18+MAIN!$G$19)/2*MAIN!$B$9+(MAIN!$G$20+MAIN!$G$21)/2*MAIN!$B$8+(MAIN!$G$69*MAIN!$B$11)+($C$2*MAIN!$B$10))/10&amp;" &amp;aAlmakos'"</f>
        <v xml:space="preserve">  - '&amp;aVenta: &amp;62070 &amp;aAlmakos'</v>
      </c>
      <c r="N62" s="20"/>
      <c r="O62" s="20"/>
      <c r="P62" s="20"/>
      <c r="Q62" s="20" t="str">
        <f>"  - '&amp;aVenta: &amp;6"&amp;(MAIN!$J$3+(MAIN!$G$18+MAIN!$G$19)/2*MAIN!$B$9+(MAIN!$G$20+MAIN!$G$21)/2*MAIN!$B$8+(MAIN!$G$69*MAIN!$B$11)+($C$2*MAIN!$B$10))/10&amp;" &amp;aAlmakos'"</f>
        <v xml:space="preserve">  - '&amp;aVenta: &amp;63350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&amp;a59'</v>
      </c>
      <c r="B66" s="10"/>
      <c r="C66" s="10"/>
      <c r="D66" s="10"/>
      <c r="E66" s="10" t="str">
        <f>"  - '&amp;7• &amp;8Nivel: &amp;a"&amp;MAIN!$D$71+($C$2*MAIN!$I$27)&amp;"'"</f>
        <v xml:space="preserve">  - '&amp;7• &amp;8Nivel: &amp;a87'</v>
      </c>
      <c r="F66" s="10"/>
      <c r="G66" s="10"/>
      <c r="H66" s="10"/>
      <c r="I66" s="10" t="str">
        <f>"  - '&amp;7• &amp;8Nivel: &amp;a"&amp;MAIN!$E$71+($C$2*MAIN!$I$27)&amp;"'"</f>
        <v xml:space="preserve">  - '&amp;7• &amp;8Nivel: &amp;a173'</v>
      </c>
      <c r="J66" s="10"/>
      <c r="K66" s="10"/>
      <c r="L66" s="10"/>
      <c r="M66" s="10" t="str">
        <f>"  - '&amp;7• &amp;8Nivel: &amp;a"&amp;MAIN!$F$71+($C$2*MAIN!$I$27)&amp;"'"</f>
        <v xml:space="preserve">  - '&amp;7• &amp;8Nivel: &amp;a429'</v>
      </c>
      <c r="N66" s="10"/>
      <c r="O66" s="10"/>
      <c r="P66" s="10"/>
      <c r="Q66" s="10" t="str">
        <f>"  - '&amp;7• &amp;8Nivel: &amp;a"&amp;MAIN!$G$71+($C$2*MAIN!$I$27)&amp;"'"</f>
        <v xml:space="preserve">  - '&amp;7• &amp;8Nivel: &amp;a813'</v>
      </c>
      <c r="R66" s="10"/>
      <c r="S66" s="10"/>
      <c r="T66" s="10"/>
    </row>
    <row r="67" spans="1:20" x14ac:dyDescent="0.25">
      <c r="A67" s="12" t="str">
        <f>"  - '&amp;7• &amp;8"&amp;MAIN!$C$12&amp;" lvl: &amp;a"&amp;ROUNDUP((MAIN!$C$71+($C$2*MAIN!$I$27))/3,0)&amp;"'"</f>
        <v xml:space="preserve">  - '&amp;7• &amp;8Esencia lvl: &amp;a20'</v>
      </c>
      <c r="B67" s="12"/>
      <c r="C67" s="12"/>
      <c r="D67" s="12"/>
      <c r="E67" s="12" t="str">
        <f>"  - '&amp;7• &amp;8"&amp;MAIN!$C$12&amp;" lvl: &amp;a"&amp;ROUNDUP((MAIN!$D$71+($C$2*MAIN!$I$27))/3,0)&amp;"'"</f>
        <v xml:space="preserve">  - '&amp;7• &amp;8Esencia lvl: &amp;a29'</v>
      </c>
      <c r="F67" s="12"/>
      <c r="G67" s="12"/>
      <c r="H67" s="12"/>
      <c r="I67" s="12" t="str">
        <f>"  - '&amp;7• &amp;8"&amp;MAIN!$C$12&amp;" lvl: &amp;a"&amp;ROUNDUP((MAIN!$E$71+($C$2*MAIN!$I$27))/3,0)&amp;"'"</f>
        <v xml:space="preserve">  - '&amp;7• &amp;8Esencia lvl: &amp;a58'</v>
      </c>
      <c r="J67" s="12"/>
      <c r="K67" s="12"/>
      <c r="L67" s="12"/>
      <c r="M67" s="12" t="str">
        <f>"  - '&amp;7• &amp;8"&amp;MAIN!$C$12&amp;" lvl: &amp;a"&amp;ROUNDUP((MAIN!$F$71+($C$2*MAIN!$I$27))/3,0)&amp;"'"</f>
        <v xml:space="preserve">  - '&amp;7• &amp;8Esencia lvl: &amp;a143'</v>
      </c>
      <c r="N67" s="12"/>
      <c r="O67" s="12"/>
      <c r="P67" s="12"/>
      <c r="Q67" s="12" t="str">
        <f>"  - '&amp;7• &amp;8"&amp;MAIN!$C$12&amp;" lvl: &amp;a"&amp;ROUNDUP((MAIN!$G$71+($C$2*MAIN!$I$27))/3,0)&amp;"'"</f>
        <v xml:space="preserve">  - '&amp;7• &amp;8Esencia lvl: &amp;a271'</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&amp;a72'</v>
      </c>
      <c r="B71" s="10"/>
      <c r="C71" s="10"/>
      <c r="D71" s="10"/>
      <c r="E71" s="10" t="str">
        <f>"  - '&amp;4• &amp;f"&amp;MAIN!$C$9&amp;": &amp;a"&amp;MAIN!$D$66*$C$2&amp;"'"</f>
        <v xml:space="preserve">  - '&amp;4• &amp;fFuerza: &amp;a117'</v>
      </c>
      <c r="F71" s="10"/>
      <c r="G71" s="10"/>
      <c r="H71" s="10"/>
      <c r="I71" s="10" t="str">
        <f>"  - '&amp;4• &amp;f"&amp;MAIN!$C$9&amp;": &amp;a"&amp;MAIN!$E$66*$C$2&amp;"'"</f>
        <v xml:space="preserve">  - '&amp;4• &amp;fFuerza: &amp;a198'</v>
      </c>
      <c r="J71" s="10"/>
      <c r="K71" s="10"/>
      <c r="L71" s="10"/>
      <c r="M71" s="10" t="str">
        <f>"  - '&amp;4• &amp;f"&amp;MAIN!$C$9&amp;": &amp;a"&amp;MAIN!$F$66*$C$2&amp;"'"</f>
        <v xml:space="preserve">  - '&amp;4• &amp;fFuerza: &amp;a333'</v>
      </c>
      <c r="N71" s="10"/>
      <c r="O71" s="10"/>
      <c r="P71" s="10"/>
      <c r="Q71" s="10" t="str">
        <f>"  - '&amp;4• &amp;f"&amp;MAIN!$C$9&amp;": &amp;a"&amp;MAIN!$G$66*$C$2&amp;"'"</f>
        <v xml:space="preserve">  - '&amp;4• &amp;fFuerza: &amp;a558'</v>
      </c>
      <c r="R71" s="10"/>
      <c r="S71" s="10"/>
      <c r="T71" s="10"/>
    </row>
    <row r="72" spans="1:20" x14ac:dyDescent="0.25">
      <c r="A72" s="10" t="str">
        <f>"  - '&amp;4• &amp;f"&amp;MAIN!$C$8&amp;": &amp;a"&amp;MAIN!$C$66*$C$2&amp;"'"</f>
        <v xml:space="preserve">  - '&amp;4• &amp;fVitalidad: &amp;a72'</v>
      </c>
      <c r="B72" s="10"/>
      <c r="C72" s="10"/>
      <c r="D72" s="10"/>
      <c r="E72" s="10" t="str">
        <f>"  - '&amp;4• &amp;f"&amp;MAIN!$C$8&amp;": &amp;a"&amp;MAIN!$D$66*$C$2&amp;"'"</f>
        <v xml:space="preserve">  - '&amp;4• &amp;fVitalidad: &amp;a117'</v>
      </c>
      <c r="F72" s="10"/>
      <c r="G72" s="10"/>
      <c r="H72" s="10"/>
      <c r="I72" s="10" t="str">
        <f>"  - '&amp;4• &amp;f"&amp;MAIN!$C$8&amp;": &amp;a"&amp;MAIN!$E$66*$C$2&amp;"'"</f>
        <v xml:space="preserve">  - '&amp;4• &amp;fVitalidad: &amp;a198'</v>
      </c>
      <c r="J72" s="10"/>
      <c r="K72" s="10"/>
      <c r="L72" s="10"/>
      <c r="M72" s="10" t="str">
        <f>"  - '&amp;4• &amp;f"&amp;MAIN!$C$8&amp;": &amp;a"&amp;MAIN!$F$66*$C$2&amp;"'"</f>
        <v xml:space="preserve">  - '&amp;4• &amp;fVitalidad: &amp;a333'</v>
      </c>
      <c r="N72" s="10"/>
      <c r="O72" s="10"/>
      <c r="P72" s="10"/>
      <c r="Q72" s="10" t="str">
        <f>"  - '&amp;4• &amp;f"&amp;MAIN!$C$8&amp;": &amp;a"&amp;MAIN!$G$66*$C$2&amp;"'"</f>
        <v xml:space="preserve">  - '&amp;4• &amp;fVitalidad: &amp;a558'</v>
      </c>
      <c r="R72" s="10"/>
      <c r="S72" s="10"/>
      <c r="T72" s="10"/>
    </row>
    <row r="73" spans="1:20" x14ac:dyDescent="0.25">
      <c r="A73" s="10" t="str">
        <f>"  - '&amp;4• &amp;f"&amp;MAIN!$C$11&amp;": &amp;a"&amp;MAIN!$C$68*$C$2&amp;"'"</f>
        <v xml:space="preserve">  - '&amp;4• &amp;fInteligencia: &amp;a72'</v>
      </c>
      <c r="B73" s="10"/>
      <c r="C73" s="10"/>
      <c r="D73" s="10"/>
      <c r="E73" s="10" t="str">
        <f>"  - '&amp;4• &amp;f"&amp;MAIN!$C$11&amp;": &amp;a"&amp;MAIN!$D$68*$C$2&amp;"'"</f>
        <v xml:space="preserve">  - '&amp;4• &amp;fInteligencia: &amp;a117'</v>
      </c>
      <c r="F73" s="10"/>
      <c r="G73" s="10"/>
      <c r="H73" s="10"/>
      <c r="I73" s="10" t="str">
        <f>"  - '&amp;4• &amp;f"&amp;MAIN!$C$11&amp;": &amp;a"&amp;MAIN!$E$67*$C$2&amp;"'"</f>
        <v xml:space="preserve">  - '&amp;4• &amp;fInteligencia: &amp;a198'</v>
      </c>
      <c r="J73" s="10"/>
      <c r="K73" s="10"/>
      <c r="L73" s="10"/>
      <c r="M73" s="10" t="str">
        <f>"  - '&amp;4• &amp;f"&amp;MAIN!$C$11&amp;": &amp;a"&amp;MAIN!$F$68*$C$2&amp;"'"</f>
        <v xml:space="preserve">  - '&amp;4• &amp;fInteligencia: &amp;a333'</v>
      </c>
      <c r="N73" s="10"/>
      <c r="O73" s="10"/>
      <c r="P73" s="10"/>
      <c r="Q73" s="10" t="str">
        <f>"  - '&amp;4• &amp;f"&amp;MAIN!$C$11&amp;": &amp;a"&amp;MAIN!$G$68*$C$2&amp;"'"</f>
        <v xml:space="preserve">  - '&amp;4• &amp;fInteligencia: &amp;a558'</v>
      </c>
      <c r="R73" s="10"/>
      <c r="S73" s="10"/>
      <c r="T73" s="10"/>
    </row>
    <row r="74" spans="1:20" x14ac:dyDescent="0.25">
      <c r="A74" s="10" t="str">
        <f>"  - '&amp;4• &amp;f"&amp;MAIN!$C$10&amp;": &amp;a"&amp;MAIN!$C$67*$C$2&amp;"'"</f>
        <v xml:space="preserve">  - '&amp;4• &amp;fAgilidad: &amp;a72'</v>
      </c>
      <c r="B74" s="10"/>
      <c r="C74" s="10"/>
      <c r="D74" s="10"/>
      <c r="E74" s="10" t="str">
        <f>"  - '&amp;4• &amp;f"&amp;MAIN!$C$10&amp;": &amp;a"&amp;MAIN!$D$67*$C$2&amp;"'"</f>
        <v xml:space="preserve">  - '&amp;4• &amp;fAgilidad: &amp;a117'</v>
      </c>
      <c r="F74" s="10"/>
      <c r="G74" s="10"/>
      <c r="H74" s="10"/>
      <c r="I74" s="10" t="str">
        <f>"  - '&amp;4• &amp;f"&amp;MAIN!$C$10&amp;": &amp;a"&amp;MAIN!$E$67*$C$2&amp;"'"</f>
        <v xml:space="preserve">  - '&amp;4• &amp;fAgilidad: &amp;a198'</v>
      </c>
      <c r="J74" s="10"/>
      <c r="K74" s="10"/>
      <c r="L74" s="10"/>
      <c r="M74" s="10" t="str">
        <f>"  - '&amp;4• &amp;f"&amp;MAIN!$C$10&amp;": &amp;a"&amp;MAIN!$F$67*$C$2&amp;"'"</f>
        <v xml:space="preserve">  - '&amp;4• &amp;fAgilidad: &amp;a333'</v>
      </c>
      <c r="N74" s="10"/>
      <c r="O74" s="10"/>
      <c r="P74" s="10"/>
      <c r="Q74" s="10" t="str">
        <f>"  - '&amp;4• &amp;f"&amp;MAIN!$C$10&amp;": &amp;a"&amp;MAIN!$G$67*$C$2&amp;"'"</f>
        <v xml:space="preserve">  - '&amp;4• &amp;fAgilidad: &amp;a558'</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3"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51" t="s">
        <v>19</v>
      </c>
      <c r="B1" s="351"/>
      <c r="C1" s="351" t="s">
        <v>70</v>
      </c>
      <c r="D1" s="351"/>
      <c r="E1" s="351" t="s">
        <v>80</v>
      </c>
      <c r="F1" s="351"/>
      <c r="G1" s="351" t="s">
        <v>89</v>
      </c>
      <c r="H1" s="351"/>
      <c r="I1" s="351" t="s">
        <v>1197</v>
      </c>
      <c r="J1" s="351"/>
      <c r="K1" s="351" t="s">
        <v>1199</v>
      </c>
      <c r="L1" s="351"/>
    </row>
    <row r="2" spans="1:26" x14ac:dyDescent="0.25">
      <c r="A2" s="301" t="s">
        <v>105</v>
      </c>
      <c r="B2" s="301"/>
      <c r="C2" s="301">
        <f>'ECONOMIA &amp; PROFESIONES'!$R$3</f>
        <v>9</v>
      </c>
      <c r="D2" s="301"/>
      <c r="E2" s="301" t="s">
        <v>107</v>
      </c>
      <c r="F2" s="301"/>
      <c r="G2" s="301" t="s">
        <v>106</v>
      </c>
      <c r="H2" s="301"/>
      <c r="I2" s="301" t="str">
        <f>MAIN!$J$53</f>
        <v>Armor</v>
      </c>
      <c r="J2" s="301"/>
      <c r="K2" s="301">
        <f>MAIN!$L$53</f>
        <v>1</v>
      </c>
      <c r="L2" s="301"/>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"+"&amp;ROUND(MAIN!$C$77*$C$2*$K$2/5*$U$4,0)&amp;" "&amp;$I$2</f>
        <v>+13 Armor</v>
      </c>
      <c r="W4" s="2" t="str">
        <f>"+"&amp;ROUND(MAIN!$D$77*$C$2*$K$2/5*$U$4,0)&amp;" "&amp;$I$2</f>
        <v>+20 Armor</v>
      </c>
      <c r="X4" s="2" t="str">
        <f>"+"&amp;ROUND(MAIN!$E$77*$C$2*$K$2/5*$U$4,0)&amp;" "&amp;$I$2</f>
        <v>+32 Armor</v>
      </c>
      <c r="Y4" s="2" t="str">
        <f>"+"&amp;ROUND(MAIN!$F$77*$C$2*$K$2/5*$U$4,0)&amp;" "&amp;$I$2</f>
        <v>+54 Armor</v>
      </c>
      <c r="Z4" s="2" t="str">
        <f>"+"&amp;ROUND(MAIN!$G$77*$C$2*$K$2/5*$U$4,0)&amp;" "&amp;$I$2</f>
        <v>+92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"+"&amp;ROUND(MAIN!$C$77*$C$2*$K$2/5*$U$5,0)&amp;" "&amp;$I$2</f>
        <v>+25 Armor</v>
      </c>
      <c r="W5" s="2" t="str">
        <f>"+"&amp;ROUND(MAIN!$D$77*$C$2*$K$2/5*$U$5,0)&amp;" "&amp;$I$2</f>
        <v>+40 Armor</v>
      </c>
      <c r="X5" s="2" t="str">
        <f>"+"&amp;ROUND(MAIN!$E$77*$C$2*$K$2/5*$U$5,0)&amp;" "&amp;$I$2</f>
        <v>+65 Armor</v>
      </c>
      <c r="Y5" s="2" t="str">
        <f>"+"&amp;ROUND(MAIN!$F$77*$C$2*$K$2/5*$U$5,0)&amp;" "&amp;$I$2</f>
        <v>+108 Armor</v>
      </c>
      <c r="Z5" s="2" t="str">
        <f>"+"&amp;ROUND(MAIN!$G$77*$C$2*$K$2/5*$U$5,0)&amp;" "&amp;$I$2</f>
        <v>+184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+38 Armor</v>
      </c>
      <c r="W6" s="2" t="str">
        <f>"+"&amp;ROUND(MAIN!$D$77*$C$2*$K$2/5*$U$6,0)&amp;" "&amp;$I$2</f>
        <v>+59 Armor</v>
      </c>
      <c r="X6" s="2" t="str">
        <f>"+"&amp;ROUND(MAIN!$E$77*$C$2*$K$2/5*$U$6,0)&amp;" "&amp;$I$2</f>
        <v>+97 Armor</v>
      </c>
      <c r="Y6" s="2" t="str">
        <f>"+"&amp;ROUND(MAIN!$F$77*$C$2*$K$2/5*$U$6,0)&amp;" "&amp;$I$2</f>
        <v>+162 Armor</v>
      </c>
      <c r="Z6" s="2" t="str">
        <f>"+"&amp;ROUND(MAIN!$G$77*$C$2*$K$2/5*$U$6,0)&amp;" "&amp;$I$2</f>
        <v>+275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+50 Armor</v>
      </c>
      <c r="W7" s="2" t="str">
        <f>"+"&amp;ROUND(MAIN!$D$77*$C$2*$K$2/5*$U$7,0)&amp;" "&amp;$I$2</f>
        <v>+79 Armor</v>
      </c>
      <c r="X7" s="2" t="str">
        <f>"+"&amp;ROUND(MAIN!$E$77*$C$2*$K$2/5*$U$7,0)&amp;" "&amp;$I$2</f>
        <v>+130 Armor</v>
      </c>
      <c r="Y7" s="2" t="str">
        <f>"+"&amp;ROUND(MAIN!$F$77*$C$2*$K$2/5*$U$7,0)&amp;" "&amp;$I$2</f>
        <v>+216 Armor</v>
      </c>
      <c r="Z7" s="2" t="str">
        <f>"+"&amp;ROUND(MAIN!$G$77*$C$2*$K$2/5*$U$7,0)&amp;" "&amp;$I$2</f>
        <v>+367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+63 Armor</v>
      </c>
      <c r="W8" s="2" t="str">
        <f>"+"&amp;ROUND(MAIN!$D$77*$C$2*$K$2/5*$U$8,0)&amp;" "&amp;$I$2</f>
        <v>+99 Armor</v>
      </c>
      <c r="X8" s="2" t="str">
        <f>"+"&amp;ROUND(MAIN!$E$77*$C$2*$K$2/5*$U$8,0)&amp;" "&amp;$I$2</f>
        <v>+162 Armor</v>
      </c>
      <c r="Y8" s="2" t="str">
        <f>"+"&amp;ROUND(MAIN!$F$77*$C$2*$K$2/5*$U$8,0)&amp;" "&amp;$I$2</f>
        <v>+270 Armor</v>
      </c>
      <c r="Z8" s="2" t="str">
        <f>"+"&amp;ROUND(MAIN!$G$77*$C$2*$K$2/5*$U$8,0)&amp;" "&amp;$I$2</f>
        <v>+459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&amp;6"&amp;(MAIN!$F$4+(MAIN!$G$18+MAIN!$G$19)/2*MAIN!$B$9+(MAIN!$G$20+MAIN!$G$21)/2*MAIN!$B$8+(MAIN!$G$80*MAIN!$B$11)+($C$2*MAIN!$B$10))/10&amp;" &amp;aAlmakos'"</f>
        <v xml:space="preserve">  - '&amp;aVenta: &amp;6912.5 &amp;aAlmakos'</v>
      </c>
      <c r="B62" s="20"/>
      <c r="C62" s="20"/>
      <c r="D62" s="20"/>
      <c r="E62" s="20" t="str">
        <f>"  - '&amp;aVenta: &amp;6"&amp;(MAIN!$G$4+(MAIN!$G$18+MAIN!$G$19)/2*MAIN!$B$9+(MAIN!$G$20+MAIN!$G$21)/2*MAIN!$B$8+(MAIN!$G$80*MAIN!$B$11)+($C$2*MAIN!$B$10))/10&amp;" &amp;aAlmakos'"</f>
        <v xml:space="preserve">  - '&amp;aVenta: &amp;61052.5 &amp;aAlmakos'</v>
      </c>
      <c r="F62" s="20"/>
      <c r="G62" s="20"/>
      <c r="H62" s="20"/>
      <c r="I62" s="20" t="str">
        <f>"  - '&amp;aVenta: &amp;6"&amp;(MAIN!$H$4+(MAIN!$G$18+MAIN!$G$19)/2*MAIN!$B$9+(MAIN!$G$20+MAIN!$G$21)/2*MAIN!$B$8+(MAIN!$G$80*MAIN!$B$11)+($C$2*MAIN!$B$10))/10&amp;" &amp;aAlmakos'"</f>
        <v xml:space="preserve">  - '&amp;aVenta: &amp;61332.5 &amp;aAlmakos'</v>
      </c>
      <c r="J62" s="20"/>
      <c r="K62" s="20"/>
      <c r="L62" s="20"/>
      <c r="M62" s="20" t="str">
        <f>"  - '&amp;aVenta: &amp;6"&amp;(MAIN!$I$4+(MAIN!$G$18+MAIN!$G$19)/2*MAIN!$B$9+(MAIN!$G$20+MAIN!$G$21)/2*MAIN!$B$8+(MAIN!$G$80*MAIN!$B$11)+($C$2*MAIN!$B$10))/10&amp;" &amp;aAlmakos'"</f>
        <v xml:space="preserve">  - '&amp;aVenta: &amp;61892.5 &amp;aAlmakos'</v>
      </c>
      <c r="N62" s="20"/>
      <c r="O62" s="20"/>
      <c r="P62" s="20"/>
      <c r="Q62" s="20" t="str">
        <f>"  - '&amp;aVenta: &amp;6"&amp;(MAIN!$J$4+(MAIN!$G$18+MAIN!$G$19)/2*MAIN!$B$9+(MAIN!$G$20+MAIN!$G$21)/2*MAIN!$B$8+(MAIN!$G$80*MAIN!$B$11)+($C$2*MAIN!$B$10))/10&amp;" &amp;aAlmakos'"</f>
        <v xml:space="preserve">  - '&amp;aVenta: &amp;63012.5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&amp;a57'</v>
      </c>
      <c r="B66" s="10"/>
      <c r="C66" s="10"/>
      <c r="D66" s="10"/>
      <c r="E66" s="10" t="str">
        <f>"  - '&amp;7• &amp;8Nivel: &amp;a"&amp;MAIN!$D$82+($C$2*MAIN!$I$27)&amp;"'"</f>
        <v xml:space="preserve">  - '&amp;7• &amp;8Nivel: &amp;a82'</v>
      </c>
      <c r="F66" s="10"/>
      <c r="G66" s="10"/>
      <c r="H66" s="10"/>
      <c r="I66" s="10" t="str">
        <f>"  - '&amp;7• &amp;8Nivel: &amp;a"&amp;MAIN!$E$82+($C$2*MAIN!$I$27)&amp;"'"</f>
        <v xml:space="preserve">  - '&amp;7• &amp;8Nivel: &amp;a157'</v>
      </c>
      <c r="J66" s="10"/>
      <c r="K66" s="10"/>
      <c r="L66" s="10"/>
      <c r="M66" s="10" t="str">
        <f>"  - '&amp;7• &amp;8Nivel: &amp;a"&amp;MAIN!$F$82+($C$2*MAIN!$I$27)&amp;"'"</f>
        <v xml:space="preserve">  - '&amp;7• &amp;8Nivel: &amp;a381'</v>
      </c>
      <c r="N66" s="10"/>
      <c r="O66" s="10"/>
      <c r="P66" s="10"/>
      <c r="Q66" s="10" t="str">
        <f>"  - '&amp;7• &amp;8Nivel: &amp;a"&amp;MAIN!$G$82+($C$2*MAIN!$I$27)&amp;"'"</f>
        <v xml:space="preserve">  - '&amp;7• &amp;8Nivel: &amp;a717'</v>
      </c>
      <c r="R66" s="10"/>
      <c r="S66" s="10"/>
      <c r="T66" s="10"/>
    </row>
    <row r="67" spans="1:20" x14ac:dyDescent="0.25">
      <c r="A67" s="12" t="str">
        <f>"  - '&amp;7• &amp;8"&amp;MAIN!$C$12&amp;" lvl: &amp;a"&amp;ROUNDUP((MAIN!$C$82+($C$2*MAIN!$I$27))/3,0)&amp;"'"</f>
        <v xml:space="preserve">  - '&amp;7• &amp;8Esencia lvl: &amp;a19'</v>
      </c>
      <c r="B67" s="12"/>
      <c r="C67" s="12"/>
      <c r="D67" s="12"/>
      <c r="E67" s="12" t="str">
        <f>"  - '&amp;7• &amp;8"&amp;MAIN!$C$12&amp;" lvl: &amp;a"&amp;ROUNDUP((MAIN!$D$82+($C$2*MAIN!$I$27))/3,0)&amp;"'"</f>
        <v xml:space="preserve">  - '&amp;7• &amp;8Esencia lvl: &amp;a28'</v>
      </c>
      <c r="F67" s="12"/>
      <c r="G67" s="12"/>
      <c r="H67" s="12"/>
      <c r="I67" s="12" t="str">
        <f>"  - '&amp;7• &amp;8"&amp;MAIN!$C$12&amp;" lvl: &amp;a"&amp;ROUNDUP((MAIN!$E$82+($C$2*MAIN!$I$27))/3,0)&amp;"'"</f>
        <v xml:space="preserve">  - '&amp;7• &amp;8Esencia lvl: &amp;a53'</v>
      </c>
      <c r="J67" s="12"/>
      <c r="K67" s="12"/>
      <c r="L67" s="12"/>
      <c r="M67" s="12" t="str">
        <f>"  - '&amp;7• &amp;8"&amp;MAIN!$C$12&amp;" lvl: &amp;a"&amp;ROUNDUP((MAIN!$F$82+($C$2*MAIN!$I$27))/3,0)&amp;"'"</f>
        <v xml:space="preserve">  - '&amp;7• &amp;8Esencia lvl: &amp;a127'</v>
      </c>
      <c r="N67" s="12"/>
      <c r="O67" s="12"/>
      <c r="P67" s="12"/>
      <c r="Q67" s="12" t="str">
        <f>"  - '&amp;7• &amp;8"&amp;MAIN!$C$12&amp;" lvl: &amp;a"&amp;ROUNDUP((MAIN!$G$82+($C$2*MAIN!$I$27))/3,0)&amp;"'"</f>
        <v xml:space="preserve">  - '&amp;7• &amp;8Esencia lvl: &amp;a239'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&amp;a63'</v>
      </c>
      <c r="B71" s="10"/>
      <c r="C71" s="10"/>
      <c r="D71" s="10"/>
      <c r="E71" s="10" t="str">
        <f>"  - '&amp;4• &amp;f"&amp;MAIN!$C$9&amp;": &amp;a"&amp;MAIN!$D$77*$C$2&amp;"'"</f>
        <v xml:space="preserve">  - '&amp;4• &amp;fFuerza: &amp;a99'</v>
      </c>
      <c r="F71" s="10"/>
      <c r="G71" s="10"/>
      <c r="H71" s="10"/>
      <c r="I71" s="10" t="str">
        <f>"  - '&amp;4• &amp;f"&amp;MAIN!$C$9&amp;": &amp;a"&amp;MAIN!$E$77*$C$2&amp;"'"</f>
        <v xml:space="preserve">  - '&amp;4• &amp;fFuerza: &amp;a162'</v>
      </c>
      <c r="J71" s="10"/>
      <c r="K71" s="10"/>
      <c r="L71" s="10"/>
      <c r="M71" s="10" t="str">
        <f>"  - '&amp;4• &amp;f"&amp;MAIN!$C$9&amp;": &amp;a"&amp;MAIN!$F$77*$C$2&amp;"'"</f>
        <v xml:space="preserve">  - '&amp;4• &amp;fFuerza: &amp;a270'</v>
      </c>
      <c r="N71" s="10"/>
      <c r="O71" s="10"/>
      <c r="P71" s="10"/>
      <c r="Q71" s="10" t="str">
        <f>"  - '&amp;4• &amp;f"&amp;MAIN!$C$9&amp;": &amp;a"&amp;MAIN!$G$77*$C$2&amp;"'"</f>
        <v xml:space="preserve">  - '&amp;4• &amp;fFuerza: &amp;a459'</v>
      </c>
      <c r="R71" s="10"/>
      <c r="S71" s="10"/>
      <c r="T71" s="10"/>
    </row>
    <row r="72" spans="1:20" x14ac:dyDescent="0.25">
      <c r="A72" s="10" t="str">
        <f>"  - '&amp;4• &amp;f"&amp;MAIN!$C$8&amp;": &amp;a"&amp;MAIN!$C$77*$C$2&amp;"'"</f>
        <v xml:space="preserve">  - '&amp;4• &amp;fVitalidad: &amp;a63'</v>
      </c>
      <c r="B72" s="10"/>
      <c r="C72" s="10"/>
      <c r="D72" s="10"/>
      <c r="E72" s="10" t="str">
        <f>"  - '&amp;4• &amp;f"&amp;MAIN!$C$8&amp;": &amp;a"&amp;MAIN!$D$77*$C$2&amp;"'"</f>
        <v xml:space="preserve">  - '&amp;4• &amp;fVitalidad: &amp;a99'</v>
      </c>
      <c r="F72" s="10"/>
      <c r="G72" s="10"/>
      <c r="H72" s="10"/>
      <c r="I72" s="10" t="str">
        <f>"  - '&amp;4• &amp;f"&amp;MAIN!$C$8&amp;": &amp;a"&amp;MAIN!$E$77*$C$2&amp;"'"</f>
        <v xml:space="preserve">  - '&amp;4• &amp;fVitalidad: &amp;a162'</v>
      </c>
      <c r="J72" s="10"/>
      <c r="K72" s="10"/>
      <c r="L72" s="10"/>
      <c r="M72" s="10" t="str">
        <f>"  - '&amp;4• &amp;f"&amp;MAIN!$C$8&amp;": &amp;a"&amp;MAIN!$F$77*$C$2&amp;"'"</f>
        <v xml:space="preserve">  - '&amp;4• &amp;fVitalidad: &amp;a270'</v>
      </c>
      <c r="N72" s="10"/>
      <c r="O72" s="10"/>
      <c r="P72" s="10"/>
      <c r="Q72" s="10" t="str">
        <f>"  - '&amp;4• &amp;f"&amp;MAIN!$C$8&amp;": &amp;a"&amp;MAIN!$G$77*$C$2&amp;"'"</f>
        <v xml:space="preserve">  - '&amp;4• &amp;fVitalidad: &amp;a459'</v>
      </c>
      <c r="R72" s="10"/>
      <c r="S72" s="10"/>
      <c r="T72" s="10"/>
    </row>
    <row r="73" spans="1:20" x14ac:dyDescent="0.25">
      <c r="A73" s="10" t="str">
        <f>"  - '&amp;4• &amp;f"&amp;MAIN!$C$11&amp;": &amp;a"&amp;MAIN!$C$79*$C$2&amp;"'"</f>
        <v xml:space="preserve">  - '&amp;4• &amp;fInteligencia: &amp;a63'</v>
      </c>
      <c r="B73" s="10"/>
      <c r="C73" s="10"/>
      <c r="D73" s="10"/>
      <c r="E73" s="10" t="str">
        <f>"  - '&amp;4• &amp;f"&amp;MAIN!$C$11&amp;": &amp;a"&amp;MAIN!$D$79*$C$2&amp;"'"</f>
        <v xml:space="preserve">  - '&amp;4• &amp;fInteligencia: &amp;a99'</v>
      </c>
      <c r="F73" s="10"/>
      <c r="G73" s="10"/>
      <c r="H73" s="10"/>
      <c r="I73" s="10" t="str">
        <f>"  - '&amp;4• &amp;f"&amp;MAIN!$C$11&amp;": &amp;a"&amp;MAIN!$E$79*$C$2&amp;"'"</f>
        <v xml:space="preserve">  - '&amp;4• &amp;fInteligencia: &amp;a162'</v>
      </c>
      <c r="J73" s="10"/>
      <c r="K73" s="10"/>
      <c r="L73" s="10"/>
      <c r="M73" s="10" t="str">
        <f>"  - '&amp;4• &amp;f"&amp;MAIN!$C$11&amp;": &amp;a"&amp;MAIN!$F$79*$C$2&amp;"'"</f>
        <v xml:space="preserve">  - '&amp;4• &amp;fInteligencia: &amp;a270'</v>
      </c>
      <c r="N73" s="10"/>
      <c r="O73" s="10"/>
      <c r="P73" s="10"/>
      <c r="Q73" s="10" t="str">
        <f>"  - '&amp;4• &amp;f"&amp;MAIN!$C$11&amp;": &amp;a"&amp;MAIN!$G$79*$C$2&amp;"'"</f>
        <v xml:space="preserve">  - '&amp;4• &amp;fInteligencia: &amp;a459'</v>
      </c>
      <c r="R73" s="10"/>
      <c r="S73" s="10"/>
      <c r="T73" s="10"/>
    </row>
    <row r="74" spans="1:20" x14ac:dyDescent="0.25">
      <c r="A74" s="10" t="str">
        <f>"  - '&amp;4• &amp;f"&amp;MAIN!$C$10&amp;": &amp;a"&amp;MAIN!$C$78*$C$2&amp;"'"</f>
        <v xml:space="preserve">  - '&amp;4• &amp;fAgilidad: &amp;a63'</v>
      </c>
      <c r="B74" s="10"/>
      <c r="C74" s="10"/>
      <c r="D74" s="10"/>
      <c r="E74" s="10" t="str">
        <f>"  - '&amp;4• &amp;f"&amp;MAIN!$C$10&amp;": &amp;a"&amp;MAIN!$D$78*$C$2&amp;"'"</f>
        <v xml:space="preserve">  - '&amp;4• &amp;fAgilidad: &amp;a99'</v>
      </c>
      <c r="F74" s="10"/>
      <c r="G74" s="10"/>
      <c r="H74" s="10"/>
      <c r="I74" s="10" t="str">
        <f>"  - '&amp;4• &amp;f"&amp;MAIN!$C$10&amp;": &amp;a"&amp;MAIN!$E$78*$C$2&amp;"'"</f>
        <v xml:space="preserve">  - '&amp;4• &amp;fAgilidad: &amp;a162'</v>
      </c>
      <c r="J74" s="10"/>
      <c r="K74" s="10"/>
      <c r="L74" s="10"/>
      <c r="M74" s="10" t="str">
        <f>"  - '&amp;4• &amp;f"&amp;MAIN!$C$10&amp;": &amp;a"&amp;MAIN!$F$78*$C$2&amp;"'"</f>
        <v xml:space="preserve">  - '&amp;4• &amp;fAgilidad: &amp;a270'</v>
      </c>
      <c r="N74" s="10"/>
      <c r="O74" s="10"/>
      <c r="P74" s="10"/>
      <c r="Q74" s="10" t="str">
        <f>"  - '&amp;4• &amp;f"&amp;MAIN!$C$10&amp;": &amp;a"&amp;MAIN!$G$78*$C$2&amp;"'"</f>
        <v xml:space="preserve">  - '&amp;4• &amp;fAgilidad: &amp;a459'</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3"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dimension ref="A1:Z189"/>
  <sheetViews>
    <sheetView topLeftCell="A73" workbookViewId="0">
      <selection activeCell="A79" sqref="A79"/>
    </sheetView>
  </sheetViews>
  <sheetFormatPr baseColWidth="10" defaultColWidth="11.5703125" defaultRowHeight="15" x14ac:dyDescent="0.25"/>
  <cols>
    <col min="1" max="16384" width="11.5703125" style="19"/>
  </cols>
  <sheetData>
    <row r="1" spans="1:26" ht="30.75" customHeight="1" x14ac:dyDescent="0.25">
      <c r="A1" s="351" t="s">
        <v>19</v>
      </c>
      <c r="B1" s="351"/>
      <c r="C1" s="351" t="s">
        <v>70</v>
      </c>
      <c r="D1" s="351"/>
      <c r="E1" s="351" t="s">
        <v>80</v>
      </c>
      <c r="F1" s="351"/>
      <c r="G1" s="351" t="s">
        <v>89</v>
      </c>
      <c r="H1" s="351"/>
      <c r="I1" s="351" t="s">
        <v>1197</v>
      </c>
      <c r="J1" s="351"/>
      <c r="K1" s="351" t="s">
        <v>1199</v>
      </c>
      <c r="L1" s="351"/>
    </row>
    <row r="2" spans="1:26" x14ac:dyDescent="0.25">
      <c r="A2" s="301" t="s">
        <v>105</v>
      </c>
      <c r="B2" s="301"/>
      <c r="C2" s="301">
        <f>'ECONOMIA &amp; PROFESIONES'!$R$3</f>
        <v>9</v>
      </c>
      <c r="D2" s="301"/>
      <c r="E2" s="301" t="s">
        <v>107</v>
      </c>
      <c r="F2" s="301"/>
      <c r="G2" s="301" t="s">
        <v>106</v>
      </c>
      <c r="H2" s="301"/>
      <c r="I2" s="301" t="str">
        <f>MAIN!$J$53</f>
        <v>Armor</v>
      </c>
      <c r="J2" s="301"/>
      <c r="K2" s="301">
        <f>MAIN!$L$53</f>
        <v>1</v>
      </c>
      <c r="L2" s="301"/>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"+"&amp;ROUND(MAIN!$C$88*$C$2*$K$2/5*$U$4,0)&amp;" "&amp;$I$2</f>
        <v>+7 Armor</v>
      </c>
      <c r="W4" s="2" t="str">
        <f>"+"&amp;ROUND(MAIN!$D$88*$C$2*$K$2/5*$U$4,0)&amp;" "&amp;$I$2</f>
        <v>+11 Armor</v>
      </c>
      <c r="X4" s="2" t="str">
        <f>"+"&amp;ROUND(MAIN!$E$88*$C$2*$K$2/5*$U$4,0)&amp;" "&amp;$I$2</f>
        <v>+18 Armor</v>
      </c>
      <c r="Y4" s="2" t="str">
        <f>"+"&amp;ROUND(MAIN!$F$88*$C$2*$K$2/5*$U$4,0)&amp;" "&amp;$I$2</f>
        <v>+31 Armor</v>
      </c>
      <c r="Z4" s="2" t="str">
        <f>"+"&amp;ROUND(MAIN!$G$88*$C$2*$K$2/5*$U$4,0)&amp;" "&amp;$I$2</f>
        <v>+50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"+"&amp;ROUND(MAIN!$C$88*$C$2*$K$2/5*$U$5,0)&amp;" "&amp;$I$2</f>
        <v>+14 Armor</v>
      </c>
      <c r="W5" s="2" t="str">
        <f>"+"&amp;ROUND(MAIN!$D$88*$C$2*$K$2/5*$U$5,0)&amp;" "&amp;$I$2</f>
        <v>+22 Armor</v>
      </c>
      <c r="X5" s="2" t="str">
        <f>"+"&amp;ROUND(MAIN!$E$88*$C$2*$K$2/5*$U$5,0)&amp;" "&amp;$I$2</f>
        <v>+36 Armor</v>
      </c>
      <c r="Y5" s="2" t="str">
        <f>"+"&amp;ROUND(MAIN!$F$88*$C$2*$K$2/5*$U$5,0)&amp;" "&amp;$I$2</f>
        <v>+61 Armor</v>
      </c>
      <c r="Z5" s="2" t="str">
        <f>"+"&amp;ROUND(MAIN!$G$88*$C$2*$K$2/5*$U$5,0)&amp;" "&amp;$I$2</f>
        <v>+101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+22 Armor</v>
      </c>
      <c r="W6" s="2" t="str">
        <f>"+"&amp;ROUND(MAIN!$D$88*$C$2*$K$2/5*$U$6,0)&amp;" "&amp;$I$2</f>
        <v>+32 Armor</v>
      </c>
      <c r="X6" s="2" t="str">
        <f>"+"&amp;ROUND(MAIN!$E$88*$C$2*$K$2/5*$U$6,0)&amp;" "&amp;$I$2</f>
        <v>+54 Armor</v>
      </c>
      <c r="Y6" s="2" t="str">
        <f>"+"&amp;ROUND(MAIN!$F$88*$C$2*$K$2/5*$U$6,0)&amp;" "&amp;$I$2</f>
        <v>+92 Armor</v>
      </c>
      <c r="Z6" s="2" t="str">
        <f>"+"&amp;ROUND(MAIN!$G$88*$C$2*$K$2/5*$U$6,0)&amp;" "&amp;$I$2</f>
        <v>+151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+29 Armor</v>
      </c>
      <c r="W7" s="2" t="str">
        <f>"+"&amp;ROUND(MAIN!$D$88*$C$2*$K$2/5*$U$7,0)&amp;" "&amp;$I$2</f>
        <v>+43 Armor</v>
      </c>
      <c r="X7" s="2" t="str">
        <f>"+"&amp;ROUND(MAIN!$E$88*$C$2*$K$2/5*$U$7,0)&amp;" "&amp;$I$2</f>
        <v>+72 Armor</v>
      </c>
      <c r="Y7" s="2" t="str">
        <f>"+"&amp;ROUND(MAIN!$F$88*$C$2*$K$2/5*$U$7,0)&amp;" "&amp;$I$2</f>
        <v>+122 Armor</v>
      </c>
      <c r="Z7" s="2" t="str">
        <f>"+"&amp;ROUND(MAIN!$G$88*$C$2*$K$2/5*$U$7,0)&amp;" "&amp;$I$2</f>
        <v>+202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+36 Armor</v>
      </c>
      <c r="W8" s="2" t="str">
        <f>"+"&amp;ROUND(MAIN!$D$88*$C$2*$K$2/5*$U$8,0)&amp;" "&amp;$I$2</f>
        <v>+54 Armor</v>
      </c>
      <c r="X8" s="2" t="str">
        <f>"+"&amp;ROUND(MAIN!$E$88*$C$2*$K$2/5*$U$8,0)&amp;" "&amp;$I$2</f>
        <v>+90 Armor</v>
      </c>
      <c r="Y8" s="2" t="str">
        <f>"+"&amp;ROUND(MAIN!$F$88*$C$2*$K$2/5*$U$8,0)&amp;" "&amp;$I$2</f>
        <v>+153 Armor</v>
      </c>
      <c r="Z8" s="2" t="str">
        <f>"+"&amp;ROUND(MAIN!$G$88*$C$2*$K$2/5*$U$8,0)&amp;" "&amp;$I$2</f>
        <v>+252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ht="15" customHeight="1"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&amp;6"&amp;(MAIN!$F$5+(MAIN!$G$18+MAIN!$G$19)/2*MAIN!$B$9+(MAIN!$G$20+MAIN!$G$21)/2*MAIN!$B$8+(MAIN!$G$91*MAIN!$B$11)+($C$2*MAIN!$B$10))/10&amp;" &amp;aAlmakos'"</f>
        <v xml:space="preserve">  - '&amp;aVenta: &amp;6800 &amp;aAlmakos'</v>
      </c>
      <c r="B62" s="20"/>
      <c r="C62" s="20"/>
      <c r="D62" s="20"/>
      <c r="E62" s="20" t="str">
        <f>"  - '&amp;aVenta: &amp;6"&amp;(MAIN!$G$5+(MAIN!$G$18+MAIN!$G$19)/2*MAIN!$B$9+(MAIN!$G$20+MAIN!$G$21)/2*MAIN!$B$8+(MAIN!$G$91*MAIN!$B$11)+($C$2*MAIN!$B$10))/10&amp;" &amp;aAlmakos'"</f>
        <v xml:space="preserve">  - '&amp;aVenta: &amp;6880 &amp;aAlmakos'</v>
      </c>
      <c r="F62" s="20"/>
      <c r="G62" s="20"/>
      <c r="H62" s="20"/>
      <c r="I62" s="20" t="str">
        <f>"  - '&amp;aVenta: &amp;6"&amp;(MAIN!$H$5+(MAIN!$G$18+MAIN!$G$19)/2*MAIN!$B$9+(MAIN!$G$20+MAIN!$G$21)/2*MAIN!$B$8+(MAIN!$G$91*MAIN!$B$11)+($C$2*MAIN!$B$10))/10&amp;" &amp;aAlmakos'"</f>
        <v xml:space="preserve">  - '&amp;aVenta: &amp;61040 &amp;aAlmakos'</v>
      </c>
      <c r="J62" s="20"/>
      <c r="K62" s="20"/>
      <c r="L62" s="20"/>
      <c r="M62" s="20" t="str">
        <f>"  - '&amp;aVenta: &amp;6"&amp;(MAIN!$I$5+(MAIN!$G$18+MAIN!$G$19)/2*MAIN!$B$9+(MAIN!$G$20+MAIN!$G$21)/2*MAIN!$B$8+(MAIN!$G$91*MAIN!$B$11)+($C$2*MAIN!$B$10))/10&amp;" &amp;aAlmakos'"</f>
        <v xml:space="preserve">  - '&amp;aVenta: &amp;61360 &amp;aAlmakos'</v>
      </c>
      <c r="N62" s="20"/>
      <c r="O62" s="20"/>
      <c r="P62" s="20"/>
      <c r="Q62" s="20" t="str">
        <f>"  - '&amp;aVenta: &amp;6"&amp;(MAIN!$J$5+(MAIN!$G$18+MAIN!$G$19)/2*MAIN!$B$9+(MAIN!$G$20+MAIN!$G$21)/2*MAIN!$B$8+(MAIN!$G$91*MAIN!$B$11)+($C$2*MAIN!$B$10))/10&amp;" &amp;aAlmakos'"</f>
        <v xml:space="preserve">  - '&amp;aVenta: &amp;62000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&amp;a52'</v>
      </c>
      <c r="B66" s="10"/>
      <c r="C66" s="10"/>
      <c r="D66" s="10"/>
      <c r="E66" s="10" t="str">
        <f>"  - '&amp;7• &amp;8Nivel: &amp;a"&amp;MAIN!$D$93+($C$2*MAIN!$I$27)&amp;"'"</f>
        <v xml:space="preserve">  - '&amp;7• &amp;8Nivel: &amp;a66'</v>
      </c>
      <c r="F66" s="10"/>
      <c r="G66" s="10"/>
      <c r="H66" s="10"/>
      <c r="I66" s="10" t="str">
        <f>"  - '&amp;7• &amp;8Nivel: &amp;a"&amp;MAIN!$E$93+($C$2*MAIN!$I$27)&amp;"'"</f>
        <v xml:space="preserve">  - '&amp;7• &amp;8Nivel: &amp;a109'</v>
      </c>
      <c r="J66" s="10"/>
      <c r="K66" s="10"/>
      <c r="L66" s="10"/>
      <c r="M66" s="10" t="str">
        <f>"  - '&amp;7• &amp;8Nivel: &amp;a"&amp;MAIN!$F$93+($C$2*MAIN!$I$27)&amp;"'"</f>
        <v xml:space="preserve">  - '&amp;7• &amp;8Nivel: &amp;a237'</v>
      </c>
      <c r="N66" s="10"/>
      <c r="O66" s="10"/>
      <c r="P66" s="10"/>
      <c r="Q66" s="10" t="str">
        <f>"  - '&amp;7• &amp;8Nivel: &amp;a"&amp;MAIN!$G$93+($C$2*MAIN!$I$27)&amp;"'"</f>
        <v xml:space="preserve">  - '&amp;7• &amp;8Nivel: &amp;a429'</v>
      </c>
      <c r="R66" s="10"/>
      <c r="S66" s="10"/>
      <c r="T66" s="10"/>
    </row>
    <row r="67" spans="1:20" x14ac:dyDescent="0.25">
      <c r="A67" s="12" t="str">
        <f>"  - '&amp;7• &amp;8"&amp;MAIN!$C$12&amp;" lvl: &amp;a"&amp;ROUNDUP((MAIN!$C$93+($C$2*MAIN!$I$27))/3,0)&amp;"'"</f>
        <v xml:space="preserve">  - '&amp;7• &amp;8Esencia lvl: &amp;a18'</v>
      </c>
      <c r="B67" s="12"/>
      <c r="C67" s="12"/>
      <c r="D67" s="12"/>
      <c r="E67" s="12" t="str">
        <f>"  - '&amp;7• &amp;8"&amp;MAIN!$C$12&amp;" lvl: &amp;a"&amp;ROUNDUP((MAIN!$D$93+($C$2*MAIN!$I$27))/3,0)&amp;"'"</f>
        <v xml:space="preserve">  - '&amp;7• &amp;8Esencia lvl: &amp;a22'</v>
      </c>
      <c r="F67" s="12"/>
      <c r="G67" s="12"/>
      <c r="H67" s="12"/>
      <c r="I67" s="12" t="str">
        <f>"  - '&amp;7• &amp;8"&amp;MAIN!$C$12&amp;" lvl: &amp;a"&amp;ROUNDUP((MAIN!$E$93+($C$2*MAIN!$I$27))/3,0)&amp;"'"</f>
        <v xml:space="preserve">  - '&amp;7• &amp;8Esencia lvl: &amp;a37'</v>
      </c>
      <c r="J67" s="12"/>
      <c r="K67" s="12"/>
      <c r="L67" s="12"/>
      <c r="M67" s="12" t="str">
        <f>"  - '&amp;7• &amp;8"&amp;MAIN!$C$12&amp;" lvl: &amp;a"&amp;ROUNDUP((MAIN!$F$93+($C$2*MAIN!$I$27))/3,0)&amp;"'"</f>
        <v xml:space="preserve">  - '&amp;7• &amp;8Esencia lvl: &amp;a79'</v>
      </c>
      <c r="N67" s="12"/>
      <c r="O67" s="12"/>
      <c r="P67" s="12"/>
      <c r="Q67" s="12" t="str">
        <f>"  - '&amp;7• &amp;8"&amp;MAIN!$C$12&amp;" lvl: &amp;a"&amp;ROUNDUP((MAIN!$G$93+($C$2*MAIN!$I$27))/3,0)&amp;"'"</f>
        <v xml:space="preserve">  - '&amp;7• &amp;8Esencia lvl: &amp;a143'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&amp;a36'</v>
      </c>
      <c r="B71" s="10"/>
      <c r="C71" s="10"/>
      <c r="D71" s="10"/>
      <c r="E71" s="10" t="str">
        <f>"  - '&amp;4• &amp;f"&amp;MAIN!$C$9&amp;": &amp;a"&amp;MAIN!$D$88*$C$2&amp;"'"</f>
        <v xml:space="preserve">  - '&amp;4• &amp;fFuerza: &amp;a54'</v>
      </c>
      <c r="F71" s="10"/>
      <c r="G71" s="10"/>
      <c r="H71" s="10"/>
      <c r="I71" s="10" t="str">
        <f>"  - '&amp;4• &amp;f"&amp;MAIN!$C$9&amp;": &amp;a"&amp;MAIN!$E$88*$C$2&amp;"'"</f>
        <v xml:space="preserve">  - '&amp;4• &amp;fFuerza: &amp;a90'</v>
      </c>
      <c r="J71" s="10"/>
      <c r="K71" s="10"/>
      <c r="L71" s="10"/>
      <c r="M71" s="10" t="str">
        <f>"  - '&amp;4• &amp;f"&amp;MAIN!$C$9&amp;": &amp;a"&amp;MAIN!$F$88*$C$2&amp;"'"</f>
        <v xml:space="preserve">  - '&amp;4• &amp;fFuerza: &amp;a153'</v>
      </c>
      <c r="N71" s="10"/>
      <c r="O71" s="10"/>
      <c r="P71" s="10"/>
      <c r="Q71" s="10" t="str">
        <f>"  - '&amp;4• &amp;f"&amp;MAIN!$C$9&amp;": &amp;a"&amp;MAIN!$G$88*$C$2&amp;"'"</f>
        <v xml:space="preserve">  - '&amp;4• &amp;fFuerza: &amp;a252'</v>
      </c>
      <c r="R71" s="10"/>
      <c r="S71" s="10"/>
      <c r="T71" s="10"/>
    </row>
    <row r="72" spans="1:20" x14ac:dyDescent="0.25">
      <c r="A72" s="10" t="str">
        <f>"  - '&amp;4• &amp;f"&amp;MAIN!$C$8&amp;": &amp;a"&amp;MAIN!$C$88*$C$2&amp;"'"</f>
        <v xml:space="preserve">  - '&amp;4• &amp;fVitalidad: &amp;a36'</v>
      </c>
      <c r="B72" s="10"/>
      <c r="C72" s="10"/>
      <c r="D72" s="10"/>
      <c r="E72" s="10" t="str">
        <f>"  - '&amp;4• &amp;f"&amp;MAIN!$C$8&amp;": &amp;a"&amp;MAIN!$D$88*$C$2&amp;"'"</f>
        <v xml:space="preserve">  - '&amp;4• &amp;fVitalidad: &amp;a54'</v>
      </c>
      <c r="F72" s="10"/>
      <c r="G72" s="10"/>
      <c r="H72" s="10"/>
      <c r="I72" s="10" t="str">
        <f>"  - '&amp;4• &amp;f"&amp;MAIN!$C$8&amp;": &amp;a"&amp;MAIN!$E$88*$C$2&amp;"'"</f>
        <v xml:space="preserve">  - '&amp;4• &amp;fVitalidad: &amp;a90'</v>
      </c>
      <c r="J72" s="10"/>
      <c r="K72" s="10"/>
      <c r="L72" s="10"/>
      <c r="M72" s="10" t="str">
        <f>"  - '&amp;4• &amp;f"&amp;MAIN!$C$8&amp;": &amp;a"&amp;MAIN!$F$88*$C$2&amp;"'"</f>
        <v xml:space="preserve">  - '&amp;4• &amp;fVitalidad: &amp;a153'</v>
      </c>
      <c r="N72" s="10"/>
      <c r="O72" s="10"/>
      <c r="P72" s="10"/>
      <c r="Q72" s="10" t="str">
        <f>"  - '&amp;4• &amp;f"&amp;MAIN!$C$8&amp;": &amp;a"&amp;MAIN!$G$88*$C$2&amp;"'"</f>
        <v xml:space="preserve">  - '&amp;4• &amp;fVitalidad: &amp;a252'</v>
      </c>
      <c r="R72" s="10"/>
      <c r="S72" s="10"/>
      <c r="T72" s="10"/>
    </row>
    <row r="73" spans="1:20" x14ac:dyDescent="0.25">
      <c r="A73" s="10" t="str">
        <f>"  - '&amp;4• &amp;f"&amp;MAIN!$C$11&amp;": &amp;a"&amp;MAIN!$C$90*$C$2&amp;"'"</f>
        <v xml:space="preserve">  - '&amp;4• &amp;fInteligencia: &amp;a36'</v>
      </c>
      <c r="B73" s="10"/>
      <c r="C73" s="10"/>
      <c r="D73" s="10"/>
      <c r="E73" s="10" t="str">
        <f>"  - '&amp;4• &amp;f"&amp;MAIN!$C$11&amp;": &amp;a"&amp;MAIN!$D$90*$C$2&amp;"'"</f>
        <v xml:space="preserve">  - '&amp;4• &amp;fInteligencia: &amp;a54'</v>
      </c>
      <c r="F73" s="10"/>
      <c r="G73" s="10"/>
      <c r="H73" s="10"/>
      <c r="I73" s="10" t="str">
        <f>"  - '&amp;4• &amp;f"&amp;MAIN!$C$11&amp;": &amp;a"&amp;MAIN!$E$90*$C$2&amp;"'"</f>
        <v xml:space="preserve">  - '&amp;4• &amp;fInteligencia: &amp;a90'</v>
      </c>
      <c r="J73" s="10"/>
      <c r="K73" s="10"/>
      <c r="L73" s="10"/>
      <c r="M73" s="10" t="str">
        <f>"  - '&amp;4• &amp;f"&amp;MAIN!$C$11&amp;": &amp;a"&amp;MAIN!$F$90*$C$2&amp;"'"</f>
        <v xml:space="preserve">  - '&amp;4• &amp;fInteligencia: &amp;a153'</v>
      </c>
      <c r="N73" s="10"/>
      <c r="O73" s="10"/>
      <c r="P73" s="10"/>
      <c r="Q73" s="10" t="str">
        <f>"  - '&amp;4• &amp;f"&amp;MAIN!$C$11&amp;": &amp;a"&amp;MAIN!$G$90*$C$2&amp;"'"</f>
        <v xml:space="preserve">  - '&amp;4• &amp;fInteligencia: &amp;a252'</v>
      </c>
      <c r="R73" s="10"/>
      <c r="S73" s="10"/>
      <c r="T73" s="10"/>
    </row>
    <row r="74" spans="1:20" x14ac:dyDescent="0.25">
      <c r="A74" s="10" t="str">
        <f>"  - '&amp;4• &amp;f"&amp;MAIN!$C$10&amp;": &amp;a"&amp;MAIN!$C$89*$C$2&amp;"'"</f>
        <v xml:space="preserve">  - '&amp;4• &amp;fAgilidad: &amp;a36'</v>
      </c>
      <c r="B74" s="10"/>
      <c r="C74" s="10"/>
      <c r="D74" s="10"/>
      <c r="E74" s="10" t="str">
        <f>"  - '&amp;4• &amp;f"&amp;MAIN!$C$10&amp;": &amp;a"&amp;MAIN!$D$89*$C$2&amp;"'"</f>
        <v xml:space="preserve">  - '&amp;4• &amp;fAgilidad: &amp;a54'</v>
      </c>
      <c r="F74" s="10"/>
      <c r="G74" s="10"/>
      <c r="H74" s="10"/>
      <c r="I74" s="10" t="str">
        <f>"  - '&amp;4• &amp;f"&amp;MAIN!$C$10&amp;": &amp;a"&amp;MAIN!$E$89*$C$2&amp;"'"</f>
        <v xml:space="preserve">  - '&amp;4• &amp;fAgilidad: &amp;a90'</v>
      </c>
      <c r="J74" s="10"/>
      <c r="K74" s="10"/>
      <c r="L74" s="10"/>
      <c r="M74" s="10" t="str">
        <f>"  - '&amp;4• &amp;f"&amp;MAIN!$C$10&amp;": &amp;a"&amp;MAIN!$F$89*$C$2&amp;"'"</f>
        <v xml:space="preserve">  - '&amp;4• &amp;fAgilidad: &amp;a153'</v>
      </c>
      <c r="N74" s="10"/>
      <c r="O74" s="10"/>
      <c r="P74" s="10"/>
      <c r="Q74" s="10" t="str">
        <f>"  - '&amp;4• &amp;f"&amp;MAIN!$C$10&amp;": &amp;a"&amp;MAIN!$G$89*$C$2&amp;"'"</f>
        <v xml:space="preserve">  - '&amp;4• &amp;fAgilidad: &amp;a252'</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3"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32</vt:i4>
      </vt:variant>
      <vt:variant>
        <vt:lpstr>Rangos con nombre</vt:lpstr>
      </vt:variant>
      <vt:variant>
        <vt:i4>23</vt:i4>
      </vt:variant>
    </vt:vector>
  </HeadingPairs>
  <TitlesOfParts>
    <vt:vector size="55" baseType="lpstr">
      <vt:lpstr>Clases</vt:lpstr>
      <vt:lpstr>ECONOMIA &amp; PROFESIONES</vt:lpstr>
      <vt:lpstr>ITEM CRAFT</vt:lpstr>
      <vt:lpstr>ITEM CORE</vt:lpstr>
      <vt:lpstr>PROFESION CORE</vt:lpstr>
      <vt:lpstr>Crafteos ESP</vt:lpstr>
      <vt:lpstr>MAIN</vt:lpstr>
      <vt:lpstr>armas comun</vt:lpstr>
      <vt:lpstr>helmet comun</vt:lpstr>
      <vt:lpstr>chestplate comun</vt:lpstr>
      <vt:lpstr>leggins comun</vt:lpstr>
      <vt:lpstr>boots comun</vt:lpstr>
      <vt:lpstr>armas magico</vt:lpstr>
      <vt:lpstr>helmet magico</vt:lpstr>
      <vt:lpstr>chestplate magico</vt:lpstr>
      <vt:lpstr>leggins magico</vt:lpstr>
      <vt:lpstr>boots magico</vt:lpstr>
      <vt:lpstr>armas raro</vt:lpstr>
      <vt:lpstr>helmet raro</vt:lpstr>
      <vt:lpstr>chestplate raro</vt:lpstr>
      <vt:lpstr>leggins raro</vt:lpstr>
      <vt:lpstr>boots raro</vt:lpstr>
      <vt:lpstr>armas legendario</vt:lpstr>
      <vt:lpstr>helmet legendario</vt:lpstr>
      <vt:lpstr>chestplate legendario</vt:lpstr>
      <vt:lpstr>leggins legendario</vt:lpstr>
      <vt:lpstr>boots legendario</vt:lpstr>
      <vt:lpstr>armas ancestral</vt:lpstr>
      <vt:lpstr>helmet ancestral</vt:lpstr>
      <vt:lpstr>chestplate ancestral</vt:lpstr>
      <vt:lpstr>leggins ancestral</vt:lpstr>
      <vt:lpstr>boots ancestral</vt:lpstr>
      <vt:lpstr>ACCIONES</vt:lpstr>
      <vt:lpstr>craftedesp</vt:lpstr>
      <vt:lpstr>craftspar</vt:lpstr>
      <vt:lpstr>ECONLIST</vt:lpstr>
      <vt:lpstr>IDALQUIMIA</vt:lpstr>
      <vt:lpstr>IDCARPINTERIA</vt:lpstr>
      <vt:lpstr>IDCORE</vt:lpstr>
      <vt:lpstr>IDGANADERIA</vt:lpstr>
      <vt:lpstr>IDMINERIA</vt:lpstr>
      <vt:lpstr>'ITEM CORE'!IDS</vt:lpstr>
      <vt:lpstr>IDS</vt:lpstr>
      <vt:lpstr>'ITEM CORE'!ITEMS</vt:lpstr>
      <vt:lpstr>ITEMS</vt:lpstr>
      <vt:lpstr>LISTACORE</vt:lpstr>
      <vt:lpstr>'ITEM CORE'!LISTAITEMS</vt:lpstr>
      <vt:lpstr>LISTAITEMS</vt:lpstr>
      <vt:lpstr>LISTAMINERIA</vt:lpstr>
      <vt:lpstr>MATERIAALQ</vt:lpstr>
      <vt:lpstr>MATERIACAR</vt:lpstr>
      <vt:lpstr>MATERIAGAN</vt:lpstr>
      <vt:lpstr>MATERIAMIN</vt:lpstr>
      <vt:lpstr>PROFESIONES</vt:lpstr>
      <vt:lpstr>PROFESIONESAC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94396</cp:lastModifiedBy>
  <cp:lastPrinted>2018-03-18T20:50:32Z</cp:lastPrinted>
  <dcterms:created xsi:type="dcterms:W3CDTF">2017-03-19T06:56:32Z</dcterms:created>
  <dcterms:modified xsi:type="dcterms:W3CDTF">2018-03-27T01:54:12Z</dcterms:modified>
</cp:coreProperties>
</file>